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ding Ninjas\EXCEL\Class practice files\"/>
    </mc:Choice>
  </mc:AlternateContent>
  <xr:revisionPtr revIDLastSave="0" documentId="13_ncr:1_{F909DFCA-0DF1-4903-A172-956670992C8B}" xr6:coauthVersionLast="47" xr6:coauthVersionMax="47" xr10:uidLastSave="{00000000-0000-0000-0000-000000000000}"/>
  <bookViews>
    <workbookView xWindow="-108" yWindow="-108" windowWidth="23256" windowHeight="12456" tabRatio="628" firstSheet="1" activeTab="7" xr2:uid="{25E19BD5-4797-4300-BA2F-31331184D37B}"/>
  </bookViews>
  <sheets>
    <sheet name="Gurgaon Traffic violation data" sheetId="2" r:id="rId1"/>
    <sheet name="Main Data" sheetId="1" r:id="rId2"/>
    <sheet name="Q1" sheetId="4" r:id="rId3"/>
    <sheet name="Q2" sheetId="3" r:id="rId4"/>
    <sheet name="Q3" sheetId="5" r:id="rId5"/>
    <sheet name="Q4" sheetId="6" r:id="rId6"/>
    <sheet name="Q5" sheetId="7" r:id="rId7"/>
    <sheet name="Q6" sheetId="9" r:id="rId8"/>
  </sheets>
  <definedNames>
    <definedName name="_xlnm._FilterDatabase" localSheetId="1" hidden="1">'Main Data'!$A$1:$V$949</definedName>
    <definedName name="ExternalData_1" localSheetId="0" hidden="1">'Gurgaon Traffic violation data'!$A$1:$T$949</definedName>
  </definedNames>
  <calcPr calcId="191029"/>
  <pivotCaches>
    <pivotCache cacheId="11" r:id="rId9"/>
    <pivotCache cacheId="28" r:id="rId10"/>
    <pivotCache cacheId="34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2" i="1"/>
  <c r="D10" i="4"/>
  <c r="D9" i="4"/>
  <c r="D8" i="4"/>
  <c r="D7" i="4"/>
  <c r="D6" i="4"/>
  <c r="D12" i="4" l="1"/>
  <c r="E13" i="4" l="1"/>
  <c r="E14" i="4"/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90D346-F1C4-4932-8F3C-64485A7BD5AF}" keepAlive="1" name="Query - Gurgaon Traffic violation data" description="Connection to the 'Gurgaon Traffic violation data' query in the workbook." type="5" refreshedVersion="8" background="1" saveData="1">
    <dbPr connection="Provider=Microsoft.Mashup.OleDb.1;Data Source=$Workbook$;Location=&quot;Gurgaon Traffic violation data&quot;;Extended Properties=&quot;&quot;" command="SELECT * FROM [Gurgaon Traffic violation data]"/>
  </connection>
</connections>
</file>

<file path=xl/sharedStrings.xml><?xml version="1.0" encoding="utf-8"?>
<sst xmlns="http://schemas.openxmlformats.org/spreadsheetml/2006/main" count="21078" uniqueCount="104">
  <si>
    <t>Date</t>
  </si>
  <si>
    <t>Location</t>
  </si>
  <si>
    <t>Vehicle_Type</t>
  </si>
  <si>
    <t>Violation_Type</t>
  </si>
  <si>
    <t>Fine_Amount (₹)</t>
  </si>
  <si>
    <t>Repeat_Offender</t>
  </si>
  <si>
    <t>Weather_Condition</t>
  </si>
  <si>
    <t>Time_of_Day</t>
  </si>
  <si>
    <t>Road_Condition</t>
  </si>
  <si>
    <t>Driver_Age_Group</t>
  </si>
  <si>
    <t>Passengers_Count</t>
  </si>
  <si>
    <t>Traffic_Density</t>
  </si>
  <si>
    <t>License_Status</t>
  </si>
  <si>
    <t>Accident_Involved</t>
  </si>
  <si>
    <t>Speed_Recorded (km/h)</t>
  </si>
  <si>
    <t>Vehicle_Registration_State</t>
  </si>
  <si>
    <t>Officer_ID</t>
  </si>
  <si>
    <t>Previous_Violations</t>
  </si>
  <si>
    <t>Insurance_Penalty (₹)</t>
  </si>
  <si>
    <t>Fine_Payment_Status</t>
  </si>
  <si>
    <t>Huda City Center</t>
  </si>
  <si>
    <t>Auto-rickshaw</t>
  </si>
  <si>
    <t>DUI</t>
  </si>
  <si>
    <t>Foggy</t>
  </si>
  <si>
    <t>Morning</t>
  </si>
  <si>
    <t>Wet</t>
  </si>
  <si>
    <t>26-35</t>
  </si>
  <si>
    <t>Low</t>
  </si>
  <si>
    <t>Valid</t>
  </si>
  <si>
    <t>Delhi</t>
  </si>
  <si>
    <t>Unpaid</t>
  </si>
  <si>
    <t>Signature Tower Chowk</t>
  </si>
  <si>
    <t>Car</t>
  </si>
  <si>
    <t>Red-Light Jump</t>
  </si>
  <si>
    <t>Rainy</t>
  </si>
  <si>
    <t>Evening</t>
  </si>
  <si>
    <t>Medium</t>
  </si>
  <si>
    <t>Haryana</t>
  </si>
  <si>
    <t>Paid</t>
  </si>
  <si>
    <t>Udyog Vihar</t>
  </si>
  <si>
    <t>Cloudy</t>
  </si>
  <si>
    <t>Afternoon</t>
  </si>
  <si>
    <t>Dry</t>
  </si>
  <si>
    <t>50+</t>
  </si>
  <si>
    <t>Sikanderpur</t>
  </si>
  <si>
    <t>Truck</t>
  </si>
  <si>
    <t>Speeding</t>
  </si>
  <si>
    <t>Slippery</t>
  </si>
  <si>
    <t>18-25</t>
  </si>
  <si>
    <t>High</t>
  </si>
  <si>
    <t>Punjab</t>
  </si>
  <si>
    <t>Disputed</t>
  </si>
  <si>
    <t>Sohna Road near Iris Tech Park</t>
  </si>
  <si>
    <t>Wrong-Side Driving</t>
  </si>
  <si>
    <t>36-50</t>
  </si>
  <si>
    <t>IFFCO Chowk</t>
  </si>
  <si>
    <t>Bus</t>
  </si>
  <si>
    <t>No Seatbelt</t>
  </si>
  <si>
    <t>Expired</t>
  </si>
  <si>
    <t>Under Construction</t>
  </si>
  <si>
    <t>Bike</t>
  </si>
  <si>
    <t>No Helmet</t>
  </si>
  <si>
    <t>Sector 29</t>
  </si>
  <si>
    <t>Uttar Pradesh</t>
  </si>
  <si>
    <t>Clear</t>
  </si>
  <si>
    <t>Stormy</t>
  </si>
  <si>
    <t>Suspended</t>
  </si>
  <si>
    <t>Rajasthan</t>
  </si>
  <si>
    <t>Sheetala Mata Road</t>
  </si>
  <si>
    <t>Golf Course Road</t>
  </si>
  <si>
    <t>Night</t>
  </si>
  <si>
    <t>Manesar Toll</t>
  </si>
  <si>
    <t>NH-8</t>
  </si>
  <si>
    <t>Learner</t>
  </si>
  <si>
    <t>Cyber City</t>
  </si>
  <si>
    <t>Sector 56</t>
  </si>
  <si>
    <t>Rajiv Chowk</t>
  </si>
  <si>
    <t>MG Road</t>
  </si>
  <si>
    <t>0th</t>
  </si>
  <si>
    <t>1st Q</t>
  </si>
  <si>
    <t>2nd Q</t>
  </si>
  <si>
    <t>3rd Q</t>
  </si>
  <si>
    <t>Maximum</t>
  </si>
  <si>
    <t>IQR</t>
  </si>
  <si>
    <t>Upper Bound</t>
  </si>
  <si>
    <t>Lower Bound</t>
  </si>
  <si>
    <t>Identify Outliers</t>
  </si>
  <si>
    <t>Row Labels</t>
  </si>
  <si>
    <t>Grand Total</t>
  </si>
  <si>
    <t>Count of Violation_Type</t>
  </si>
  <si>
    <t>Sum of Fine_Amount (₹)</t>
  </si>
  <si>
    <t>Average of Fine_Amount (₹)</t>
  </si>
  <si>
    <t>NH -8 has the high violation Area.</t>
  </si>
  <si>
    <t>Count of Location</t>
  </si>
  <si>
    <t>Column Labels</t>
  </si>
  <si>
    <t>DUI is most high risk violations</t>
  </si>
  <si>
    <t>Count of Repeat_Offender</t>
  </si>
  <si>
    <t>Count of Repeat_Offender2</t>
  </si>
  <si>
    <t xml:space="preserve"> </t>
  </si>
  <si>
    <t>Wrong Side Driving violation types are most common among repeat offenders</t>
  </si>
  <si>
    <t>Sikanderpur more prone to repeat offenses</t>
  </si>
  <si>
    <t>WeekDay</t>
  </si>
  <si>
    <t>Weekday</t>
  </si>
  <si>
    <t>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</si>
</sst>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1" fillId="2" borderId="2" xfId="0" applyFont="1" applyFill="1" applyBorder="1"/>
    <xf numFmtId="0" fontId="0" fillId="3" borderId="1" xfId="0" applyNumberFormat="1" applyFont="1" applyFill="1" applyBorder="1"/>
    <xf numFmtId="0" fontId="0" fillId="3" borderId="2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1" fillId="2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4" borderId="0" xfId="0" applyFill="1" applyAlignment="1">
      <alignment horizontal="left"/>
    </xf>
    <xf numFmtId="0" fontId="0" fillId="4" borderId="0" xfId="0" applyNumberFormat="1" applyFill="1"/>
    <xf numFmtId="2" fontId="0" fillId="4" borderId="0" xfId="0" applyNumberFormat="1" applyFill="1"/>
    <xf numFmtId="0" fontId="2" fillId="0" borderId="0" xfId="0" applyFont="1" applyAlignment="1">
      <alignment horizontal="left"/>
    </xf>
    <xf numFmtId="10" fontId="0" fillId="0" borderId="0" xfId="0" applyNumberFormat="1"/>
    <xf numFmtId="10" fontId="0" fillId="4" borderId="0" xfId="0" applyNumberFormat="1" applyFill="1"/>
    <xf numFmtId="0" fontId="2" fillId="0" borderId="0" xfId="0" applyFont="1"/>
    <xf numFmtId="0" fontId="0" fillId="4" borderId="0" xfId="0" applyFill="1"/>
    <xf numFmtId="14" fontId="0" fillId="3" borderId="1" xfId="0" applyNumberFormat="1" applyFont="1" applyFill="1" applyBorder="1"/>
    <xf numFmtId="14" fontId="0" fillId="0" borderId="1" xfId="0" applyNumberFormat="1" applyFont="1" applyBorder="1"/>
  </cellXfs>
  <cellStyles count="1">
    <cellStyle name="Normal" xfId="0" builtinId="0"/>
  </cellStyles>
  <dxfs count="56"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</border>
    </dxf>
    <dxf>
      <fill>
        <patternFill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numFmt numFmtId="14" formatCode="0.00%"/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nit" refreshedDate="46282.965969907411" createdVersion="8" refreshedVersion="8" minRefreshableVersion="3" recordCount="948" xr:uid="{4CF5E2FA-4F06-4583-9797-E59AF1D228A1}">
  <cacheSource type="worksheet">
    <worksheetSource ref="A1:T949" sheet="Main Data"/>
  </cacheSource>
  <cacheFields count="20">
    <cacheField name="Date" numFmtId="14">
      <sharedItems containsSemiMixedTypes="0" containsNonDate="0" containsDate="1" containsString="0" minDate="2024-01-01T00:00:00" maxDate="2024-12-29T00:00:00"/>
    </cacheField>
    <cacheField name="Location" numFmtId="0">
      <sharedItems count="15">
        <s v="Sector 56"/>
        <s v="Sikanderpur"/>
        <s v="Sector 29"/>
        <s v="NH-8"/>
        <s v="Rajiv Chowk"/>
        <s v="Huda City Center"/>
        <s v="IFFCO Chowk"/>
        <s v="Manesar Toll"/>
        <s v="Sohna Road near Iris Tech Park"/>
        <s v="MG Road"/>
        <s v="Signature Tower Chowk"/>
        <s v="Cyber City"/>
        <s v="Udyog Vihar"/>
        <s v="Sheetala Mata Road"/>
        <s v="Golf Course Road"/>
      </sharedItems>
    </cacheField>
    <cacheField name="Vehicle_Type" numFmtId="0">
      <sharedItems/>
    </cacheField>
    <cacheField name="Violation_Type" numFmtId="0">
      <sharedItems count="6">
        <s v="No Helmet"/>
        <s v="No Seatbelt"/>
        <s v="Speeding"/>
        <s v="Red-Light Jump"/>
        <s v="DUI"/>
        <s v="Wrong-Side Driving"/>
      </sharedItems>
    </cacheField>
    <cacheField name="Fine_Amount (₹)" numFmtId="0">
      <sharedItems containsSemiMixedTypes="0" containsString="0" containsNumber="1" containsInteger="1" minValue="1000" maxValue="43125"/>
    </cacheField>
    <cacheField name="Repeat_Offender" numFmtId="0">
      <sharedItems/>
    </cacheField>
    <cacheField name="Weather_Condition" numFmtId="0">
      <sharedItems/>
    </cacheField>
    <cacheField name="Time_of_Day" numFmtId="0">
      <sharedItems/>
    </cacheField>
    <cacheField name="Road_Condition" numFmtId="0">
      <sharedItems/>
    </cacheField>
    <cacheField name="Driver_Age_Group" numFmtId="0">
      <sharedItems/>
    </cacheField>
    <cacheField name="Passengers_Count" numFmtId="0">
      <sharedItems containsSemiMixedTypes="0" containsString="0" containsNumber="1" containsInteger="1" minValue="0" maxValue="26"/>
    </cacheField>
    <cacheField name="Traffic_Density" numFmtId="0">
      <sharedItems/>
    </cacheField>
    <cacheField name="License_Status" numFmtId="0">
      <sharedItems/>
    </cacheField>
    <cacheField name="Accident_Involved" numFmtId="0">
      <sharedItems/>
    </cacheField>
    <cacheField name="Speed_Recorded (km/h)" numFmtId="0">
      <sharedItems containsSemiMixedTypes="0" containsString="0" containsNumber="1" containsInteger="1" minValue="0" maxValue="120"/>
    </cacheField>
    <cacheField name="Vehicle_Registration_State" numFmtId="0">
      <sharedItems/>
    </cacheField>
    <cacheField name="Officer_ID" numFmtId="0">
      <sharedItems containsSemiMixedTypes="0" containsString="0" containsNumber="1" containsInteger="1" minValue="1" maxValue="10"/>
    </cacheField>
    <cacheField name="Previous_Violations" numFmtId="0">
      <sharedItems containsSemiMixedTypes="0" containsString="0" containsNumber="1" containsInteger="1" minValue="1" maxValue="3"/>
    </cacheField>
    <cacheField name="Insurance_Penalty (₹)" numFmtId="0">
      <sharedItems containsSemiMixedTypes="0" containsString="0" containsNumber="1" containsInteger="1" minValue="503" maxValue="4988"/>
    </cacheField>
    <cacheField name="Fine_Payment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nit" refreshedDate="46283.925670138888" createdVersion="8" refreshedVersion="8" minRefreshableVersion="3" recordCount="948" xr:uid="{1324283B-A082-4362-8A1A-1372637C00AC}">
  <cacheSource type="worksheet">
    <worksheetSource ref="A1:U949" sheet="Main Data"/>
  </cacheSource>
  <cacheFields count="21">
    <cacheField name="Date" numFmtId="14">
      <sharedItems containsSemiMixedTypes="0" containsNonDate="0" containsDate="1" containsString="0" minDate="2024-01-01T00:00:00" maxDate="2024-12-29T00:00:00"/>
    </cacheField>
    <cacheField name="Location" numFmtId="0">
      <sharedItems count="15">
        <s v="Sector 56"/>
        <s v="Sikanderpur"/>
        <s v="Sector 29"/>
        <s v="NH-8"/>
        <s v="Rajiv Chowk"/>
        <s v="Huda City Center"/>
        <s v="IFFCO Chowk"/>
        <s v="Manesar Toll"/>
        <s v="Sohna Road near Iris Tech Park"/>
        <s v="MG Road"/>
        <s v="Signature Tower Chowk"/>
        <s v="Cyber City"/>
        <s v="Udyog Vihar"/>
        <s v="Sheetala Mata Road"/>
        <s v="Golf Course Road"/>
      </sharedItems>
    </cacheField>
    <cacheField name="Vehicle_Type" numFmtId="0">
      <sharedItems count="5">
        <s v="Bike"/>
        <s v="Truck"/>
        <s v="Bus"/>
        <s v="Auto-rickshaw"/>
        <s v="Car"/>
      </sharedItems>
    </cacheField>
    <cacheField name="Violation_Type" numFmtId="0">
      <sharedItems count="6">
        <s v="No Helmet"/>
        <s v="No Seatbelt"/>
        <s v="Speeding"/>
        <s v="Red-Light Jump"/>
        <s v="DUI"/>
        <s v="Wrong-Side Driving"/>
      </sharedItems>
    </cacheField>
    <cacheField name="Fine_Amount (₹)" numFmtId="0">
      <sharedItems containsSemiMixedTypes="0" containsString="0" containsNumber="1" containsInteger="1" minValue="1000" maxValue="43125"/>
    </cacheField>
    <cacheField name="Repeat_Offender" numFmtId="0">
      <sharedItems/>
    </cacheField>
    <cacheField name="Weather_Condition" numFmtId="0">
      <sharedItems/>
    </cacheField>
    <cacheField name="Time_of_Day" numFmtId="0">
      <sharedItems count="4">
        <s v="Morning"/>
        <s v="Night"/>
        <s v="Afternoon"/>
        <s v="Evening"/>
      </sharedItems>
    </cacheField>
    <cacheField name="Road_Condition" numFmtId="0">
      <sharedItems/>
    </cacheField>
    <cacheField name="Driver_Age_Group" numFmtId="0">
      <sharedItems/>
    </cacheField>
    <cacheField name="Passengers_Count" numFmtId="0">
      <sharedItems containsSemiMixedTypes="0" containsString="0" containsNumber="1" containsInteger="1" minValue="0" maxValue="26"/>
    </cacheField>
    <cacheField name="Traffic_Density" numFmtId="0">
      <sharedItems/>
    </cacheField>
    <cacheField name="License_Status" numFmtId="0">
      <sharedItems/>
    </cacheField>
    <cacheField name="Accident_Involved" numFmtId="0">
      <sharedItems/>
    </cacheField>
    <cacheField name="Speed_Recorded (km/h)" numFmtId="0">
      <sharedItems containsSemiMixedTypes="0" containsString="0" containsNumber="1" containsInteger="1" minValue="0" maxValue="120"/>
    </cacheField>
    <cacheField name="Vehicle_Registration_State" numFmtId="0">
      <sharedItems/>
    </cacheField>
    <cacheField name="Officer_ID" numFmtId="0">
      <sharedItems containsSemiMixedTypes="0" containsString="0" containsNumber="1" containsInteger="1" minValue="1" maxValue="10"/>
    </cacheField>
    <cacheField name="Previous_Violations" numFmtId="0">
      <sharedItems containsSemiMixedTypes="0" containsString="0" containsNumber="1" containsInteger="1" minValue="1" maxValue="3"/>
    </cacheField>
    <cacheField name="Insurance_Penalty (₹)" numFmtId="0">
      <sharedItems containsSemiMixedTypes="0" containsString="0" containsNumber="1" containsInteger="1" minValue="503" maxValue="4988"/>
    </cacheField>
    <cacheField name="Fine_Payment_Status" numFmtId="0">
      <sharedItems count="3">
        <s v="Unpaid"/>
        <s v="Paid"/>
        <s v="Disputed"/>
      </sharedItems>
    </cacheField>
    <cacheField name="Identify Outlier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nit" refreshedDate="46284.966493402775" createdVersion="8" refreshedVersion="8" minRefreshableVersion="3" recordCount="948" xr:uid="{2451789D-CA66-4A3C-B2A0-343DC22F1A20}">
  <cacheSource type="worksheet">
    <worksheetSource name="Table2"/>
  </cacheSource>
  <cacheFields count="22">
    <cacheField name="Date" numFmtId="14">
      <sharedItems containsSemiMixedTypes="0" containsNonDate="0" containsDate="1" containsString="0" minDate="2024-01-01T00:00:00" maxDate="2024-12-29T00:00:00"/>
    </cacheField>
    <cacheField name="Location" numFmtId="0">
      <sharedItems/>
    </cacheField>
    <cacheField name="Vehicle_Type" numFmtId="0">
      <sharedItems/>
    </cacheField>
    <cacheField name="Violation_Type" numFmtId="0">
      <sharedItems count="6">
        <s v="No Helmet"/>
        <s v="No Seatbelt"/>
        <s v="Speeding"/>
        <s v="Red-Light Jump"/>
        <s v="DUI"/>
        <s v="Wrong-Side Driving"/>
      </sharedItems>
    </cacheField>
    <cacheField name="Fine_Amount (₹)" numFmtId="0">
      <sharedItems containsSemiMixedTypes="0" containsString="0" containsNumber="1" containsInteger="1" minValue="1000" maxValue="43125"/>
    </cacheField>
    <cacheField name="Repeat_Offender" numFmtId="0">
      <sharedItems/>
    </cacheField>
    <cacheField name="Weather_Condition" numFmtId="0">
      <sharedItems count="5">
        <s v="Stormy"/>
        <s v="Foggy"/>
        <s v="Rainy"/>
        <s v="Cloudy"/>
        <s v="Clear"/>
      </sharedItems>
    </cacheField>
    <cacheField name="Time_of_Day" numFmtId="0">
      <sharedItems/>
    </cacheField>
    <cacheField name="Road_Condition" numFmtId="0">
      <sharedItems/>
    </cacheField>
    <cacheField name="Driver_Age_Group" numFmtId="0">
      <sharedItems/>
    </cacheField>
    <cacheField name="Passengers_Count" numFmtId="0">
      <sharedItems containsSemiMixedTypes="0" containsString="0" containsNumber="1" containsInteger="1" minValue="0" maxValue="26"/>
    </cacheField>
    <cacheField name="Traffic_Density" numFmtId="0">
      <sharedItems/>
    </cacheField>
    <cacheField name="License_Status" numFmtId="0">
      <sharedItems/>
    </cacheField>
    <cacheField name="Accident_Involved" numFmtId="0">
      <sharedItems/>
    </cacheField>
    <cacheField name="Speed_Recorded (km/h)" numFmtId="0">
      <sharedItems containsSemiMixedTypes="0" containsString="0" containsNumber="1" containsInteger="1" minValue="0" maxValue="120"/>
    </cacheField>
    <cacheField name="Vehicle_Registration_State" numFmtId="0">
      <sharedItems/>
    </cacheField>
    <cacheField name="Officer_ID" numFmtId="0">
      <sharedItems containsSemiMixedTypes="0" containsString="0" containsNumber="1" containsInteger="1" minValue="1" maxValue="10"/>
    </cacheField>
    <cacheField name="Previous_Violations" numFmtId="0">
      <sharedItems containsSemiMixedTypes="0" containsString="0" containsNumber="1" containsInteger="1" minValue="1" maxValue="3"/>
    </cacheField>
    <cacheField name="Insurance_Penalty (₹)" numFmtId="0">
      <sharedItems containsSemiMixedTypes="0" containsString="0" containsNumber="1" containsInteger="1" minValue="503" maxValue="4988"/>
    </cacheField>
    <cacheField name="Fine_Payment_Status" numFmtId="0">
      <sharedItems/>
    </cacheField>
    <cacheField name="Identify Outliers" numFmtId="0">
      <sharedItems/>
    </cacheField>
    <cacheField name="WeekDay" numFmtId="0">
      <sharedItems count="2">
        <s v="Weekday"/>
        <s v="Weeken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8">
  <r>
    <d v="2024-01-01T00:00:00"/>
    <x v="0"/>
    <s v="Bike"/>
    <x v="0"/>
    <n v="1000"/>
    <b v="0"/>
    <s v="Stormy"/>
    <s v="Morning"/>
    <s v="Slippery"/>
    <s v="26-35"/>
    <n v="0"/>
    <s v="Medium"/>
    <s v="Suspended"/>
    <b v="0"/>
    <n v="103"/>
    <s v="Delhi"/>
    <n v="7"/>
    <n v="3"/>
    <n v="2190"/>
    <s v="Unpaid"/>
  </r>
  <r>
    <d v="2024-01-01T00:00:00"/>
    <x v="1"/>
    <s v="Truck"/>
    <x v="1"/>
    <n v="1000"/>
    <b v="0"/>
    <s v="Foggy"/>
    <s v="Night"/>
    <s v="Wet"/>
    <s v="26-35"/>
    <n v="2"/>
    <s v="Medium"/>
    <s v="Valid"/>
    <b v="1"/>
    <n v="32"/>
    <s v="Delhi"/>
    <n v="7"/>
    <n v="2"/>
    <n v="3386"/>
    <s v="Paid"/>
  </r>
  <r>
    <d v="2024-01-01T00:00:00"/>
    <x v="2"/>
    <s v="Bus"/>
    <x v="1"/>
    <n v="1000"/>
    <b v="1"/>
    <s v="Rainy"/>
    <s v="Afternoon"/>
    <s v="Dry"/>
    <s v="50+"/>
    <n v="5"/>
    <s v="High"/>
    <s v="Suspended"/>
    <b v="1"/>
    <n v="120"/>
    <s v="Delhi"/>
    <n v="9"/>
    <n v="2"/>
    <n v="3053"/>
    <s v="Paid"/>
  </r>
  <r>
    <d v="2024-01-01T00:00:00"/>
    <x v="3"/>
    <s v="Auto-rickshaw"/>
    <x v="2"/>
    <n v="4050"/>
    <b v="0"/>
    <s v="Cloudy"/>
    <s v="Night"/>
    <s v="Dry"/>
    <s v="26-35"/>
    <n v="2"/>
    <s v="Low"/>
    <s v="Expired"/>
    <b v="1"/>
    <n v="72"/>
    <s v="Punjab"/>
    <n v="2"/>
    <n v="2"/>
    <n v="3796"/>
    <s v="Paid"/>
  </r>
  <r>
    <d v="2024-01-01T00:00:00"/>
    <x v="4"/>
    <s v="Bus"/>
    <x v="3"/>
    <n v="2548"/>
    <b v="0"/>
    <s v="Foggy"/>
    <s v="Evening"/>
    <s v="Wet"/>
    <s v="36-50"/>
    <n v="4"/>
    <s v="Medium"/>
    <s v="Suspended"/>
    <b v="1"/>
    <n v="79"/>
    <s v="Uttar Pradesh"/>
    <n v="8"/>
    <n v="1"/>
    <n v="4831"/>
    <s v="Disputed"/>
  </r>
  <r>
    <d v="2024-01-01T00:00:00"/>
    <x v="4"/>
    <s v="Auto-rickshaw"/>
    <x v="4"/>
    <n v="9039"/>
    <b v="0"/>
    <s v="Stormy"/>
    <s v="Evening"/>
    <s v="Wet"/>
    <s v="26-35"/>
    <n v="2"/>
    <s v="Low"/>
    <s v="Suspended"/>
    <b v="0"/>
    <n v="18"/>
    <s v="Haryana"/>
    <n v="10"/>
    <n v="3"/>
    <n v="2437"/>
    <s v="Disputed"/>
  </r>
  <r>
    <d v="2024-01-01T00:00:00"/>
    <x v="0"/>
    <s v="Truck"/>
    <x v="3"/>
    <n v="3653"/>
    <b v="0"/>
    <s v="Stormy"/>
    <s v="Night"/>
    <s v="Under Construction"/>
    <s v="26-35"/>
    <n v="3"/>
    <s v="Medium"/>
    <s v="Valid"/>
    <b v="0"/>
    <n v="117"/>
    <s v="Rajasthan"/>
    <n v="10"/>
    <n v="2"/>
    <n v="573"/>
    <s v="Unpaid"/>
  </r>
  <r>
    <d v="2024-01-02T00:00:00"/>
    <x v="5"/>
    <s v="Auto-rickshaw"/>
    <x v="3"/>
    <n v="1717"/>
    <b v="0"/>
    <s v="Foggy"/>
    <s v="Evening"/>
    <s v="Wet"/>
    <s v="36-50"/>
    <n v="5"/>
    <s v="High"/>
    <s v="Learner"/>
    <b v="1"/>
    <n v="29"/>
    <s v="Rajasthan"/>
    <n v="8"/>
    <n v="3"/>
    <n v="1070"/>
    <s v="Disputed"/>
  </r>
  <r>
    <d v="2024-01-02T00:00:00"/>
    <x v="6"/>
    <s v="Bike"/>
    <x v="0"/>
    <n v="1000"/>
    <b v="0"/>
    <s v="Rainy"/>
    <s v="Afternoon"/>
    <s v="Wet"/>
    <s v="50+"/>
    <n v="2"/>
    <s v="High"/>
    <s v="Suspended"/>
    <b v="1"/>
    <n v="11"/>
    <s v="Uttar Pradesh"/>
    <n v="9"/>
    <n v="3"/>
    <n v="3939"/>
    <s v="Paid"/>
  </r>
  <r>
    <d v="2024-01-02T00:00:00"/>
    <x v="7"/>
    <s v="Car"/>
    <x v="1"/>
    <n v="1000"/>
    <b v="0"/>
    <s v="Cloudy"/>
    <s v="Morning"/>
    <s v="Wet"/>
    <s v="26-35"/>
    <n v="5"/>
    <s v="Low"/>
    <s v="Valid"/>
    <b v="1"/>
    <n v="94"/>
    <s v="Rajasthan"/>
    <n v="1"/>
    <n v="2"/>
    <n v="4734"/>
    <s v="Disputed"/>
  </r>
  <r>
    <d v="2024-01-02T00:00:00"/>
    <x v="5"/>
    <s v="Bike"/>
    <x v="2"/>
    <n v="1522"/>
    <b v="1"/>
    <s v="Cloudy"/>
    <s v="Morning"/>
    <s v="Under Construction"/>
    <s v="18-25"/>
    <n v="3"/>
    <s v="Medium"/>
    <s v="Expired"/>
    <b v="0"/>
    <n v="86"/>
    <s v="Punjab"/>
    <n v="7"/>
    <n v="3"/>
    <n v="4737"/>
    <s v="Paid"/>
  </r>
  <r>
    <d v="2024-01-03T00:00:00"/>
    <x v="8"/>
    <s v="Truck"/>
    <x v="5"/>
    <n v="3040"/>
    <b v="1"/>
    <s v="Clear"/>
    <s v="Evening"/>
    <s v="Slippery"/>
    <s v="18-25"/>
    <n v="4"/>
    <s v="Low"/>
    <s v="Learner"/>
    <b v="0"/>
    <n v="88"/>
    <s v="Punjab"/>
    <n v="4"/>
    <n v="2"/>
    <n v="764"/>
    <s v="Unpaid"/>
  </r>
  <r>
    <d v="2024-01-04T00:00:00"/>
    <x v="6"/>
    <s v="Bus"/>
    <x v="1"/>
    <n v="1000"/>
    <b v="1"/>
    <s v="Rainy"/>
    <s v="Evening"/>
    <s v="Slippery"/>
    <s v="50+"/>
    <n v="1"/>
    <s v="Medium"/>
    <s v="Expired"/>
    <b v="1"/>
    <n v="74"/>
    <s v="Haryana"/>
    <n v="6"/>
    <n v="3"/>
    <n v="4985"/>
    <s v="Disputed"/>
  </r>
  <r>
    <d v="2024-01-04T00:00:00"/>
    <x v="2"/>
    <s v="Auto-rickshaw"/>
    <x v="2"/>
    <n v="1399"/>
    <b v="0"/>
    <s v="Rainy"/>
    <s v="Evening"/>
    <s v="Wet"/>
    <s v="26-35"/>
    <n v="0"/>
    <s v="Low"/>
    <s v="Expired"/>
    <b v="0"/>
    <n v="64"/>
    <s v="Haryana"/>
    <n v="8"/>
    <n v="3"/>
    <n v="1885"/>
    <s v="Disputed"/>
  </r>
  <r>
    <d v="2024-01-04T00:00:00"/>
    <x v="9"/>
    <s v="Bike"/>
    <x v="3"/>
    <n v="2329"/>
    <b v="0"/>
    <s v="Rainy"/>
    <s v="Afternoon"/>
    <s v="Under Construction"/>
    <s v="26-35"/>
    <n v="1"/>
    <s v="High"/>
    <s v="Expired"/>
    <b v="0"/>
    <n v="92"/>
    <s v="Rajasthan"/>
    <n v="1"/>
    <n v="3"/>
    <n v="3131"/>
    <s v="Disputed"/>
  </r>
  <r>
    <d v="2024-01-04T00:00:00"/>
    <x v="6"/>
    <s v="Truck"/>
    <x v="3"/>
    <n v="2780"/>
    <b v="0"/>
    <s v="Rainy"/>
    <s v="Evening"/>
    <s v="Slippery"/>
    <s v="50+"/>
    <n v="5"/>
    <s v="Medium"/>
    <s v="Valid"/>
    <b v="0"/>
    <n v="119"/>
    <s v="Rajasthan"/>
    <n v="1"/>
    <n v="1"/>
    <n v="1438"/>
    <s v="Unpaid"/>
  </r>
  <r>
    <d v="2024-01-05T00:00:00"/>
    <x v="10"/>
    <s v="Auto-rickshaw"/>
    <x v="4"/>
    <n v="6948"/>
    <b v="1"/>
    <s v="Clear"/>
    <s v="Night"/>
    <s v="Under Construction"/>
    <s v="26-35"/>
    <n v="1"/>
    <s v="Low"/>
    <s v="Suspended"/>
    <b v="0"/>
    <n v="29"/>
    <s v="Haryana"/>
    <n v="9"/>
    <n v="1"/>
    <n v="4980"/>
    <s v="Unpaid"/>
  </r>
  <r>
    <d v="2024-01-05T00:00:00"/>
    <x v="2"/>
    <s v="Bus"/>
    <x v="3"/>
    <n v="4615"/>
    <b v="0"/>
    <s v="Foggy"/>
    <s v="Night"/>
    <s v="Wet"/>
    <s v="50+"/>
    <n v="0"/>
    <s v="Medium"/>
    <s v="Suspended"/>
    <b v="1"/>
    <n v="14"/>
    <s v="Haryana"/>
    <n v="5"/>
    <n v="3"/>
    <n v="2103"/>
    <s v="Paid"/>
  </r>
  <r>
    <d v="2024-01-06T00:00:00"/>
    <x v="0"/>
    <s v="Car"/>
    <x v="4"/>
    <n v="9835"/>
    <b v="0"/>
    <s v="Rainy"/>
    <s v="Morning"/>
    <s v="Under Construction"/>
    <s v="50+"/>
    <n v="3"/>
    <s v="Medium"/>
    <s v="Expired"/>
    <b v="0"/>
    <n v="68"/>
    <s v="Delhi"/>
    <n v="8"/>
    <n v="3"/>
    <n v="4275"/>
    <s v="Unpaid"/>
  </r>
  <r>
    <d v="2024-01-06T00:00:00"/>
    <x v="3"/>
    <s v="Car"/>
    <x v="1"/>
    <n v="1000"/>
    <b v="0"/>
    <s v="Foggy"/>
    <s v="Morning"/>
    <s v="Wet"/>
    <s v="26-35"/>
    <n v="1"/>
    <s v="High"/>
    <s v="Expired"/>
    <b v="0"/>
    <n v="28"/>
    <s v="Delhi"/>
    <n v="7"/>
    <n v="3"/>
    <n v="3711"/>
    <s v="Paid"/>
  </r>
  <r>
    <d v="2024-01-06T00:00:00"/>
    <x v="5"/>
    <s v="Car"/>
    <x v="2"/>
    <n v="3313"/>
    <b v="1"/>
    <s v="Clear"/>
    <s v="Night"/>
    <s v="Wet"/>
    <s v="50+"/>
    <n v="3"/>
    <s v="High"/>
    <s v="Learner"/>
    <b v="0"/>
    <n v="70"/>
    <s v="Rajasthan"/>
    <n v="8"/>
    <n v="2"/>
    <n v="1443"/>
    <s v="Disputed"/>
  </r>
  <r>
    <d v="2024-01-06T00:00:00"/>
    <x v="11"/>
    <s v="Car"/>
    <x v="2"/>
    <n v="1462"/>
    <b v="0"/>
    <s v="Clear"/>
    <s v="Evening"/>
    <s v="Dry"/>
    <s v="36-50"/>
    <n v="5"/>
    <s v="Medium"/>
    <s v="Suspended"/>
    <b v="1"/>
    <n v="42"/>
    <s v="Punjab"/>
    <n v="10"/>
    <n v="3"/>
    <n v="2175"/>
    <s v="Unpaid"/>
  </r>
  <r>
    <d v="2024-01-07T00:00:00"/>
    <x v="1"/>
    <s v="Car"/>
    <x v="1"/>
    <n v="1000"/>
    <b v="0"/>
    <s v="Rainy"/>
    <s v="Morning"/>
    <s v="Wet"/>
    <s v="50+"/>
    <n v="1"/>
    <s v="Low"/>
    <s v="Learner"/>
    <b v="0"/>
    <n v="5"/>
    <s v="Uttar Pradesh"/>
    <n v="8"/>
    <n v="2"/>
    <n v="2096"/>
    <s v="Disputed"/>
  </r>
  <r>
    <d v="2024-01-07T00:00:00"/>
    <x v="12"/>
    <s v="Auto-rickshaw"/>
    <x v="3"/>
    <n v="3304"/>
    <b v="0"/>
    <s v="Cloudy"/>
    <s v="Afternoon"/>
    <s v="Wet"/>
    <s v="26-35"/>
    <n v="0"/>
    <s v="Low"/>
    <s v="Expired"/>
    <b v="1"/>
    <n v="40"/>
    <s v="Rajasthan"/>
    <n v="4"/>
    <n v="1"/>
    <n v="4415"/>
    <s v="Unpaid"/>
  </r>
  <r>
    <d v="2024-01-07T00:00:00"/>
    <x v="1"/>
    <s v="Auto-rickshaw"/>
    <x v="5"/>
    <n v="5937"/>
    <b v="0"/>
    <s v="Cloudy"/>
    <s v="Evening"/>
    <s v="Dry"/>
    <s v="26-35"/>
    <n v="4"/>
    <s v="High"/>
    <s v="Valid"/>
    <b v="1"/>
    <n v="78"/>
    <s v="Rajasthan"/>
    <n v="8"/>
    <n v="2"/>
    <n v="3732"/>
    <s v="Paid"/>
  </r>
  <r>
    <d v="2024-01-07T00:00:00"/>
    <x v="9"/>
    <s v="Auto-rickshaw"/>
    <x v="3"/>
    <n v="1857"/>
    <b v="0"/>
    <s v="Foggy"/>
    <s v="Night"/>
    <s v="Wet"/>
    <s v="18-25"/>
    <n v="3"/>
    <s v="High"/>
    <s v="Suspended"/>
    <b v="0"/>
    <n v="64"/>
    <s v="Uttar Pradesh"/>
    <n v="9"/>
    <n v="2"/>
    <n v="2722"/>
    <s v="Paid"/>
  </r>
  <r>
    <d v="2024-01-07T00:00:00"/>
    <x v="8"/>
    <s v="Bus"/>
    <x v="1"/>
    <n v="1000"/>
    <b v="0"/>
    <s v="Clear"/>
    <s v="Morning"/>
    <s v="Under Construction"/>
    <s v="18-25"/>
    <n v="1"/>
    <s v="High"/>
    <s v="Suspended"/>
    <b v="0"/>
    <n v="119"/>
    <s v="Punjab"/>
    <n v="2"/>
    <n v="2"/>
    <n v="791"/>
    <s v="Paid"/>
  </r>
  <r>
    <d v="2024-01-08T00:00:00"/>
    <x v="11"/>
    <s v="Truck"/>
    <x v="3"/>
    <n v="4484"/>
    <b v="0"/>
    <s v="Clear"/>
    <s v="Night"/>
    <s v="Dry"/>
    <s v="36-50"/>
    <n v="4"/>
    <s v="Low"/>
    <s v="Suspended"/>
    <b v="1"/>
    <n v="93"/>
    <s v="Uttar Pradesh"/>
    <n v="2"/>
    <n v="2"/>
    <n v="3193"/>
    <s v="Disputed"/>
  </r>
  <r>
    <d v="2024-01-09T00:00:00"/>
    <x v="10"/>
    <s v="Bike"/>
    <x v="5"/>
    <n v="5259"/>
    <b v="0"/>
    <s v="Rainy"/>
    <s v="Afternoon"/>
    <s v="Under Construction"/>
    <s v="18-25"/>
    <n v="5"/>
    <s v="High"/>
    <s v="Suspended"/>
    <b v="1"/>
    <n v="78"/>
    <s v="Punjab"/>
    <n v="9"/>
    <n v="2"/>
    <n v="3846"/>
    <s v="Paid"/>
  </r>
  <r>
    <d v="2024-01-09T00:00:00"/>
    <x v="10"/>
    <s v="Bike"/>
    <x v="4"/>
    <n v="9662"/>
    <b v="0"/>
    <s v="Cloudy"/>
    <s v="Afternoon"/>
    <s v="Dry"/>
    <s v="18-25"/>
    <n v="2"/>
    <s v="Medium"/>
    <s v="Learner"/>
    <b v="0"/>
    <n v="113"/>
    <s v="Uttar Pradesh"/>
    <n v="4"/>
    <n v="3"/>
    <n v="1686"/>
    <s v="Paid"/>
  </r>
  <r>
    <d v="2024-01-09T00:00:00"/>
    <x v="9"/>
    <s v="Car"/>
    <x v="3"/>
    <n v="4184"/>
    <b v="1"/>
    <s v="Foggy"/>
    <s v="Evening"/>
    <s v="Dry"/>
    <s v="50+"/>
    <n v="2"/>
    <s v="Medium"/>
    <s v="Valid"/>
    <b v="1"/>
    <n v="8"/>
    <s v="Rajasthan"/>
    <n v="5"/>
    <n v="2"/>
    <n v="3051"/>
    <s v="Unpaid"/>
  </r>
  <r>
    <d v="2024-01-10T00:00:00"/>
    <x v="7"/>
    <s v="Bus"/>
    <x v="1"/>
    <n v="1000"/>
    <b v="0"/>
    <s v="Rainy"/>
    <s v="Evening"/>
    <s v="Dry"/>
    <s v="36-50"/>
    <n v="1"/>
    <s v="High"/>
    <s v="Suspended"/>
    <b v="1"/>
    <n v="88"/>
    <s v="Rajasthan"/>
    <n v="4"/>
    <n v="2"/>
    <n v="3829"/>
    <s v="Disputed"/>
  </r>
  <r>
    <d v="2024-01-11T00:00:00"/>
    <x v="11"/>
    <s v="Truck"/>
    <x v="1"/>
    <n v="1000"/>
    <b v="0"/>
    <s v="Cloudy"/>
    <s v="Afternoon"/>
    <s v="Dry"/>
    <s v="18-25"/>
    <n v="2"/>
    <s v="High"/>
    <s v="Expired"/>
    <b v="1"/>
    <n v="34"/>
    <s v="Delhi"/>
    <n v="2"/>
    <n v="1"/>
    <n v="3705"/>
    <s v="Unpaid"/>
  </r>
  <r>
    <d v="2024-01-11T00:00:00"/>
    <x v="7"/>
    <s v="Auto-rickshaw"/>
    <x v="2"/>
    <n v="1818"/>
    <b v="1"/>
    <s v="Rainy"/>
    <s v="Morning"/>
    <s v="Wet"/>
    <s v="36-50"/>
    <n v="1"/>
    <s v="High"/>
    <s v="Suspended"/>
    <b v="1"/>
    <n v="93"/>
    <s v="Rajasthan"/>
    <n v="6"/>
    <n v="2"/>
    <n v="2239"/>
    <s v="Paid"/>
  </r>
  <r>
    <d v="2024-01-12T00:00:00"/>
    <x v="5"/>
    <s v="Auto-rickshaw"/>
    <x v="3"/>
    <n v="3172"/>
    <b v="0"/>
    <s v="Stormy"/>
    <s v="Afternoon"/>
    <s v="Slippery"/>
    <s v="50+"/>
    <n v="4"/>
    <s v="Low"/>
    <s v="Valid"/>
    <b v="1"/>
    <n v="98"/>
    <s v="Punjab"/>
    <n v="10"/>
    <n v="1"/>
    <n v="2788"/>
    <s v="Paid"/>
  </r>
  <r>
    <d v="2024-01-12T00:00:00"/>
    <x v="6"/>
    <s v="Car"/>
    <x v="1"/>
    <n v="1000"/>
    <b v="0"/>
    <s v="Clear"/>
    <s v="Afternoon"/>
    <s v="Dry"/>
    <s v="50+"/>
    <n v="1"/>
    <s v="Medium"/>
    <s v="Suspended"/>
    <b v="0"/>
    <n v="15"/>
    <s v="Uttar Pradesh"/>
    <n v="6"/>
    <n v="3"/>
    <n v="3367"/>
    <s v="Disputed"/>
  </r>
  <r>
    <d v="2024-01-12T00:00:00"/>
    <x v="1"/>
    <s v="Bike"/>
    <x v="5"/>
    <n v="3681"/>
    <b v="0"/>
    <s v="Foggy"/>
    <s v="Night"/>
    <s v="Dry"/>
    <s v="18-25"/>
    <n v="2"/>
    <s v="Medium"/>
    <s v="Suspended"/>
    <b v="0"/>
    <n v="57"/>
    <s v="Uttar Pradesh"/>
    <n v="3"/>
    <n v="1"/>
    <n v="3354"/>
    <s v="Unpaid"/>
  </r>
  <r>
    <d v="2024-01-12T00:00:00"/>
    <x v="8"/>
    <s v="Truck"/>
    <x v="1"/>
    <n v="1000"/>
    <b v="0"/>
    <s v="Rainy"/>
    <s v="Afternoon"/>
    <s v="Under Construction"/>
    <s v="36-50"/>
    <n v="4"/>
    <s v="Low"/>
    <s v="Suspended"/>
    <b v="1"/>
    <n v="76"/>
    <s v="Uttar Pradesh"/>
    <n v="6"/>
    <n v="2"/>
    <n v="1301"/>
    <s v="Disputed"/>
  </r>
  <r>
    <d v="2024-01-13T00:00:00"/>
    <x v="10"/>
    <s v="Bus"/>
    <x v="3"/>
    <n v="4415"/>
    <b v="1"/>
    <s v="Clear"/>
    <s v="Night"/>
    <s v="Dry"/>
    <s v="18-25"/>
    <n v="4"/>
    <s v="Low"/>
    <s v="Valid"/>
    <b v="1"/>
    <n v="34"/>
    <s v="Uttar Pradesh"/>
    <n v="3"/>
    <n v="3"/>
    <n v="4463"/>
    <s v="Paid"/>
  </r>
  <r>
    <d v="2024-01-13T00:00:00"/>
    <x v="6"/>
    <s v="Car"/>
    <x v="1"/>
    <n v="1000"/>
    <b v="0"/>
    <s v="Rainy"/>
    <s v="Afternoon"/>
    <s v="Wet"/>
    <s v="50+"/>
    <n v="1"/>
    <s v="Low"/>
    <s v="Valid"/>
    <b v="0"/>
    <n v="119"/>
    <s v="Delhi"/>
    <n v="8"/>
    <n v="3"/>
    <n v="1423"/>
    <s v="Disputed"/>
  </r>
  <r>
    <d v="2024-01-13T00:00:00"/>
    <x v="12"/>
    <s v="Bus"/>
    <x v="2"/>
    <n v="4316"/>
    <b v="1"/>
    <s v="Stormy"/>
    <s v="Morning"/>
    <s v="Under Construction"/>
    <s v="18-25"/>
    <n v="3"/>
    <s v="High"/>
    <s v="Learner"/>
    <b v="1"/>
    <n v="92"/>
    <s v="Delhi"/>
    <n v="10"/>
    <n v="1"/>
    <n v="4854"/>
    <s v="Unpaid"/>
  </r>
  <r>
    <d v="2024-01-13T00:00:00"/>
    <x v="0"/>
    <s v="Bike"/>
    <x v="0"/>
    <n v="1000"/>
    <b v="0"/>
    <s v="Rainy"/>
    <s v="Evening"/>
    <s v="Slippery"/>
    <s v="18-25"/>
    <n v="4"/>
    <s v="Low"/>
    <s v="Learner"/>
    <b v="0"/>
    <n v="56"/>
    <s v="Haryana"/>
    <n v="9"/>
    <n v="2"/>
    <n v="1894"/>
    <s v="Disputed"/>
  </r>
  <r>
    <d v="2024-01-13T00:00:00"/>
    <x v="11"/>
    <s v="Auto-rickshaw"/>
    <x v="5"/>
    <n v="5617"/>
    <b v="0"/>
    <s v="Rainy"/>
    <s v="Morning"/>
    <s v="Under Construction"/>
    <s v="18-25"/>
    <n v="5"/>
    <s v="High"/>
    <s v="Valid"/>
    <b v="1"/>
    <n v="72"/>
    <s v="Punjab"/>
    <n v="8"/>
    <n v="3"/>
    <n v="547"/>
    <s v="Unpaid"/>
  </r>
  <r>
    <d v="2024-01-13T00:00:00"/>
    <x v="2"/>
    <s v="Bike"/>
    <x v="4"/>
    <n v="8843"/>
    <b v="1"/>
    <s v="Clear"/>
    <s v="Night"/>
    <s v="Wet"/>
    <s v="36-50"/>
    <n v="2"/>
    <s v="Medium"/>
    <s v="Expired"/>
    <b v="1"/>
    <n v="59"/>
    <s v="Delhi"/>
    <n v="3"/>
    <n v="2"/>
    <n v="2206"/>
    <s v="Unpaid"/>
  </r>
  <r>
    <d v="2024-01-14T00:00:00"/>
    <x v="12"/>
    <s v="Car"/>
    <x v="1"/>
    <n v="1000"/>
    <b v="0"/>
    <s v="Cloudy"/>
    <s v="Afternoon"/>
    <s v="Dry"/>
    <s v="26-35"/>
    <n v="0"/>
    <s v="Low"/>
    <s v="Learner"/>
    <b v="0"/>
    <n v="59"/>
    <s v="Rajasthan"/>
    <n v="8"/>
    <n v="1"/>
    <n v="1978"/>
    <s v="Unpaid"/>
  </r>
  <r>
    <d v="2024-01-14T00:00:00"/>
    <x v="13"/>
    <s v="Bus"/>
    <x v="2"/>
    <n v="1511"/>
    <b v="1"/>
    <s v="Cloudy"/>
    <s v="Night"/>
    <s v="Dry"/>
    <s v="26-35"/>
    <n v="2"/>
    <s v="Medium"/>
    <s v="Valid"/>
    <b v="1"/>
    <n v="54"/>
    <s v="Uttar Pradesh"/>
    <n v="1"/>
    <n v="1"/>
    <n v="667"/>
    <s v="Disputed"/>
  </r>
  <r>
    <d v="2024-01-14T00:00:00"/>
    <x v="12"/>
    <s v="Truck"/>
    <x v="4"/>
    <n v="5836"/>
    <b v="0"/>
    <s v="Clear"/>
    <s v="Afternoon"/>
    <s v="Wet"/>
    <s v="36-50"/>
    <n v="4"/>
    <s v="Low"/>
    <s v="Learner"/>
    <b v="0"/>
    <n v="63"/>
    <s v="Punjab"/>
    <n v="9"/>
    <n v="1"/>
    <n v="2817"/>
    <s v="Paid"/>
  </r>
  <r>
    <d v="2024-01-14T00:00:00"/>
    <x v="11"/>
    <s v="Auto-rickshaw"/>
    <x v="1"/>
    <n v="1000"/>
    <b v="1"/>
    <s v="Rainy"/>
    <s v="Morning"/>
    <s v="Under Construction"/>
    <s v="26-35"/>
    <n v="0"/>
    <s v="Low"/>
    <s v="Valid"/>
    <b v="0"/>
    <n v="114"/>
    <s v="Uttar Pradesh"/>
    <n v="7"/>
    <n v="3"/>
    <n v="4674"/>
    <s v="Paid"/>
  </r>
  <r>
    <d v="2024-01-15T00:00:00"/>
    <x v="14"/>
    <s v="Truck"/>
    <x v="2"/>
    <n v="1757"/>
    <b v="1"/>
    <s v="Stormy"/>
    <s v="Morning"/>
    <s v="Slippery"/>
    <s v="36-50"/>
    <n v="1"/>
    <s v="Low"/>
    <s v="Expired"/>
    <b v="0"/>
    <n v="33"/>
    <s v="Haryana"/>
    <n v="2"/>
    <n v="1"/>
    <n v="1272"/>
    <s v="Paid"/>
  </r>
  <r>
    <d v="2024-01-15T00:00:00"/>
    <x v="0"/>
    <s v="Bus"/>
    <x v="4"/>
    <n v="5002"/>
    <b v="0"/>
    <s v="Stormy"/>
    <s v="Evening"/>
    <s v="Wet"/>
    <s v="26-35"/>
    <n v="1"/>
    <s v="Medium"/>
    <s v="Learner"/>
    <b v="0"/>
    <n v="116"/>
    <s v="Delhi"/>
    <n v="6"/>
    <n v="3"/>
    <n v="2094"/>
    <s v="Paid"/>
  </r>
  <r>
    <d v="2024-01-16T00:00:00"/>
    <x v="9"/>
    <s v="Auto-rickshaw"/>
    <x v="2"/>
    <n v="3069"/>
    <b v="1"/>
    <s v="Clear"/>
    <s v="Afternoon"/>
    <s v="Slippery"/>
    <s v="18-25"/>
    <n v="1"/>
    <s v="Medium"/>
    <s v="Valid"/>
    <b v="1"/>
    <n v="120"/>
    <s v="Rajasthan"/>
    <n v="8"/>
    <n v="3"/>
    <n v="4738"/>
    <s v="Paid"/>
  </r>
  <r>
    <d v="2024-01-16T00:00:00"/>
    <x v="11"/>
    <s v="Bike"/>
    <x v="0"/>
    <n v="1000"/>
    <b v="0"/>
    <s v="Cloudy"/>
    <s v="Morning"/>
    <s v="Slippery"/>
    <s v="18-25"/>
    <n v="2"/>
    <s v="High"/>
    <s v="Expired"/>
    <b v="0"/>
    <n v="50"/>
    <s v="Delhi"/>
    <n v="3"/>
    <n v="3"/>
    <n v="1161"/>
    <s v="Disputed"/>
  </r>
  <r>
    <d v="2024-01-17T00:00:00"/>
    <x v="2"/>
    <s v="Bus"/>
    <x v="5"/>
    <n v="3296"/>
    <b v="0"/>
    <s v="Rainy"/>
    <s v="Evening"/>
    <s v="Dry"/>
    <s v="50+"/>
    <n v="5"/>
    <s v="High"/>
    <s v="Suspended"/>
    <b v="0"/>
    <n v="89"/>
    <s v="Uttar Pradesh"/>
    <n v="6"/>
    <n v="2"/>
    <n v="3625"/>
    <s v="Unpaid"/>
  </r>
  <r>
    <d v="2024-01-17T00:00:00"/>
    <x v="2"/>
    <s v="Truck"/>
    <x v="5"/>
    <n v="6379"/>
    <b v="1"/>
    <s v="Foggy"/>
    <s v="Night"/>
    <s v="Slippery"/>
    <s v="50+"/>
    <n v="2"/>
    <s v="Medium"/>
    <s v="Learner"/>
    <b v="0"/>
    <n v="88"/>
    <s v="Punjab"/>
    <n v="7"/>
    <n v="1"/>
    <n v="2484"/>
    <s v="Disputed"/>
  </r>
  <r>
    <d v="2024-01-18T00:00:00"/>
    <x v="8"/>
    <s v="Car"/>
    <x v="5"/>
    <n v="4725"/>
    <b v="1"/>
    <s v="Clear"/>
    <s v="Night"/>
    <s v="Slippery"/>
    <s v="50+"/>
    <n v="5"/>
    <s v="Low"/>
    <s v="Valid"/>
    <b v="1"/>
    <n v="27"/>
    <s v="Rajasthan"/>
    <n v="4"/>
    <n v="2"/>
    <n v="3879"/>
    <s v="Disputed"/>
  </r>
  <r>
    <d v="2024-01-18T00:00:00"/>
    <x v="1"/>
    <s v="Car"/>
    <x v="5"/>
    <n v="4114"/>
    <b v="0"/>
    <s v="Rainy"/>
    <s v="Afternoon"/>
    <s v="Dry"/>
    <s v="18-25"/>
    <n v="3"/>
    <s v="High"/>
    <s v="Expired"/>
    <b v="0"/>
    <n v="67"/>
    <s v="Delhi"/>
    <n v="8"/>
    <n v="3"/>
    <n v="2646"/>
    <s v="Unpaid"/>
  </r>
  <r>
    <d v="2024-01-18T00:00:00"/>
    <x v="3"/>
    <s v="Car"/>
    <x v="4"/>
    <n v="43125"/>
    <b v="0"/>
    <s v="Rainy"/>
    <s v="Evening"/>
    <s v="Wet"/>
    <s v="36-50"/>
    <n v="5"/>
    <s v="High"/>
    <s v="Valid"/>
    <b v="1"/>
    <n v="3"/>
    <s v="Haryana"/>
    <n v="10"/>
    <n v="1"/>
    <n v="3722"/>
    <s v="Unpaid"/>
  </r>
  <r>
    <d v="2024-01-19T00:00:00"/>
    <x v="11"/>
    <s v="Bus"/>
    <x v="5"/>
    <n v="3717"/>
    <b v="0"/>
    <s v="Stormy"/>
    <s v="Evening"/>
    <s v="Dry"/>
    <s v="26-35"/>
    <n v="2"/>
    <s v="Low"/>
    <s v="Learner"/>
    <b v="1"/>
    <n v="45"/>
    <s v="Haryana"/>
    <n v="1"/>
    <n v="3"/>
    <n v="1884"/>
    <s v="Unpaid"/>
  </r>
  <r>
    <d v="2024-01-19T00:00:00"/>
    <x v="11"/>
    <s v="Auto-rickshaw"/>
    <x v="1"/>
    <n v="1000"/>
    <b v="0"/>
    <s v="Rainy"/>
    <s v="Night"/>
    <s v="Dry"/>
    <s v="36-50"/>
    <n v="4"/>
    <s v="Medium"/>
    <s v="Learner"/>
    <b v="1"/>
    <n v="105"/>
    <s v="Uttar Pradesh"/>
    <n v="3"/>
    <n v="1"/>
    <n v="4503"/>
    <s v="Disputed"/>
  </r>
  <r>
    <d v="2024-01-19T00:00:00"/>
    <x v="10"/>
    <s v="Bus"/>
    <x v="1"/>
    <n v="1000"/>
    <b v="1"/>
    <s v="Rainy"/>
    <s v="Evening"/>
    <s v="Slippery"/>
    <s v="26-35"/>
    <n v="4"/>
    <s v="Low"/>
    <s v="Suspended"/>
    <b v="1"/>
    <n v="77"/>
    <s v="Haryana"/>
    <n v="4"/>
    <n v="1"/>
    <n v="4373"/>
    <s v="Unpaid"/>
  </r>
  <r>
    <d v="2024-01-20T00:00:00"/>
    <x v="4"/>
    <s v="Bus"/>
    <x v="3"/>
    <n v="4030"/>
    <b v="1"/>
    <s v="Cloudy"/>
    <s v="Evening"/>
    <s v="Dry"/>
    <s v="36-50"/>
    <n v="5"/>
    <s v="Medium"/>
    <s v="Expired"/>
    <b v="1"/>
    <n v="45"/>
    <s v="Haryana"/>
    <n v="2"/>
    <n v="3"/>
    <n v="1971"/>
    <s v="Paid"/>
  </r>
  <r>
    <d v="2024-01-20T00:00:00"/>
    <x v="4"/>
    <s v="Bus"/>
    <x v="5"/>
    <n v="7488"/>
    <b v="0"/>
    <s v="Cloudy"/>
    <s v="Afternoon"/>
    <s v="Wet"/>
    <s v="36-50"/>
    <n v="1"/>
    <s v="High"/>
    <s v="Learner"/>
    <b v="0"/>
    <n v="106"/>
    <s v="Rajasthan"/>
    <n v="5"/>
    <n v="1"/>
    <n v="1397"/>
    <s v="Paid"/>
  </r>
  <r>
    <d v="2024-01-20T00:00:00"/>
    <x v="5"/>
    <s v="Bus"/>
    <x v="4"/>
    <n v="6232"/>
    <b v="0"/>
    <s v="Rainy"/>
    <s v="Evening"/>
    <s v="Wet"/>
    <s v="36-50"/>
    <n v="3"/>
    <s v="Medium"/>
    <s v="Valid"/>
    <b v="0"/>
    <n v="12"/>
    <s v="Uttar Pradesh"/>
    <n v="3"/>
    <n v="1"/>
    <n v="2663"/>
    <s v="Paid"/>
  </r>
  <r>
    <d v="2024-01-20T00:00:00"/>
    <x v="1"/>
    <s v="Truck"/>
    <x v="4"/>
    <n v="9477"/>
    <b v="0"/>
    <s v="Foggy"/>
    <s v="Evening"/>
    <s v="Dry"/>
    <s v="26-35"/>
    <n v="1"/>
    <s v="Medium"/>
    <s v="Expired"/>
    <b v="1"/>
    <n v="110"/>
    <s v="Delhi"/>
    <n v="4"/>
    <n v="2"/>
    <n v="2959"/>
    <s v="Disputed"/>
  </r>
  <r>
    <d v="2024-01-20T00:00:00"/>
    <x v="7"/>
    <s v="Auto-rickshaw"/>
    <x v="5"/>
    <n v="7689"/>
    <b v="1"/>
    <s v="Stormy"/>
    <s v="Evening"/>
    <s v="Dry"/>
    <s v="18-25"/>
    <n v="0"/>
    <s v="Medium"/>
    <s v="Suspended"/>
    <b v="0"/>
    <n v="22"/>
    <s v="Uttar Pradesh"/>
    <n v="7"/>
    <n v="3"/>
    <n v="1976"/>
    <s v="Paid"/>
  </r>
  <r>
    <d v="2024-01-20T00:00:00"/>
    <x v="4"/>
    <s v="Truck"/>
    <x v="3"/>
    <n v="4699"/>
    <b v="0"/>
    <s v="Stormy"/>
    <s v="Night"/>
    <s v="Dry"/>
    <s v="26-35"/>
    <n v="2"/>
    <s v="Low"/>
    <s v="Expired"/>
    <b v="0"/>
    <n v="93"/>
    <s v="Uttar Pradesh"/>
    <n v="2"/>
    <n v="1"/>
    <n v="4918"/>
    <s v="Unpaid"/>
  </r>
  <r>
    <d v="2024-01-21T00:00:00"/>
    <x v="12"/>
    <s v="Bike"/>
    <x v="0"/>
    <n v="1000"/>
    <b v="1"/>
    <s v="Cloudy"/>
    <s v="Afternoon"/>
    <s v="Dry"/>
    <s v="26-35"/>
    <n v="2"/>
    <s v="Low"/>
    <s v="Valid"/>
    <b v="1"/>
    <n v="50"/>
    <s v="Punjab"/>
    <n v="2"/>
    <n v="1"/>
    <n v="3495"/>
    <s v="Disputed"/>
  </r>
  <r>
    <d v="2024-01-21T00:00:00"/>
    <x v="10"/>
    <s v="Bike"/>
    <x v="3"/>
    <n v="4251"/>
    <b v="0"/>
    <s v="Clear"/>
    <s v="Morning"/>
    <s v="Slippery"/>
    <s v="50+"/>
    <n v="3"/>
    <s v="Low"/>
    <s v="Learner"/>
    <b v="1"/>
    <n v="25"/>
    <s v="Haryana"/>
    <n v="3"/>
    <n v="2"/>
    <n v="4162"/>
    <s v="Unpaid"/>
  </r>
  <r>
    <d v="2024-01-21T00:00:00"/>
    <x v="8"/>
    <s v="Auto-rickshaw"/>
    <x v="3"/>
    <n v="2465"/>
    <b v="0"/>
    <s v="Stormy"/>
    <s v="Afternoon"/>
    <s v="Dry"/>
    <s v="50+"/>
    <n v="3"/>
    <s v="High"/>
    <s v="Learner"/>
    <b v="1"/>
    <n v="47"/>
    <s v="Punjab"/>
    <n v="3"/>
    <n v="3"/>
    <n v="1264"/>
    <s v="Unpaid"/>
  </r>
  <r>
    <d v="2024-01-22T00:00:00"/>
    <x v="11"/>
    <s v="Bike"/>
    <x v="5"/>
    <n v="4602"/>
    <b v="0"/>
    <s v="Foggy"/>
    <s v="Night"/>
    <s v="Dry"/>
    <s v="36-50"/>
    <n v="1"/>
    <s v="High"/>
    <s v="Suspended"/>
    <b v="1"/>
    <n v="76"/>
    <s v="Delhi"/>
    <n v="5"/>
    <n v="1"/>
    <n v="1937"/>
    <s v="Disputed"/>
  </r>
  <r>
    <d v="2024-01-22T00:00:00"/>
    <x v="1"/>
    <s v="Bus"/>
    <x v="2"/>
    <n v="2139"/>
    <b v="1"/>
    <s v="Stormy"/>
    <s v="Morning"/>
    <s v="Dry"/>
    <s v="36-50"/>
    <n v="1"/>
    <s v="Medium"/>
    <s v="Expired"/>
    <b v="1"/>
    <n v="27"/>
    <s v="Punjab"/>
    <n v="9"/>
    <n v="3"/>
    <n v="3142"/>
    <s v="Paid"/>
  </r>
  <r>
    <d v="2024-01-22T00:00:00"/>
    <x v="11"/>
    <s v="Truck"/>
    <x v="3"/>
    <n v="4702"/>
    <b v="0"/>
    <s v="Stormy"/>
    <s v="Morning"/>
    <s v="Slippery"/>
    <s v="26-35"/>
    <n v="3"/>
    <s v="Low"/>
    <s v="Expired"/>
    <b v="1"/>
    <n v="0"/>
    <s v="Delhi"/>
    <n v="10"/>
    <n v="1"/>
    <n v="3597"/>
    <s v="Disputed"/>
  </r>
  <r>
    <d v="2024-01-23T00:00:00"/>
    <x v="0"/>
    <s v="Bus"/>
    <x v="3"/>
    <n v="4256"/>
    <b v="1"/>
    <s v="Clear"/>
    <s v="Night"/>
    <s v="Under Construction"/>
    <s v="26-35"/>
    <n v="5"/>
    <s v="High"/>
    <s v="Valid"/>
    <b v="1"/>
    <n v="22"/>
    <s v="Punjab"/>
    <n v="1"/>
    <n v="1"/>
    <n v="2258"/>
    <s v="Unpaid"/>
  </r>
  <r>
    <d v="2024-01-23T00:00:00"/>
    <x v="3"/>
    <s v="Car"/>
    <x v="1"/>
    <n v="1000"/>
    <b v="0"/>
    <s v="Rainy"/>
    <s v="Evening"/>
    <s v="Dry"/>
    <s v="50+"/>
    <n v="4"/>
    <s v="Medium"/>
    <s v="Expired"/>
    <b v="1"/>
    <n v="60"/>
    <s v="Delhi"/>
    <n v="10"/>
    <n v="2"/>
    <n v="1946"/>
    <s v="Unpaid"/>
  </r>
  <r>
    <d v="2024-01-23T00:00:00"/>
    <x v="11"/>
    <s v="Auto-rickshaw"/>
    <x v="2"/>
    <n v="1118"/>
    <b v="1"/>
    <s v="Foggy"/>
    <s v="Afternoon"/>
    <s v="Wet"/>
    <s v="26-35"/>
    <n v="5"/>
    <s v="Low"/>
    <s v="Valid"/>
    <b v="0"/>
    <n v="54"/>
    <s v="Delhi"/>
    <n v="9"/>
    <n v="2"/>
    <n v="3170"/>
    <s v="Unpaid"/>
  </r>
  <r>
    <d v="2024-01-23T00:00:00"/>
    <x v="9"/>
    <s v="Auto-rickshaw"/>
    <x v="1"/>
    <n v="1000"/>
    <b v="0"/>
    <s v="Cloudy"/>
    <s v="Evening"/>
    <s v="Under Construction"/>
    <s v="36-50"/>
    <n v="1"/>
    <s v="Medium"/>
    <s v="Learner"/>
    <b v="1"/>
    <n v="44"/>
    <s v="Rajasthan"/>
    <n v="1"/>
    <n v="2"/>
    <n v="1788"/>
    <s v="Disputed"/>
  </r>
  <r>
    <d v="2024-01-23T00:00:00"/>
    <x v="9"/>
    <s v="Bus"/>
    <x v="3"/>
    <n v="4189"/>
    <b v="0"/>
    <s v="Rainy"/>
    <s v="Evening"/>
    <s v="Under Construction"/>
    <s v="18-25"/>
    <n v="0"/>
    <s v="High"/>
    <s v="Learner"/>
    <b v="0"/>
    <n v="69"/>
    <s v="Uttar Pradesh"/>
    <n v="4"/>
    <n v="2"/>
    <n v="636"/>
    <s v="Unpaid"/>
  </r>
  <r>
    <d v="2024-01-23T00:00:00"/>
    <x v="6"/>
    <s v="Bus"/>
    <x v="3"/>
    <n v="3785"/>
    <b v="1"/>
    <s v="Cloudy"/>
    <s v="Night"/>
    <s v="Dry"/>
    <s v="50+"/>
    <n v="4"/>
    <s v="Medium"/>
    <s v="Suspended"/>
    <b v="0"/>
    <n v="35"/>
    <s v="Punjab"/>
    <n v="8"/>
    <n v="1"/>
    <n v="1298"/>
    <s v="Paid"/>
  </r>
  <r>
    <d v="2024-01-24T00:00:00"/>
    <x v="0"/>
    <s v="Car"/>
    <x v="1"/>
    <n v="1000"/>
    <b v="0"/>
    <s v="Clear"/>
    <s v="Morning"/>
    <s v="Wet"/>
    <s v="18-25"/>
    <n v="2"/>
    <s v="High"/>
    <s v="Valid"/>
    <b v="1"/>
    <n v="78"/>
    <s v="Uttar Pradesh"/>
    <n v="10"/>
    <n v="2"/>
    <n v="3456"/>
    <s v="Unpaid"/>
  </r>
  <r>
    <d v="2024-01-24T00:00:00"/>
    <x v="1"/>
    <s v="Car"/>
    <x v="1"/>
    <n v="1000"/>
    <b v="0"/>
    <s v="Stormy"/>
    <s v="Morning"/>
    <s v="Wet"/>
    <s v="36-50"/>
    <n v="5"/>
    <s v="Low"/>
    <s v="Expired"/>
    <b v="1"/>
    <n v="75"/>
    <s v="Rajasthan"/>
    <n v="9"/>
    <n v="3"/>
    <n v="1993"/>
    <s v="Paid"/>
  </r>
  <r>
    <d v="2024-01-24T00:00:00"/>
    <x v="5"/>
    <s v="Bus"/>
    <x v="2"/>
    <n v="3903"/>
    <b v="0"/>
    <s v="Rainy"/>
    <s v="Night"/>
    <s v="Under Construction"/>
    <s v="26-35"/>
    <n v="4"/>
    <s v="High"/>
    <s v="Learner"/>
    <b v="0"/>
    <n v="109"/>
    <s v="Haryana"/>
    <n v="3"/>
    <n v="3"/>
    <n v="3570"/>
    <s v="Unpaid"/>
  </r>
  <r>
    <d v="2024-01-24T00:00:00"/>
    <x v="14"/>
    <s v="Car"/>
    <x v="1"/>
    <n v="1000"/>
    <b v="0"/>
    <s v="Foggy"/>
    <s v="Morning"/>
    <s v="Dry"/>
    <s v="36-50"/>
    <n v="2"/>
    <s v="Medium"/>
    <s v="Learner"/>
    <b v="0"/>
    <n v="92"/>
    <s v="Rajasthan"/>
    <n v="4"/>
    <n v="1"/>
    <n v="2169"/>
    <s v="Unpaid"/>
  </r>
  <r>
    <d v="2024-01-24T00:00:00"/>
    <x v="2"/>
    <s v="Auto-rickshaw"/>
    <x v="1"/>
    <n v="1000"/>
    <b v="1"/>
    <s v="Stormy"/>
    <s v="Morning"/>
    <s v="Under Construction"/>
    <s v="36-50"/>
    <n v="5"/>
    <s v="High"/>
    <s v="Learner"/>
    <b v="1"/>
    <n v="63"/>
    <s v="Punjab"/>
    <n v="8"/>
    <n v="2"/>
    <n v="2835"/>
    <s v="Unpaid"/>
  </r>
  <r>
    <d v="2024-01-24T00:00:00"/>
    <x v="3"/>
    <s v="Bus"/>
    <x v="5"/>
    <n v="7452"/>
    <b v="1"/>
    <s v="Stormy"/>
    <s v="Night"/>
    <s v="Under Construction"/>
    <s v="26-35"/>
    <n v="1"/>
    <s v="High"/>
    <s v="Valid"/>
    <b v="1"/>
    <n v="119"/>
    <s v="Delhi"/>
    <n v="5"/>
    <n v="3"/>
    <n v="1284"/>
    <s v="Paid"/>
  </r>
  <r>
    <d v="2024-01-25T00:00:00"/>
    <x v="9"/>
    <s v="Auto-rickshaw"/>
    <x v="3"/>
    <n v="4529"/>
    <b v="1"/>
    <s v="Foggy"/>
    <s v="Morning"/>
    <s v="Slippery"/>
    <s v="18-25"/>
    <n v="1"/>
    <s v="Medium"/>
    <s v="Learner"/>
    <b v="0"/>
    <n v="8"/>
    <s v="Punjab"/>
    <n v="2"/>
    <n v="1"/>
    <n v="1223"/>
    <s v="Disputed"/>
  </r>
  <r>
    <d v="2024-01-25T00:00:00"/>
    <x v="8"/>
    <s v="Car"/>
    <x v="5"/>
    <n v="3465"/>
    <b v="0"/>
    <s v="Rainy"/>
    <s v="Afternoon"/>
    <s v="Dry"/>
    <s v="36-50"/>
    <n v="0"/>
    <s v="Medium"/>
    <s v="Suspended"/>
    <b v="0"/>
    <n v="42"/>
    <s v="Punjab"/>
    <n v="1"/>
    <n v="2"/>
    <n v="1884"/>
    <s v="Unpaid"/>
  </r>
  <r>
    <d v="2024-01-26T00:00:00"/>
    <x v="14"/>
    <s v="Truck"/>
    <x v="3"/>
    <n v="2643"/>
    <b v="0"/>
    <s v="Rainy"/>
    <s v="Evening"/>
    <s v="Slippery"/>
    <s v="50+"/>
    <n v="4"/>
    <s v="Low"/>
    <s v="Learner"/>
    <b v="1"/>
    <n v="46"/>
    <s v="Uttar Pradesh"/>
    <n v="2"/>
    <n v="3"/>
    <n v="4158"/>
    <s v="Paid"/>
  </r>
  <r>
    <d v="2024-01-26T00:00:00"/>
    <x v="14"/>
    <s v="Car"/>
    <x v="4"/>
    <n v="7331"/>
    <b v="0"/>
    <s v="Stormy"/>
    <s v="Morning"/>
    <s v="Dry"/>
    <s v="50+"/>
    <n v="1"/>
    <s v="Medium"/>
    <s v="Expired"/>
    <b v="1"/>
    <n v="10"/>
    <s v="Punjab"/>
    <n v="6"/>
    <n v="1"/>
    <n v="2304"/>
    <s v="Disputed"/>
  </r>
  <r>
    <d v="2024-01-26T00:00:00"/>
    <x v="2"/>
    <s v="Bike"/>
    <x v="0"/>
    <n v="1000"/>
    <b v="1"/>
    <s v="Rainy"/>
    <s v="Afternoon"/>
    <s v="Under Construction"/>
    <s v="18-25"/>
    <n v="2"/>
    <s v="High"/>
    <s v="Valid"/>
    <b v="0"/>
    <n v="81"/>
    <s v="Rajasthan"/>
    <n v="10"/>
    <n v="3"/>
    <n v="3443"/>
    <s v="Unpaid"/>
  </r>
  <r>
    <d v="2024-01-26T00:00:00"/>
    <x v="12"/>
    <s v="Bus"/>
    <x v="1"/>
    <n v="1000"/>
    <b v="0"/>
    <s v="Rainy"/>
    <s v="Night"/>
    <s v="Dry"/>
    <s v="18-25"/>
    <n v="2"/>
    <s v="Medium"/>
    <s v="Expired"/>
    <b v="0"/>
    <n v="57"/>
    <s v="Rajasthan"/>
    <n v="8"/>
    <n v="3"/>
    <n v="2368"/>
    <s v="Unpaid"/>
  </r>
  <r>
    <d v="2024-01-26T00:00:00"/>
    <x v="3"/>
    <s v="Bike"/>
    <x v="4"/>
    <n v="8949"/>
    <b v="0"/>
    <s v="Stormy"/>
    <s v="Evening"/>
    <s v="Slippery"/>
    <s v="50+"/>
    <n v="3"/>
    <s v="High"/>
    <s v="Suspended"/>
    <b v="1"/>
    <n v="50"/>
    <s v="Haryana"/>
    <n v="8"/>
    <n v="1"/>
    <n v="3483"/>
    <s v="Unpaid"/>
  </r>
  <r>
    <d v="2024-01-27T00:00:00"/>
    <x v="9"/>
    <s v="Bus"/>
    <x v="1"/>
    <n v="1000"/>
    <b v="0"/>
    <s v="Clear"/>
    <s v="Morning"/>
    <s v="Wet"/>
    <s v="36-50"/>
    <n v="15"/>
    <s v="High"/>
    <s v="Expired"/>
    <b v="1"/>
    <n v="37"/>
    <s v="Haryana"/>
    <n v="1"/>
    <n v="3"/>
    <n v="2227"/>
    <s v="Paid"/>
  </r>
  <r>
    <d v="2024-01-27T00:00:00"/>
    <x v="5"/>
    <s v="Auto-rickshaw"/>
    <x v="2"/>
    <n v="3838"/>
    <b v="1"/>
    <s v="Cloudy"/>
    <s v="Afternoon"/>
    <s v="Slippery"/>
    <s v="18-25"/>
    <n v="2"/>
    <s v="Medium"/>
    <s v="Learner"/>
    <b v="0"/>
    <n v="6"/>
    <s v="Punjab"/>
    <n v="10"/>
    <n v="3"/>
    <n v="2978"/>
    <s v="Unpaid"/>
  </r>
  <r>
    <d v="2024-01-27T00:00:00"/>
    <x v="2"/>
    <s v="Bus"/>
    <x v="5"/>
    <n v="2974"/>
    <b v="0"/>
    <s v="Clear"/>
    <s v="Morning"/>
    <s v="Under Construction"/>
    <s v="18-25"/>
    <n v="5"/>
    <s v="High"/>
    <s v="Suspended"/>
    <b v="1"/>
    <n v="6"/>
    <s v="Haryana"/>
    <n v="7"/>
    <n v="3"/>
    <n v="3551"/>
    <s v="Unpaid"/>
  </r>
  <r>
    <d v="2024-01-28T00:00:00"/>
    <x v="9"/>
    <s v="Car"/>
    <x v="5"/>
    <n v="5541"/>
    <b v="0"/>
    <s v="Foggy"/>
    <s v="Morning"/>
    <s v="Wet"/>
    <s v="18-25"/>
    <n v="4"/>
    <s v="Low"/>
    <s v="Expired"/>
    <b v="1"/>
    <n v="118"/>
    <s v="Delhi"/>
    <n v="3"/>
    <n v="1"/>
    <n v="894"/>
    <s v="Unpaid"/>
  </r>
  <r>
    <d v="2024-02-01T00:00:00"/>
    <x v="7"/>
    <s v="Car"/>
    <x v="4"/>
    <n v="9515"/>
    <b v="1"/>
    <s v="Foggy"/>
    <s v="Night"/>
    <s v="Dry"/>
    <s v="26-35"/>
    <n v="5"/>
    <s v="Low"/>
    <s v="Suspended"/>
    <b v="0"/>
    <n v="55"/>
    <s v="Punjab"/>
    <n v="4"/>
    <n v="2"/>
    <n v="3040"/>
    <s v="Paid"/>
  </r>
  <r>
    <d v="2024-02-01T00:00:00"/>
    <x v="8"/>
    <s v="Bus"/>
    <x v="4"/>
    <n v="7372"/>
    <b v="0"/>
    <s v="Foggy"/>
    <s v="Evening"/>
    <s v="Wet"/>
    <s v="18-25"/>
    <n v="4"/>
    <s v="Low"/>
    <s v="Suspended"/>
    <b v="0"/>
    <n v="73"/>
    <s v="Rajasthan"/>
    <n v="5"/>
    <n v="1"/>
    <n v="4767"/>
    <s v="Paid"/>
  </r>
  <r>
    <d v="2024-02-01T00:00:00"/>
    <x v="6"/>
    <s v="Truck"/>
    <x v="5"/>
    <n v="3723"/>
    <b v="1"/>
    <s v="Rainy"/>
    <s v="Evening"/>
    <s v="Slippery"/>
    <s v="50+"/>
    <n v="4"/>
    <s v="Medium"/>
    <s v="Learner"/>
    <b v="1"/>
    <n v="49"/>
    <s v="Rajasthan"/>
    <n v="1"/>
    <n v="1"/>
    <n v="1366"/>
    <s v="Disputed"/>
  </r>
  <r>
    <d v="2024-02-02T00:00:00"/>
    <x v="10"/>
    <s v="Bike"/>
    <x v="0"/>
    <n v="1000"/>
    <b v="1"/>
    <s v="Foggy"/>
    <s v="Evening"/>
    <s v="Wet"/>
    <s v="36-50"/>
    <n v="1"/>
    <s v="High"/>
    <s v="Learner"/>
    <b v="1"/>
    <n v="97"/>
    <s v="Delhi"/>
    <n v="5"/>
    <n v="1"/>
    <n v="1589"/>
    <s v="Paid"/>
  </r>
  <r>
    <d v="2024-02-03T00:00:00"/>
    <x v="11"/>
    <s v="Auto-rickshaw"/>
    <x v="2"/>
    <n v="4346"/>
    <b v="0"/>
    <s v="Cloudy"/>
    <s v="Afternoon"/>
    <s v="Slippery"/>
    <s v="50+"/>
    <n v="1"/>
    <s v="Medium"/>
    <s v="Suspended"/>
    <b v="1"/>
    <n v="92"/>
    <s v="Haryana"/>
    <n v="5"/>
    <n v="2"/>
    <n v="3073"/>
    <s v="Unpaid"/>
  </r>
  <r>
    <d v="2024-02-04T00:00:00"/>
    <x v="2"/>
    <s v="Auto-rickshaw"/>
    <x v="1"/>
    <n v="1000"/>
    <b v="0"/>
    <s v="Clear"/>
    <s v="Afternoon"/>
    <s v="Slippery"/>
    <s v="50+"/>
    <n v="4"/>
    <s v="Low"/>
    <s v="Expired"/>
    <b v="0"/>
    <n v="8"/>
    <s v="Punjab"/>
    <n v="8"/>
    <n v="1"/>
    <n v="1096"/>
    <s v="Unpaid"/>
  </r>
  <r>
    <d v="2024-02-04T00:00:00"/>
    <x v="7"/>
    <s v="Bus"/>
    <x v="5"/>
    <n v="4991"/>
    <b v="1"/>
    <s v="Cloudy"/>
    <s v="Night"/>
    <s v="Wet"/>
    <s v="26-35"/>
    <n v="3"/>
    <s v="Low"/>
    <s v="Expired"/>
    <b v="0"/>
    <n v="24"/>
    <s v="Rajasthan"/>
    <n v="2"/>
    <n v="1"/>
    <n v="901"/>
    <s v="Unpaid"/>
  </r>
  <r>
    <d v="2024-02-04T00:00:00"/>
    <x v="13"/>
    <s v="Auto-rickshaw"/>
    <x v="4"/>
    <n v="5668"/>
    <b v="0"/>
    <s v="Clear"/>
    <s v="Afternoon"/>
    <s v="Dry"/>
    <s v="26-35"/>
    <n v="0"/>
    <s v="High"/>
    <s v="Expired"/>
    <b v="0"/>
    <n v="27"/>
    <s v="Haryana"/>
    <n v="2"/>
    <n v="3"/>
    <n v="1479"/>
    <s v="Paid"/>
  </r>
  <r>
    <d v="2024-02-04T00:00:00"/>
    <x v="1"/>
    <s v="Car"/>
    <x v="4"/>
    <n v="34890"/>
    <b v="0"/>
    <s v="Stormy"/>
    <s v="Afternoon"/>
    <s v="Under Construction"/>
    <s v="26-35"/>
    <n v="3"/>
    <s v="High"/>
    <s v="Suspended"/>
    <b v="1"/>
    <n v="44"/>
    <s v="Haryana"/>
    <n v="6"/>
    <n v="1"/>
    <n v="3239"/>
    <s v="Disputed"/>
  </r>
  <r>
    <d v="2024-02-05T00:00:00"/>
    <x v="11"/>
    <s v="Car"/>
    <x v="1"/>
    <n v="1000"/>
    <b v="1"/>
    <s v="Rainy"/>
    <s v="Afternoon"/>
    <s v="Under Construction"/>
    <s v="50+"/>
    <n v="0"/>
    <s v="Medium"/>
    <s v="Suspended"/>
    <b v="1"/>
    <n v="53"/>
    <s v="Delhi"/>
    <n v="1"/>
    <n v="2"/>
    <n v="3207"/>
    <s v="Disputed"/>
  </r>
  <r>
    <d v="2024-02-06T00:00:00"/>
    <x v="5"/>
    <s v="Bus"/>
    <x v="5"/>
    <n v="3632"/>
    <b v="1"/>
    <s v="Rainy"/>
    <s v="Morning"/>
    <s v="Under Construction"/>
    <s v="50+"/>
    <n v="0"/>
    <s v="Medium"/>
    <s v="Valid"/>
    <b v="0"/>
    <n v="119"/>
    <s v="Delhi"/>
    <n v="9"/>
    <n v="3"/>
    <n v="1105"/>
    <s v="Unpaid"/>
  </r>
  <r>
    <d v="2024-02-06T00:00:00"/>
    <x v="3"/>
    <s v="Car"/>
    <x v="5"/>
    <n v="5601"/>
    <b v="1"/>
    <s v="Stormy"/>
    <s v="Night"/>
    <s v="Wet"/>
    <s v="50+"/>
    <n v="2"/>
    <s v="Low"/>
    <s v="Expired"/>
    <b v="0"/>
    <n v="53"/>
    <s v="Haryana"/>
    <n v="1"/>
    <n v="1"/>
    <n v="1189"/>
    <s v="Paid"/>
  </r>
  <r>
    <d v="2024-02-06T00:00:00"/>
    <x v="3"/>
    <s v="Auto-rickshaw"/>
    <x v="2"/>
    <n v="4625"/>
    <b v="0"/>
    <s v="Clear"/>
    <s v="Night"/>
    <s v="Dry"/>
    <s v="18-25"/>
    <n v="0"/>
    <s v="Medium"/>
    <s v="Suspended"/>
    <b v="0"/>
    <n v="2"/>
    <s v="Uttar Pradesh"/>
    <n v="7"/>
    <n v="2"/>
    <n v="4353"/>
    <s v="Disputed"/>
  </r>
  <r>
    <d v="2024-02-07T00:00:00"/>
    <x v="3"/>
    <s v="Truck"/>
    <x v="1"/>
    <n v="1000"/>
    <b v="1"/>
    <s v="Rainy"/>
    <s v="Morning"/>
    <s v="Dry"/>
    <s v="18-25"/>
    <n v="1"/>
    <s v="Low"/>
    <s v="Suspended"/>
    <b v="1"/>
    <n v="41"/>
    <s v="Rajasthan"/>
    <n v="5"/>
    <n v="3"/>
    <n v="2227"/>
    <s v="Disputed"/>
  </r>
  <r>
    <d v="2024-02-07T00:00:00"/>
    <x v="0"/>
    <s v="Truck"/>
    <x v="1"/>
    <n v="1000"/>
    <b v="1"/>
    <s v="Clear"/>
    <s v="Morning"/>
    <s v="Under Construction"/>
    <s v="50+"/>
    <n v="5"/>
    <s v="Medium"/>
    <s v="Learner"/>
    <b v="0"/>
    <n v="114"/>
    <s v="Rajasthan"/>
    <n v="10"/>
    <n v="1"/>
    <n v="2578"/>
    <s v="Unpaid"/>
  </r>
  <r>
    <d v="2024-02-08T00:00:00"/>
    <x v="4"/>
    <s v="Truck"/>
    <x v="5"/>
    <n v="5590"/>
    <b v="0"/>
    <s v="Cloudy"/>
    <s v="Afternoon"/>
    <s v="Wet"/>
    <s v="36-50"/>
    <n v="5"/>
    <s v="Low"/>
    <s v="Learner"/>
    <b v="0"/>
    <n v="38"/>
    <s v="Uttar Pradesh"/>
    <n v="4"/>
    <n v="2"/>
    <n v="3962"/>
    <s v="Disputed"/>
  </r>
  <r>
    <d v="2024-02-09T00:00:00"/>
    <x v="4"/>
    <s v="Bus"/>
    <x v="3"/>
    <n v="1717"/>
    <b v="0"/>
    <s v="Foggy"/>
    <s v="Afternoon"/>
    <s v="Under Construction"/>
    <s v="26-35"/>
    <n v="4"/>
    <s v="Medium"/>
    <s v="Expired"/>
    <b v="1"/>
    <n v="62"/>
    <s v="Delhi"/>
    <n v="6"/>
    <n v="2"/>
    <n v="2162"/>
    <s v="Paid"/>
  </r>
  <r>
    <d v="2024-02-09T00:00:00"/>
    <x v="8"/>
    <s v="Truck"/>
    <x v="5"/>
    <n v="3606"/>
    <b v="0"/>
    <s v="Rainy"/>
    <s v="Evening"/>
    <s v="Slippery"/>
    <s v="50+"/>
    <n v="2"/>
    <s v="Medium"/>
    <s v="Learner"/>
    <b v="1"/>
    <n v="68"/>
    <s v="Uttar Pradesh"/>
    <n v="10"/>
    <n v="2"/>
    <n v="2427"/>
    <s v="Paid"/>
  </r>
  <r>
    <d v="2024-02-09T00:00:00"/>
    <x v="8"/>
    <s v="Truck"/>
    <x v="4"/>
    <n v="5852"/>
    <b v="0"/>
    <s v="Clear"/>
    <s v="Night"/>
    <s v="Under Construction"/>
    <s v="36-50"/>
    <n v="3"/>
    <s v="Medium"/>
    <s v="Suspended"/>
    <b v="0"/>
    <n v="21"/>
    <s v="Haryana"/>
    <n v="3"/>
    <n v="2"/>
    <n v="4939"/>
    <s v="Unpaid"/>
  </r>
  <r>
    <d v="2024-02-09T00:00:00"/>
    <x v="3"/>
    <s v="Bus"/>
    <x v="2"/>
    <n v="2582"/>
    <b v="0"/>
    <s v="Rainy"/>
    <s v="Night"/>
    <s v="Slippery"/>
    <s v="26-35"/>
    <n v="3"/>
    <s v="High"/>
    <s v="Suspended"/>
    <b v="1"/>
    <n v="78"/>
    <s v="Delhi"/>
    <n v="5"/>
    <n v="1"/>
    <n v="3074"/>
    <s v="Unpaid"/>
  </r>
  <r>
    <d v="2024-02-09T00:00:00"/>
    <x v="7"/>
    <s v="Car"/>
    <x v="2"/>
    <n v="4540"/>
    <b v="1"/>
    <s v="Clear"/>
    <s v="Night"/>
    <s v="Slippery"/>
    <s v="26-35"/>
    <n v="5"/>
    <s v="High"/>
    <s v="Learner"/>
    <b v="0"/>
    <n v="53"/>
    <s v="Punjab"/>
    <n v="1"/>
    <n v="3"/>
    <n v="1896"/>
    <s v="Paid"/>
  </r>
  <r>
    <d v="2024-02-09T00:00:00"/>
    <x v="7"/>
    <s v="Truck"/>
    <x v="2"/>
    <n v="3640"/>
    <b v="1"/>
    <s v="Cloudy"/>
    <s v="Night"/>
    <s v="Slippery"/>
    <s v="26-35"/>
    <n v="0"/>
    <s v="Medium"/>
    <s v="Expired"/>
    <b v="0"/>
    <n v="70"/>
    <s v="Haryana"/>
    <n v="8"/>
    <n v="1"/>
    <n v="3006"/>
    <s v="Disputed"/>
  </r>
  <r>
    <d v="2024-02-09T00:00:00"/>
    <x v="3"/>
    <s v="Auto-rickshaw"/>
    <x v="5"/>
    <n v="3811"/>
    <b v="0"/>
    <s v="Clear"/>
    <s v="Evening"/>
    <s v="Dry"/>
    <s v="26-35"/>
    <n v="5"/>
    <s v="Medium"/>
    <s v="Learner"/>
    <b v="0"/>
    <n v="79"/>
    <s v="Rajasthan"/>
    <n v="6"/>
    <n v="3"/>
    <n v="3376"/>
    <s v="Paid"/>
  </r>
  <r>
    <d v="2024-02-09T00:00:00"/>
    <x v="3"/>
    <s v="Bus"/>
    <x v="3"/>
    <n v="3230"/>
    <b v="1"/>
    <s v="Rainy"/>
    <s v="Afternoon"/>
    <s v="Dry"/>
    <s v="26-35"/>
    <n v="2"/>
    <s v="High"/>
    <s v="Expired"/>
    <b v="0"/>
    <n v="48"/>
    <s v="Delhi"/>
    <n v="8"/>
    <n v="1"/>
    <n v="2982"/>
    <s v="Unpaid"/>
  </r>
  <r>
    <d v="2024-02-10T00:00:00"/>
    <x v="0"/>
    <s v="Auto-rickshaw"/>
    <x v="2"/>
    <n v="3823"/>
    <b v="1"/>
    <s v="Rainy"/>
    <s v="Evening"/>
    <s v="Slippery"/>
    <s v="26-35"/>
    <n v="5"/>
    <s v="Low"/>
    <s v="Expired"/>
    <b v="0"/>
    <n v="26"/>
    <s v="Punjab"/>
    <n v="4"/>
    <n v="2"/>
    <n v="3625"/>
    <s v="Paid"/>
  </r>
  <r>
    <d v="2024-02-10T00:00:00"/>
    <x v="14"/>
    <s v="Truck"/>
    <x v="1"/>
    <n v="1000"/>
    <b v="1"/>
    <s v="Foggy"/>
    <s v="Evening"/>
    <s v="Dry"/>
    <s v="18-25"/>
    <n v="0"/>
    <s v="Medium"/>
    <s v="Suspended"/>
    <b v="0"/>
    <n v="91"/>
    <s v="Delhi"/>
    <n v="8"/>
    <n v="2"/>
    <n v="3637"/>
    <s v="Unpaid"/>
  </r>
  <r>
    <d v="2024-02-10T00:00:00"/>
    <x v="11"/>
    <s v="Truck"/>
    <x v="4"/>
    <n v="9736"/>
    <b v="1"/>
    <s v="Cloudy"/>
    <s v="Afternoon"/>
    <s v="Wet"/>
    <s v="26-35"/>
    <n v="1"/>
    <s v="Medium"/>
    <s v="Suspended"/>
    <b v="0"/>
    <n v="41"/>
    <s v="Rajasthan"/>
    <n v="7"/>
    <n v="3"/>
    <n v="2966"/>
    <s v="Unpaid"/>
  </r>
  <r>
    <d v="2024-02-10T00:00:00"/>
    <x v="7"/>
    <s v="Truck"/>
    <x v="3"/>
    <n v="4029"/>
    <b v="0"/>
    <s v="Cloudy"/>
    <s v="Night"/>
    <s v="Wet"/>
    <s v="50+"/>
    <n v="2"/>
    <s v="High"/>
    <s v="Learner"/>
    <b v="0"/>
    <n v="65"/>
    <s v="Delhi"/>
    <n v="1"/>
    <n v="1"/>
    <n v="2160"/>
    <s v="Unpaid"/>
  </r>
  <r>
    <d v="2024-02-10T00:00:00"/>
    <x v="6"/>
    <s v="Car"/>
    <x v="3"/>
    <n v="4124"/>
    <b v="0"/>
    <s v="Clear"/>
    <s v="Afternoon"/>
    <s v="Under Construction"/>
    <s v="50+"/>
    <n v="4"/>
    <s v="Medium"/>
    <s v="Suspended"/>
    <b v="0"/>
    <n v="79"/>
    <s v="Uttar Pradesh"/>
    <n v="2"/>
    <n v="3"/>
    <n v="4184"/>
    <s v="Unpaid"/>
  </r>
  <r>
    <d v="2024-02-10T00:00:00"/>
    <x v="5"/>
    <s v="Bike"/>
    <x v="4"/>
    <n v="9925"/>
    <b v="0"/>
    <s v="Clear"/>
    <s v="Afternoon"/>
    <s v="Wet"/>
    <s v="50+"/>
    <n v="1"/>
    <s v="Medium"/>
    <s v="Suspended"/>
    <b v="1"/>
    <n v="98"/>
    <s v="Punjab"/>
    <n v="2"/>
    <n v="3"/>
    <n v="2263"/>
    <s v="Unpaid"/>
  </r>
  <r>
    <d v="2024-02-10T00:00:00"/>
    <x v="2"/>
    <s v="Bus"/>
    <x v="5"/>
    <n v="6057"/>
    <b v="0"/>
    <s v="Rainy"/>
    <s v="Afternoon"/>
    <s v="Slippery"/>
    <s v="36-50"/>
    <n v="12"/>
    <s v="Medium"/>
    <s v="Suspended"/>
    <b v="0"/>
    <n v="1"/>
    <s v="Uttar Pradesh"/>
    <n v="7"/>
    <n v="2"/>
    <n v="1203"/>
    <s v="Disputed"/>
  </r>
  <r>
    <d v="2024-02-10T00:00:00"/>
    <x v="3"/>
    <s v="Auto-rickshaw"/>
    <x v="2"/>
    <n v="3892"/>
    <b v="0"/>
    <s v="Foggy"/>
    <s v="Afternoon"/>
    <s v="Under Construction"/>
    <s v="36-50"/>
    <n v="4"/>
    <s v="Medium"/>
    <s v="Learner"/>
    <b v="1"/>
    <n v="80"/>
    <s v="Punjab"/>
    <n v="9"/>
    <n v="3"/>
    <n v="1527"/>
    <s v="Paid"/>
  </r>
  <r>
    <d v="2024-02-11T00:00:00"/>
    <x v="8"/>
    <s v="Bus"/>
    <x v="1"/>
    <n v="1000"/>
    <b v="1"/>
    <s v="Stormy"/>
    <s v="Afternoon"/>
    <s v="Wet"/>
    <s v="50+"/>
    <n v="8"/>
    <s v="Low"/>
    <s v="Suspended"/>
    <b v="0"/>
    <n v="107"/>
    <s v="Delhi"/>
    <n v="5"/>
    <n v="2"/>
    <n v="3976"/>
    <s v="Unpaid"/>
  </r>
  <r>
    <d v="2024-02-11T00:00:00"/>
    <x v="7"/>
    <s v="Truck"/>
    <x v="3"/>
    <n v="3168"/>
    <b v="0"/>
    <s v="Foggy"/>
    <s v="Night"/>
    <s v="Slippery"/>
    <s v="50+"/>
    <n v="1"/>
    <s v="High"/>
    <s v="Learner"/>
    <b v="1"/>
    <n v="82"/>
    <s v="Punjab"/>
    <n v="4"/>
    <n v="1"/>
    <n v="4641"/>
    <s v="Disputed"/>
  </r>
  <r>
    <d v="2024-02-12T00:00:00"/>
    <x v="4"/>
    <s v="Car"/>
    <x v="2"/>
    <n v="2760"/>
    <b v="0"/>
    <s v="Stormy"/>
    <s v="Morning"/>
    <s v="Dry"/>
    <s v="18-25"/>
    <n v="2"/>
    <s v="High"/>
    <s v="Expired"/>
    <b v="1"/>
    <n v="105"/>
    <s v="Punjab"/>
    <n v="7"/>
    <n v="2"/>
    <n v="1261"/>
    <s v="Disputed"/>
  </r>
  <r>
    <d v="2024-02-12T00:00:00"/>
    <x v="6"/>
    <s v="Car"/>
    <x v="3"/>
    <n v="3432"/>
    <b v="0"/>
    <s v="Rainy"/>
    <s v="Night"/>
    <s v="Wet"/>
    <s v="18-25"/>
    <n v="2"/>
    <s v="High"/>
    <s v="Expired"/>
    <b v="0"/>
    <n v="78"/>
    <s v="Haryana"/>
    <n v="8"/>
    <n v="2"/>
    <n v="1523"/>
    <s v="Paid"/>
  </r>
  <r>
    <d v="2024-02-14T00:00:00"/>
    <x v="11"/>
    <s v="Bus"/>
    <x v="2"/>
    <n v="1423"/>
    <b v="0"/>
    <s v="Stormy"/>
    <s v="Afternoon"/>
    <s v="Slippery"/>
    <s v="36-50"/>
    <n v="3"/>
    <s v="High"/>
    <s v="Suspended"/>
    <b v="1"/>
    <n v="112"/>
    <s v="Punjab"/>
    <n v="3"/>
    <n v="2"/>
    <n v="1501"/>
    <s v="Disputed"/>
  </r>
  <r>
    <d v="2024-02-14T00:00:00"/>
    <x v="3"/>
    <s v="Auto-rickshaw"/>
    <x v="5"/>
    <n v="6873"/>
    <b v="1"/>
    <s v="Foggy"/>
    <s v="Afternoon"/>
    <s v="Slippery"/>
    <s v="26-35"/>
    <n v="0"/>
    <s v="High"/>
    <s v="Expired"/>
    <b v="0"/>
    <n v="65"/>
    <s v="Delhi"/>
    <n v="4"/>
    <n v="1"/>
    <n v="1081"/>
    <s v="Paid"/>
  </r>
  <r>
    <d v="2024-02-15T00:00:00"/>
    <x v="0"/>
    <s v="Auto-rickshaw"/>
    <x v="3"/>
    <n v="2994"/>
    <b v="0"/>
    <s v="Foggy"/>
    <s v="Night"/>
    <s v="Dry"/>
    <s v="50+"/>
    <n v="2"/>
    <s v="High"/>
    <s v="Valid"/>
    <b v="1"/>
    <n v="19"/>
    <s v="Delhi"/>
    <n v="6"/>
    <n v="2"/>
    <n v="4427"/>
    <s v="Unpaid"/>
  </r>
  <r>
    <d v="2024-02-15T00:00:00"/>
    <x v="6"/>
    <s v="Bike"/>
    <x v="4"/>
    <n v="6702"/>
    <b v="0"/>
    <s v="Stormy"/>
    <s v="Night"/>
    <s v="Wet"/>
    <s v="18-25"/>
    <n v="1"/>
    <s v="Low"/>
    <s v="Suspended"/>
    <b v="1"/>
    <n v="83"/>
    <s v="Haryana"/>
    <n v="9"/>
    <n v="2"/>
    <n v="1571"/>
    <s v="Paid"/>
  </r>
  <r>
    <d v="2024-02-15T00:00:00"/>
    <x v="12"/>
    <s v="Bus"/>
    <x v="1"/>
    <n v="1000"/>
    <b v="1"/>
    <s v="Rainy"/>
    <s v="Evening"/>
    <s v="Under Construction"/>
    <s v="26-35"/>
    <n v="5"/>
    <s v="Low"/>
    <s v="Suspended"/>
    <b v="1"/>
    <n v="116"/>
    <s v="Delhi"/>
    <n v="3"/>
    <n v="1"/>
    <n v="3130"/>
    <s v="Unpaid"/>
  </r>
  <r>
    <d v="2024-02-15T00:00:00"/>
    <x v="9"/>
    <s v="Bus"/>
    <x v="2"/>
    <n v="4656"/>
    <b v="0"/>
    <s v="Clear"/>
    <s v="Morning"/>
    <s v="Dry"/>
    <s v="36-50"/>
    <n v="1"/>
    <s v="Medium"/>
    <s v="Suspended"/>
    <b v="1"/>
    <n v="52"/>
    <s v="Delhi"/>
    <n v="10"/>
    <n v="2"/>
    <n v="2793"/>
    <s v="Disputed"/>
  </r>
  <r>
    <d v="2024-02-16T00:00:00"/>
    <x v="12"/>
    <s v="Bike"/>
    <x v="2"/>
    <n v="3468"/>
    <b v="0"/>
    <s v="Clear"/>
    <s v="Afternoon"/>
    <s v="Wet"/>
    <s v="36-50"/>
    <n v="0"/>
    <s v="Low"/>
    <s v="Learner"/>
    <b v="1"/>
    <n v="18"/>
    <s v="Punjab"/>
    <n v="6"/>
    <n v="3"/>
    <n v="1044"/>
    <s v="Paid"/>
  </r>
  <r>
    <d v="2024-02-16T00:00:00"/>
    <x v="13"/>
    <s v="Auto-rickshaw"/>
    <x v="5"/>
    <n v="5304"/>
    <b v="0"/>
    <s v="Stormy"/>
    <s v="Afternoon"/>
    <s v="Under Construction"/>
    <s v="36-50"/>
    <n v="2"/>
    <s v="Medium"/>
    <s v="Learner"/>
    <b v="1"/>
    <n v="20"/>
    <s v="Uttar Pradesh"/>
    <n v="3"/>
    <n v="1"/>
    <n v="976"/>
    <s v="Disputed"/>
  </r>
  <r>
    <d v="2024-02-17T00:00:00"/>
    <x v="11"/>
    <s v="Bike"/>
    <x v="5"/>
    <n v="5589"/>
    <b v="1"/>
    <s v="Foggy"/>
    <s v="Afternoon"/>
    <s v="Under Construction"/>
    <s v="26-35"/>
    <n v="1"/>
    <s v="High"/>
    <s v="Learner"/>
    <b v="1"/>
    <n v="59"/>
    <s v="Rajasthan"/>
    <n v="8"/>
    <n v="2"/>
    <n v="2815"/>
    <s v="Disputed"/>
  </r>
  <r>
    <d v="2024-02-17T00:00:00"/>
    <x v="7"/>
    <s v="Car"/>
    <x v="3"/>
    <n v="2233"/>
    <b v="0"/>
    <s v="Foggy"/>
    <s v="Evening"/>
    <s v="Wet"/>
    <s v="26-35"/>
    <n v="1"/>
    <s v="Medium"/>
    <s v="Expired"/>
    <b v="1"/>
    <n v="8"/>
    <s v="Haryana"/>
    <n v="4"/>
    <n v="1"/>
    <n v="3022"/>
    <s v="Disputed"/>
  </r>
  <r>
    <d v="2024-02-17T00:00:00"/>
    <x v="0"/>
    <s v="Bike"/>
    <x v="2"/>
    <n v="1935"/>
    <b v="1"/>
    <s v="Rainy"/>
    <s v="Night"/>
    <s v="Wet"/>
    <s v="50+"/>
    <n v="1"/>
    <s v="High"/>
    <s v="Expired"/>
    <b v="1"/>
    <n v="84"/>
    <s v="Punjab"/>
    <n v="1"/>
    <n v="1"/>
    <n v="2642"/>
    <s v="Disputed"/>
  </r>
  <r>
    <d v="2024-02-18T00:00:00"/>
    <x v="10"/>
    <s v="Car"/>
    <x v="3"/>
    <n v="1826"/>
    <b v="0"/>
    <s v="Foggy"/>
    <s v="Morning"/>
    <s v="Wet"/>
    <s v="50+"/>
    <n v="2"/>
    <s v="High"/>
    <s v="Valid"/>
    <b v="0"/>
    <n v="0"/>
    <s v="Punjab"/>
    <n v="10"/>
    <n v="1"/>
    <n v="4366"/>
    <s v="Paid"/>
  </r>
  <r>
    <d v="2024-02-18T00:00:00"/>
    <x v="5"/>
    <s v="Auto-rickshaw"/>
    <x v="1"/>
    <n v="1000"/>
    <b v="0"/>
    <s v="Foggy"/>
    <s v="Night"/>
    <s v="Slippery"/>
    <s v="36-50"/>
    <n v="3"/>
    <s v="Low"/>
    <s v="Suspended"/>
    <b v="0"/>
    <n v="32"/>
    <s v="Delhi"/>
    <n v="10"/>
    <n v="3"/>
    <n v="3121"/>
    <s v="Disputed"/>
  </r>
  <r>
    <d v="2024-02-18T00:00:00"/>
    <x v="11"/>
    <s v="Truck"/>
    <x v="3"/>
    <n v="4062"/>
    <b v="0"/>
    <s v="Rainy"/>
    <s v="Night"/>
    <s v="Wet"/>
    <s v="26-35"/>
    <n v="0"/>
    <s v="Medium"/>
    <s v="Valid"/>
    <b v="1"/>
    <n v="4"/>
    <s v="Haryana"/>
    <n v="9"/>
    <n v="3"/>
    <n v="1085"/>
    <s v="Unpaid"/>
  </r>
  <r>
    <d v="2024-02-19T00:00:00"/>
    <x v="4"/>
    <s v="Truck"/>
    <x v="1"/>
    <n v="1000"/>
    <b v="0"/>
    <s v="Foggy"/>
    <s v="Evening"/>
    <s v="Dry"/>
    <s v="50+"/>
    <n v="1"/>
    <s v="High"/>
    <s v="Valid"/>
    <b v="0"/>
    <n v="58"/>
    <s v="Delhi"/>
    <n v="9"/>
    <n v="1"/>
    <n v="4305"/>
    <s v="Paid"/>
  </r>
  <r>
    <d v="2024-02-19T00:00:00"/>
    <x v="1"/>
    <s v="Bus"/>
    <x v="5"/>
    <n v="7318"/>
    <b v="0"/>
    <s v="Rainy"/>
    <s v="Afternoon"/>
    <s v="Wet"/>
    <s v="50+"/>
    <n v="2"/>
    <s v="Low"/>
    <s v="Learner"/>
    <b v="1"/>
    <n v="79"/>
    <s v="Punjab"/>
    <n v="4"/>
    <n v="2"/>
    <n v="4544"/>
    <s v="Disputed"/>
  </r>
  <r>
    <d v="2024-02-19T00:00:00"/>
    <x v="6"/>
    <s v="Truck"/>
    <x v="3"/>
    <n v="4326"/>
    <b v="1"/>
    <s v="Cloudy"/>
    <s v="Evening"/>
    <s v="Wet"/>
    <s v="50+"/>
    <n v="3"/>
    <s v="Medium"/>
    <s v="Valid"/>
    <b v="0"/>
    <n v="33"/>
    <s v="Rajasthan"/>
    <n v="7"/>
    <n v="2"/>
    <n v="3347"/>
    <s v="Disputed"/>
  </r>
  <r>
    <d v="2024-02-20T00:00:00"/>
    <x v="7"/>
    <s v="Bike"/>
    <x v="0"/>
    <n v="1000"/>
    <b v="1"/>
    <s v="Rainy"/>
    <s v="Evening"/>
    <s v="Under Construction"/>
    <s v="26-35"/>
    <n v="3"/>
    <s v="Low"/>
    <s v="Learner"/>
    <b v="0"/>
    <n v="96"/>
    <s v="Delhi"/>
    <n v="8"/>
    <n v="1"/>
    <n v="4935"/>
    <s v="Unpaid"/>
  </r>
  <r>
    <d v="2024-02-20T00:00:00"/>
    <x v="5"/>
    <s v="Car"/>
    <x v="5"/>
    <n v="4662"/>
    <b v="0"/>
    <s v="Stormy"/>
    <s v="Afternoon"/>
    <s v="Under Construction"/>
    <s v="26-35"/>
    <n v="5"/>
    <s v="High"/>
    <s v="Expired"/>
    <b v="1"/>
    <n v="110"/>
    <s v="Rajasthan"/>
    <n v="8"/>
    <n v="3"/>
    <n v="1893"/>
    <s v="Unpaid"/>
  </r>
  <r>
    <d v="2024-02-21T00:00:00"/>
    <x v="0"/>
    <s v="Truck"/>
    <x v="1"/>
    <n v="1000"/>
    <b v="0"/>
    <s v="Rainy"/>
    <s v="Morning"/>
    <s v="Wet"/>
    <s v="36-50"/>
    <n v="3"/>
    <s v="Low"/>
    <s v="Expired"/>
    <b v="1"/>
    <n v="22"/>
    <s v="Delhi"/>
    <n v="3"/>
    <n v="2"/>
    <n v="1719"/>
    <s v="Disputed"/>
  </r>
  <r>
    <d v="2024-02-21T00:00:00"/>
    <x v="12"/>
    <s v="Auto-rickshaw"/>
    <x v="2"/>
    <n v="2838"/>
    <b v="0"/>
    <s v="Foggy"/>
    <s v="Night"/>
    <s v="Under Construction"/>
    <s v="26-35"/>
    <n v="1"/>
    <s v="Medium"/>
    <s v="Expired"/>
    <b v="0"/>
    <n v="67"/>
    <s v="Rajasthan"/>
    <n v="5"/>
    <n v="2"/>
    <n v="4044"/>
    <s v="Disputed"/>
  </r>
  <r>
    <d v="2024-02-21T00:00:00"/>
    <x v="7"/>
    <s v="Bike"/>
    <x v="3"/>
    <n v="3642"/>
    <b v="0"/>
    <s v="Foggy"/>
    <s v="Afternoon"/>
    <s v="Under Construction"/>
    <s v="50+"/>
    <n v="4"/>
    <s v="High"/>
    <s v="Expired"/>
    <b v="1"/>
    <n v="111"/>
    <s v="Haryana"/>
    <n v="8"/>
    <n v="1"/>
    <n v="503"/>
    <s v="Paid"/>
  </r>
  <r>
    <d v="2024-02-21T00:00:00"/>
    <x v="5"/>
    <s v="Car"/>
    <x v="2"/>
    <n v="4393"/>
    <b v="0"/>
    <s v="Stormy"/>
    <s v="Afternoon"/>
    <s v="Dry"/>
    <s v="26-35"/>
    <n v="0"/>
    <s v="Low"/>
    <s v="Learner"/>
    <b v="1"/>
    <n v="5"/>
    <s v="Delhi"/>
    <n v="5"/>
    <n v="2"/>
    <n v="1732"/>
    <s v="Paid"/>
  </r>
  <r>
    <d v="2024-02-21T00:00:00"/>
    <x v="6"/>
    <s v="Bike"/>
    <x v="3"/>
    <n v="3157"/>
    <b v="1"/>
    <s v="Cloudy"/>
    <s v="Night"/>
    <s v="Slippery"/>
    <s v="26-35"/>
    <n v="2"/>
    <s v="Medium"/>
    <s v="Learner"/>
    <b v="0"/>
    <n v="101"/>
    <s v="Punjab"/>
    <n v="1"/>
    <n v="3"/>
    <n v="2434"/>
    <s v="Disputed"/>
  </r>
  <r>
    <d v="2024-02-22T00:00:00"/>
    <x v="6"/>
    <s v="Car"/>
    <x v="4"/>
    <n v="6697"/>
    <b v="0"/>
    <s v="Foggy"/>
    <s v="Evening"/>
    <s v="Dry"/>
    <s v="26-35"/>
    <n v="0"/>
    <s v="Medium"/>
    <s v="Suspended"/>
    <b v="0"/>
    <n v="34"/>
    <s v="Haryana"/>
    <n v="7"/>
    <n v="1"/>
    <n v="1813"/>
    <s v="Disputed"/>
  </r>
  <r>
    <d v="2024-02-22T00:00:00"/>
    <x v="2"/>
    <s v="Bus"/>
    <x v="5"/>
    <n v="7566"/>
    <b v="0"/>
    <s v="Rainy"/>
    <s v="Evening"/>
    <s v="Under Construction"/>
    <s v="36-50"/>
    <n v="2"/>
    <s v="Low"/>
    <s v="Valid"/>
    <b v="0"/>
    <n v="53"/>
    <s v="Uttar Pradesh"/>
    <n v="6"/>
    <n v="1"/>
    <n v="4310"/>
    <s v="Unpaid"/>
  </r>
  <r>
    <d v="2024-02-22T00:00:00"/>
    <x v="12"/>
    <s v="Bike"/>
    <x v="5"/>
    <n v="2724"/>
    <b v="0"/>
    <s v="Cloudy"/>
    <s v="Afternoon"/>
    <s v="Wet"/>
    <s v="26-35"/>
    <n v="3"/>
    <s v="Low"/>
    <s v="Expired"/>
    <b v="1"/>
    <n v="90"/>
    <s v="Punjab"/>
    <n v="9"/>
    <n v="3"/>
    <n v="3333"/>
    <s v="Paid"/>
  </r>
  <r>
    <d v="2024-02-22T00:00:00"/>
    <x v="1"/>
    <s v="Bike"/>
    <x v="2"/>
    <n v="4752"/>
    <b v="1"/>
    <s v="Clear"/>
    <s v="Evening"/>
    <s v="Wet"/>
    <s v="26-35"/>
    <n v="2"/>
    <s v="Low"/>
    <s v="Suspended"/>
    <b v="1"/>
    <n v="29"/>
    <s v="Haryana"/>
    <n v="7"/>
    <n v="3"/>
    <n v="3093"/>
    <s v="Paid"/>
  </r>
  <r>
    <d v="2024-02-22T00:00:00"/>
    <x v="11"/>
    <s v="Auto-rickshaw"/>
    <x v="4"/>
    <n v="7754"/>
    <b v="0"/>
    <s v="Stormy"/>
    <s v="Evening"/>
    <s v="Wet"/>
    <s v="36-50"/>
    <n v="1"/>
    <s v="Medium"/>
    <s v="Learner"/>
    <b v="0"/>
    <n v="112"/>
    <s v="Uttar Pradesh"/>
    <n v="9"/>
    <n v="2"/>
    <n v="1753"/>
    <s v="Disputed"/>
  </r>
  <r>
    <d v="2024-02-23T00:00:00"/>
    <x v="1"/>
    <s v="Bus"/>
    <x v="1"/>
    <n v="1000"/>
    <b v="0"/>
    <s v="Foggy"/>
    <s v="Afternoon"/>
    <s v="Under Construction"/>
    <s v="50+"/>
    <n v="4"/>
    <s v="High"/>
    <s v="Learner"/>
    <b v="1"/>
    <n v="110"/>
    <s v="Punjab"/>
    <n v="9"/>
    <n v="2"/>
    <n v="2153"/>
    <s v="Disputed"/>
  </r>
  <r>
    <d v="2024-02-23T00:00:00"/>
    <x v="2"/>
    <s v="Car"/>
    <x v="2"/>
    <n v="2991"/>
    <b v="1"/>
    <s v="Cloudy"/>
    <s v="Evening"/>
    <s v="Under Construction"/>
    <s v="36-50"/>
    <n v="3"/>
    <s v="Medium"/>
    <s v="Learner"/>
    <b v="1"/>
    <n v="61"/>
    <s v="Uttar Pradesh"/>
    <n v="9"/>
    <n v="1"/>
    <n v="1621"/>
    <s v="Paid"/>
  </r>
  <r>
    <d v="2024-02-23T00:00:00"/>
    <x v="4"/>
    <s v="Car"/>
    <x v="3"/>
    <n v="4880"/>
    <b v="0"/>
    <s v="Rainy"/>
    <s v="Night"/>
    <s v="Wet"/>
    <s v="18-25"/>
    <n v="3"/>
    <s v="High"/>
    <s v="Valid"/>
    <b v="1"/>
    <n v="61"/>
    <s v="Delhi"/>
    <n v="7"/>
    <n v="2"/>
    <n v="2298"/>
    <s v="Unpaid"/>
  </r>
  <r>
    <d v="2024-02-23T00:00:00"/>
    <x v="4"/>
    <s v="Bus"/>
    <x v="1"/>
    <n v="1000"/>
    <b v="1"/>
    <s v="Cloudy"/>
    <s v="Evening"/>
    <s v="Slippery"/>
    <s v="26-35"/>
    <n v="3"/>
    <s v="Medium"/>
    <s v="Expired"/>
    <b v="1"/>
    <n v="29"/>
    <s v="Haryana"/>
    <n v="7"/>
    <n v="3"/>
    <n v="1938"/>
    <s v="Unpaid"/>
  </r>
  <r>
    <d v="2024-02-24T00:00:00"/>
    <x v="2"/>
    <s v="Bike"/>
    <x v="5"/>
    <n v="7194"/>
    <b v="1"/>
    <s v="Rainy"/>
    <s v="Evening"/>
    <s v="Slippery"/>
    <s v="36-50"/>
    <n v="0"/>
    <s v="Low"/>
    <s v="Expired"/>
    <b v="0"/>
    <n v="111"/>
    <s v="Punjab"/>
    <n v="7"/>
    <n v="1"/>
    <n v="3255"/>
    <s v="Paid"/>
  </r>
  <r>
    <d v="2024-02-24T00:00:00"/>
    <x v="12"/>
    <s v="Bike"/>
    <x v="5"/>
    <n v="2107"/>
    <b v="0"/>
    <s v="Clear"/>
    <s v="Morning"/>
    <s v="Slippery"/>
    <s v="18-25"/>
    <n v="3"/>
    <s v="High"/>
    <s v="Valid"/>
    <b v="0"/>
    <n v="96"/>
    <s v="Delhi"/>
    <n v="10"/>
    <n v="1"/>
    <n v="3712"/>
    <s v="Unpaid"/>
  </r>
  <r>
    <d v="2024-02-25T00:00:00"/>
    <x v="8"/>
    <s v="Car"/>
    <x v="1"/>
    <n v="1000"/>
    <b v="0"/>
    <s v="Rainy"/>
    <s v="Morning"/>
    <s v="Dry"/>
    <s v="26-35"/>
    <n v="2"/>
    <s v="High"/>
    <s v="Suspended"/>
    <b v="0"/>
    <n v="18"/>
    <s v="Uttar Pradesh"/>
    <n v="6"/>
    <n v="3"/>
    <n v="4787"/>
    <s v="Disputed"/>
  </r>
  <r>
    <d v="2024-02-25T00:00:00"/>
    <x v="12"/>
    <s v="Auto-rickshaw"/>
    <x v="3"/>
    <n v="1991"/>
    <b v="0"/>
    <s v="Cloudy"/>
    <s v="Night"/>
    <s v="Slippery"/>
    <s v="26-35"/>
    <n v="0"/>
    <s v="High"/>
    <s v="Learner"/>
    <b v="0"/>
    <n v="87"/>
    <s v="Delhi"/>
    <n v="9"/>
    <n v="3"/>
    <n v="629"/>
    <s v="Paid"/>
  </r>
  <r>
    <d v="2024-02-26T00:00:00"/>
    <x v="2"/>
    <s v="Bike"/>
    <x v="0"/>
    <n v="1000"/>
    <b v="0"/>
    <s v="Rainy"/>
    <s v="Morning"/>
    <s v="Under Construction"/>
    <s v="26-35"/>
    <n v="2"/>
    <s v="Medium"/>
    <s v="Learner"/>
    <b v="0"/>
    <n v="95"/>
    <s v="Haryana"/>
    <n v="4"/>
    <n v="1"/>
    <n v="1997"/>
    <s v="Paid"/>
  </r>
  <r>
    <d v="2024-02-26T00:00:00"/>
    <x v="4"/>
    <s v="Truck"/>
    <x v="1"/>
    <n v="1000"/>
    <b v="1"/>
    <s v="Stormy"/>
    <s v="Evening"/>
    <s v="Dry"/>
    <s v="36-50"/>
    <n v="2"/>
    <s v="High"/>
    <s v="Suspended"/>
    <b v="1"/>
    <n v="106"/>
    <s v="Punjab"/>
    <n v="2"/>
    <n v="1"/>
    <n v="2223"/>
    <s v="Paid"/>
  </r>
  <r>
    <d v="2024-02-26T00:00:00"/>
    <x v="12"/>
    <s v="Car"/>
    <x v="3"/>
    <n v="3924"/>
    <b v="1"/>
    <s v="Foggy"/>
    <s v="Night"/>
    <s v="Under Construction"/>
    <s v="50+"/>
    <n v="5"/>
    <s v="Low"/>
    <s v="Valid"/>
    <b v="0"/>
    <n v="61"/>
    <s v="Rajasthan"/>
    <n v="2"/>
    <n v="2"/>
    <n v="1984"/>
    <s v="Paid"/>
  </r>
  <r>
    <d v="2024-02-27T00:00:00"/>
    <x v="1"/>
    <s v="Truck"/>
    <x v="1"/>
    <n v="1000"/>
    <b v="0"/>
    <s v="Clear"/>
    <s v="Night"/>
    <s v="Dry"/>
    <s v="18-25"/>
    <n v="0"/>
    <s v="High"/>
    <s v="Suspended"/>
    <b v="1"/>
    <n v="114"/>
    <s v="Punjab"/>
    <n v="7"/>
    <n v="1"/>
    <n v="4217"/>
    <s v="Unpaid"/>
  </r>
  <r>
    <d v="2024-02-27T00:00:00"/>
    <x v="6"/>
    <s v="Bike"/>
    <x v="2"/>
    <n v="2113"/>
    <b v="1"/>
    <s v="Cloudy"/>
    <s v="Evening"/>
    <s v="Slippery"/>
    <s v="26-35"/>
    <n v="3"/>
    <s v="Medium"/>
    <s v="Valid"/>
    <b v="1"/>
    <n v="106"/>
    <s v="Haryana"/>
    <n v="4"/>
    <n v="1"/>
    <n v="1283"/>
    <s v="Unpaid"/>
  </r>
  <r>
    <d v="2024-02-28T00:00:00"/>
    <x v="8"/>
    <s v="Truck"/>
    <x v="5"/>
    <n v="6020"/>
    <b v="0"/>
    <s v="Foggy"/>
    <s v="Morning"/>
    <s v="Dry"/>
    <s v="36-50"/>
    <n v="2"/>
    <s v="High"/>
    <s v="Valid"/>
    <b v="0"/>
    <n v="77"/>
    <s v="Haryana"/>
    <n v="4"/>
    <n v="3"/>
    <n v="1489"/>
    <s v="Disputed"/>
  </r>
  <r>
    <d v="2024-02-28T00:00:00"/>
    <x v="8"/>
    <s v="Bus"/>
    <x v="1"/>
    <n v="1000"/>
    <b v="0"/>
    <s v="Stormy"/>
    <s v="Evening"/>
    <s v="Slippery"/>
    <s v="26-35"/>
    <n v="3"/>
    <s v="Low"/>
    <s v="Valid"/>
    <b v="1"/>
    <n v="78"/>
    <s v="Rajasthan"/>
    <n v="7"/>
    <n v="3"/>
    <n v="723"/>
    <s v="Disputed"/>
  </r>
  <r>
    <d v="2024-02-28T00:00:00"/>
    <x v="10"/>
    <s v="Bus"/>
    <x v="1"/>
    <n v="1000"/>
    <b v="1"/>
    <s v="Stormy"/>
    <s v="Afternoon"/>
    <s v="Slippery"/>
    <s v="36-50"/>
    <n v="3"/>
    <s v="High"/>
    <s v="Valid"/>
    <b v="0"/>
    <n v="91"/>
    <s v="Uttar Pradesh"/>
    <n v="9"/>
    <n v="3"/>
    <n v="593"/>
    <s v="Disputed"/>
  </r>
  <r>
    <d v="2024-03-01T00:00:00"/>
    <x v="1"/>
    <s v="Truck"/>
    <x v="1"/>
    <n v="1000"/>
    <b v="0"/>
    <s v="Foggy"/>
    <s v="Night"/>
    <s v="Wet"/>
    <s v="36-50"/>
    <n v="3"/>
    <s v="Low"/>
    <s v="Valid"/>
    <b v="1"/>
    <n v="78"/>
    <s v="Delhi"/>
    <n v="5"/>
    <n v="1"/>
    <n v="1154"/>
    <s v="Disputed"/>
  </r>
  <r>
    <d v="2024-03-01T00:00:00"/>
    <x v="13"/>
    <s v="Auto-rickshaw"/>
    <x v="2"/>
    <n v="2370"/>
    <b v="0"/>
    <s v="Stormy"/>
    <s v="Evening"/>
    <s v="Dry"/>
    <s v="26-35"/>
    <n v="0"/>
    <s v="High"/>
    <s v="Suspended"/>
    <b v="1"/>
    <n v="60"/>
    <s v="Haryana"/>
    <n v="7"/>
    <n v="1"/>
    <n v="3860"/>
    <s v="Unpaid"/>
  </r>
  <r>
    <d v="2024-03-02T00:00:00"/>
    <x v="0"/>
    <s v="Auto-rickshaw"/>
    <x v="3"/>
    <n v="4558"/>
    <b v="0"/>
    <s v="Cloudy"/>
    <s v="Morning"/>
    <s v="Wet"/>
    <s v="26-35"/>
    <n v="0"/>
    <s v="Low"/>
    <s v="Learner"/>
    <b v="0"/>
    <n v="20"/>
    <s v="Haryana"/>
    <n v="2"/>
    <n v="3"/>
    <n v="4513"/>
    <s v="Paid"/>
  </r>
  <r>
    <d v="2024-03-03T00:00:00"/>
    <x v="12"/>
    <s v="Bus"/>
    <x v="1"/>
    <n v="1000"/>
    <b v="0"/>
    <s v="Cloudy"/>
    <s v="Night"/>
    <s v="Under Construction"/>
    <s v="36-50"/>
    <n v="4"/>
    <s v="Medium"/>
    <s v="Valid"/>
    <b v="1"/>
    <n v="14"/>
    <s v="Uttar Pradesh"/>
    <n v="7"/>
    <n v="3"/>
    <n v="4730"/>
    <s v="Paid"/>
  </r>
  <r>
    <d v="2024-03-03T00:00:00"/>
    <x v="3"/>
    <s v="Car"/>
    <x v="2"/>
    <n v="3940"/>
    <b v="1"/>
    <s v="Stormy"/>
    <s v="Evening"/>
    <s v="Under Construction"/>
    <s v="26-35"/>
    <n v="5"/>
    <s v="Low"/>
    <s v="Expired"/>
    <b v="1"/>
    <n v="119"/>
    <s v="Rajasthan"/>
    <n v="1"/>
    <n v="3"/>
    <n v="2264"/>
    <s v="Paid"/>
  </r>
  <r>
    <d v="2024-03-04T00:00:00"/>
    <x v="7"/>
    <s v="Auto-rickshaw"/>
    <x v="4"/>
    <n v="6423"/>
    <b v="1"/>
    <s v="Rainy"/>
    <s v="Afternoon"/>
    <s v="Dry"/>
    <s v="50+"/>
    <n v="5"/>
    <s v="Low"/>
    <s v="Learner"/>
    <b v="0"/>
    <n v="103"/>
    <s v="Uttar Pradesh"/>
    <n v="8"/>
    <n v="3"/>
    <n v="2274"/>
    <s v="Disputed"/>
  </r>
  <r>
    <d v="2024-03-04T00:00:00"/>
    <x v="5"/>
    <s v="Bus"/>
    <x v="5"/>
    <n v="6400"/>
    <b v="0"/>
    <s v="Cloudy"/>
    <s v="Night"/>
    <s v="Dry"/>
    <s v="36-50"/>
    <n v="3"/>
    <s v="High"/>
    <s v="Valid"/>
    <b v="1"/>
    <n v="3"/>
    <s v="Punjab"/>
    <n v="9"/>
    <n v="2"/>
    <n v="4011"/>
    <s v="Disputed"/>
  </r>
  <r>
    <d v="2024-03-05T00:00:00"/>
    <x v="13"/>
    <s v="Truck"/>
    <x v="4"/>
    <n v="7583"/>
    <b v="0"/>
    <s v="Stormy"/>
    <s v="Morning"/>
    <s v="Under Construction"/>
    <s v="26-35"/>
    <n v="3"/>
    <s v="Medium"/>
    <s v="Valid"/>
    <b v="0"/>
    <n v="16"/>
    <s v="Rajasthan"/>
    <n v="5"/>
    <n v="2"/>
    <n v="3499"/>
    <s v="Unpaid"/>
  </r>
  <r>
    <d v="2024-03-05T00:00:00"/>
    <x v="2"/>
    <s v="Truck"/>
    <x v="5"/>
    <n v="5732"/>
    <b v="0"/>
    <s v="Cloudy"/>
    <s v="Morning"/>
    <s v="Wet"/>
    <s v="50+"/>
    <n v="4"/>
    <s v="High"/>
    <s v="Valid"/>
    <b v="1"/>
    <n v="102"/>
    <s v="Uttar Pradesh"/>
    <n v="6"/>
    <n v="3"/>
    <n v="1800"/>
    <s v="Unpaid"/>
  </r>
  <r>
    <d v="2024-03-06T00:00:00"/>
    <x v="9"/>
    <s v="Car"/>
    <x v="1"/>
    <n v="1000"/>
    <b v="1"/>
    <s v="Cloudy"/>
    <s v="Morning"/>
    <s v="Under Construction"/>
    <s v="26-35"/>
    <n v="2"/>
    <s v="Low"/>
    <s v="Expired"/>
    <b v="1"/>
    <n v="102"/>
    <s v="Punjab"/>
    <n v="9"/>
    <n v="2"/>
    <n v="3047"/>
    <s v="Disputed"/>
  </r>
  <r>
    <d v="2024-03-06T00:00:00"/>
    <x v="12"/>
    <s v="Bus"/>
    <x v="2"/>
    <n v="1013"/>
    <b v="1"/>
    <s v="Stormy"/>
    <s v="Night"/>
    <s v="Slippery"/>
    <s v="18-25"/>
    <n v="5"/>
    <s v="Medium"/>
    <s v="Suspended"/>
    <b v="1"/>
    <n v="104"/>
    <s v="Punjab"/>
    <n v="7"/>
    <n v="2"/>
    <n v="4303"/>
    <s v="Paid"/>
  </r>
  <r>
    <d v="2024-03-06T00:00:00"/>
    <x v="14"/>
    <s v="Bus"/>
    <x v="2"/>
    <n v="4849"/>
    <b v="1"/>
    <s v="Clear"/>
    <s v="Night"/>
    <s v="Dry"/>
    <s v="26-35"/>
    <n v="3"/>
    <s v="High"/>
    <s v="Valid"/>
    <b v="0"/>
    <n v="22"/>
    <s v="Haryana"/>
    <n v="6"/>
    <n v="2"/>
    <n v="3840"/>
    <s v="Disputed"/>
  </r>
  <r>
    <d v="2024-03-07T00:00:00"/>
    <x v="9"/>
    <s v="Auto-rickshaw"/>
    <x v="4"/>
    <n v="6605"/>
    <b v="1"/>
    <s v="Rainy"/>
    <s v="Evening"/>
    <s v="Dry"/>
    <s v="50+"/>
    <n v="0"/>
    <s v="High"/>
    <s v="Learner"/>
    <b v="1"/>
    <n v="101"/>
    <s v="Rajasthan"/>
    <n v="2"/>
    <n v="1"/>
    <n v="2580"/>
    <s v="Unpaid"/>
  </r>
  <r>
    <d v="2024-03-07T00:00:00"/>
    <x v="12"/>
    <s v="Truck"/>
    <x v="1"/>
    <n v="1000"/>
    <b v="1"/>
    <s v="Stormy"/>
    <s v="Night"/>
    <s v="Slippery"/>
    <s v="36-50"/>
    <n v="3"/>
    <s v="High"/>
    <s v="Valid"/>
    <b v="0"/>
    <n v="24"/>
    <s v="Punjab"/>
    <n v="1"/>
    <n v="1"/>
    <n v="1220"/>
    <s v="Unpaid"/>
  </r>
  <r>
    <d v="2024-03-08T00:00:00"/>
    <x v="8"/>
    <s v="Bike"/>
    <x v="4"/>
    <n v="9524"/>
    <b v="0"/>
    <s v="Foggy"/>
    <s v="Afternoon"/>
    <s v="Wet"/>
    <s v="50+"/>
    <n v="3"/>
    <s v="Low"/>
    <s v="Valid"/>
    <b v="1"/>
    <n v="93"/>
    <s v="Uttar Pradesh"/>
    <n v="10"/>
    <n v="2"/>
    <n v="4906"/>
    <s v="Disputed"/>
  </r>
  <r>
    <d v="2024-03-08T00:00:00"/>
    <x v="1"/>
    <s v="Auto-rickshaw"/>
    <x v="5"/>
    <n v="3425"/>
    <b v="1"/>
    <s v="Cloudy"/>
    <s v="Afternoon"/>
    <s v="Dry"/>
    <s v="50+"/>
    <n v="0"/>
    <s v="High"/>
    <s v="Expired"/>
    <b v="1"/>
    <n v="32"/>
    <s v="Uttar Pradesh"/>
    <n v="6"/>
    <n v="3"/>
    <n v="1664"/>
    <s v="Disputed"/>
  </r>
  <r>
    <d v="2024-03-08T00:00:00"/>
    <x v="12"/>
    <s v="Bus"/>
    <x v="3"/>
    <n v="4050"/>
    <b v="0"/>
    <s v="Foggy"/>
    <s v="Morning"/>
    <s v="Slippery"/>
    <s v="36-50"/>
    <n v="1"/>
    <s v="High"/>
    <s v="Suspended"/>
    <b v="0"/>
    <n v="42"/>
    <s v="Delhi"/>
    <n v="9"/>
    <n v="2"/>
    <n v="1206"/>
    <s v="Disputed"/>
  </r>
  <r>
    <d v="2024-03-10T00:00:00"/>
    <x v="13"/>
    <s v="Auto-rickshaw"/>
    <x v="4"/>
    <n v="9543"/>
    <b v="1"/>
    <s v="Stormy"/>
    <s v="Evening"/>
    <s v="Wet"/>
    <s v="50+"/>
    <n v="4"/>
    <s v="Medium"/>
    <s v="Expired"/>
    <b v="1"/>
    <n v="96"/>
    <s v="Delhi"/>
    <n v="6"/>
    <n v="3"/>
    <n v="3807"/>
    <s v="Disputed"/>
  </r>
  <r>
    <d v="2024-03-11T00:00:00"/>
    <x v="9"/>
    <s v="Car"/>
    <x v="1"/>
    <n v="1000"/>
    <b v="1"/>
    <s v="Rainy"/>
    <s v="Morning"/>
    <s v="Slippery"/>
    <s v="26-35"/>
    <n v="2"/>
    <s v="Medium"/>
    <s v="Valid"/>
    <b v="0"/>
    <n v="39"/>
    <s v="Punjab"/>
    <n v="3"/>
    <n v="3"/>
    <n v="2362"/>
    <s v="Paid"/>
  </r>
  <r>
    <d v="2024-03-11T00:00:00"/>
    <x v="6"/>
    <s v="Bus"/>
    <x v="1"/>
    <n v="1000"/>
    <b v="0"/>
    <s v="Rainy"/>
    <s v="Afternoon"/>
    <s v="Wet"/>
    <s v="50+"/>
    <n v="0"/>
    <s v="Medium"/>
    <s v="Learner"/>
    <b v="1"/>
    <n v="34"/>
    <s v="Delhi"/>
    <n v="1"/>
    <n v="1"/>
    <n v="850"/>
    <s v="Disputed"/>
  </r>
  <r>
    <d v="2024-03-11T00:00:00"/>
    <x v="4"/>
    <s v="Bike"/>
    <x v="0"/>
    <n v="1000"/>
    <b v="0"/>
    <s v="Cloudy"/>
    <s v="Evening"/>
    <s v="Dry"/>
    <s v="18-25"/>
    <n v="1"/>
    <s v="High"/>
    <s v="Valid"/>
    <b v="0"/>
    <n v="10"/>
    <s v="Punjab"/>
    <n v="9"/>
    <n v="1"/>
    <n v="2655"/>
    <s v="Unpaid"/>
  </r>
  <r>
    <d v="2024-03-11T00:00:00"/>
    <x v="12"/>
    <s v="Auto-rickshaw"/>
    <x v="3"/>
    <n v="8170"/>
    <b v="1"/>
    <s v="Foggy"/>
    <s v="Evening"/>
    <s v="Under Construction"/>
    <s v="36-50"/>
    <n v="3"/>
    <s v="High"/>
    <s v="Valid"/>
    <b v="1"/>
    <n v="46"/>
    <s v="Delhi"/>
    <n v="2"/>
    <n v="3"/>
    <n v="1893"/>
    <s v="Paid"/>
  </r>
  <r>
    <d v="2024-03-11T00:00:00"/>
    <x v="7"/>
    <s v="Truck"/>
    <x v="5"/>
    <n v="20565"/>
    <b v="0"/>
    <s v="Cloudy"/>
    <s v="Morning"/>
    <s v="Under Construction"/>
    <s v="18-25"/>
    <n v="2"/>
    <s v="Low"/>
    <s v="Suspended"/>
    <b v="1"/>
    <n v="17"/>
    <s v="Haryana"/>
    <n v="2"/>
    <n v="3"/>
    <n v="1311"/>
    <s v="Unpaid"/>
  </r>
  <r>
    <d v="2024-03-13T00:00:00"/>
    <x v="9"/>
    <s v="Bike"/>
    <x v="0"/>
    <n v="1000"/>
    <b v="1"/>
    <s v="Clear"/>
    <s v="Evening"/>
    <s v="Wet"/>
    <s v="50+"/>
    <n v="2"/>
    <s v="Medium"/>
    <s v="Valid"/>
    <b v="0"/>
    <n v="29"/>
    <s v="Punjab"/>
    <n v="2"/>
    <n v="1"/>
    <n v="3358"/>
    <s v="Paid"/>
  </r>
  <r>
    <d v="2024-03-13T00:00:00"/>
    <x v="10"/>
    <s v="Auto-rickshaw"/>
    <x v="1"/>
    <n v="1000"/>
    <b v="0"/>
    <s v="Foggy"/>
    <s v="Morning"/>
    <s v="Dry"/>
    <s v="36-50"/>
    <n v="5"/>
    <s v="Medium"/>
    <s v="Learner"/>
    <b v="1"/>
    <n v="19"/>
    <s v="Punjab"/>
    <n v="2"/>
    <n v="1"/>
    <n v="1062"/>
    <s v="Paid"/>
  </r>
  <r>
    <d v="2024-03-13T00:00:00"/>
    <x v="5"/>
    <s v="Truck"/>
    <x v="1"/>
    <n v="1000"/>
    <b v="0"/>
    <s v="Foggy"/>
    <s v="Night"/>
    <s v="Dry"/>
    <s v="36-50"/>
    <n v="0"/>
    <s v="Low"/>
    <s v="Valid"/>
    <b v="1"/>
    <n v="9"/>
    <s v="Punjab"/>
    <n v="3"/>
    <n v="1"/>
    <n v="3908"/>
    <s v="Unpaid"/>
  </r>
  <r>
    <d v="2024-03-14T00:00:00"/>
    <x v="10"/>
    <s v="Auto-rickshaw"/>
    <x v="4"/>
    <n v="8928"/>
    <b v="1"/>
    <s v="Cloudy"/>
    <s v="Morning"/>
    <s v="Dry"/>
    <s v="50+"/>
    <n v="3"/>
    <s v="High"/>
    <s v="Suspended"/>
    <b v="0"/>
    <n v="1"/>
    <s v="Delhi"/>
    <n v="6"/>
    <n v="3"/>
    <n v="3045"/>
    <s v="Disputed"/>
  </r>
  <r>
    <d v="2024-03-14T00:00:00"/>
    <x v="14"/>
    <s v="Bike"/>
    <x v="4"/>
    <n v="7190"/>
    <b v="0"/>
    <s v="Rainy"/>
    <s v="Afternoon"/>
    <s v="Under Construction"/>
    <s v="18-25"/>
    <n v="4"/>
    <s v="Low"/>
    <s v="Learner"/>
    <b v="0"/>
    <n v="23"/>
    <s v="Rajasthan"/>
    <n v="1"/>
    <n v="2"/>
    <n v="4779"/>
    <s v="Disputed"/>
  </r>
  <r>
    <d v="2024-03-15T00:00:00"/>
    <x v="9"/>
    <s v="Car"/>
    <x v="4"/>
    <n v="9455"/>
    <b v="0"/>
    <s v="Cloudy"/>
    <s v="Evening"/>
    <s v="Slippery"/>
    <s v="26-35"/>
    <n v="2"/>
    <s v="High"/>
    <s v="Suspended"/>
    <b v="1"/>
    <n v="94"/>
    <s v="Haryana"/>
    <n v="9"/>
    <n v="1"/>
    <n v="1414"/>
    <s v="Disputed"/>
  </r>
  <r>
    <d v="2024-03-15T00:00:00"/>
    <x v="8"/>
    <s v="Car"/>
    <x v="5"/>
    <n v="6200"/>
    <b v="0"/>
    <s v="Rainy"/>
    <s v="Morning"/>
    <s v="Wet"/>
    <s v="18-25"/>
    <n v="3"/>
    <s v="High"/>
    <s v="Valid"/>
    <b v="1"/>
    <n v="47"/>
    <s v="Delhi"/>
    <n v="5"/>
    <n v="3"/>
    <n v="2006"/>
    <s v="Paid"/>
  </r>
  <r>
    <d v="2024-03-16T00:00:00"/>
    <x v="9"/>
    <s v="Truck"/>
    <x v="5"/>
    <n v="3649"/>
    <b v="0"/>
    <s v="Cloudy"/>
    <s v="Morning"/>
    <s v="Under Construction"/>
    <s v="18-25"/>
    <n v="5"/>
    <s v="Low"/>
    <s v="Suspended"/>
    <b v="1"/>
    <n v="114"/>
    <s v="Punjab"/>
    <n v="10"/>
    <n v="2"/>
    <n v="4559"/>
    <s v="Paid"/>
  </r>
  <r>
    <d v="2024-03-16T00:00:00"/>
    <x v="6"/>
    <s v="Bus"/>
    <x v="3"/>
    <n v="2656"/>
    <b v="1"/>
    <s v="Stormy"/>
    <s v="Afternoon"/>
    <s v="Slippery"/>
    <s v="18-25"/>
    <n v="5"/>
    <s v="Low"/>
    <s v="Learner"/>
    <b v="1"/>
    <n v="107"/>
    <s v="Delhi"/>
    <n v="9"/>
    <n v="1"/>
    <n v="2052"/>
    <s v="Disputed"/>
  </r>
  <r>
    <d v="2024-03-16T00:00:00"/>
    <x v="11"/>
    <s v="Truck"/>
    <x v="2"/>
    <n v="2864"/>
    <b v="1"/>
    <s v="Cloudy"/>
    <s v="Evening"/>
    <s v="Under Construction"/>
    <s v="50+"/>
    <n v="1"/>
    <s v="High"/>
    <s v="Valid"/>
    <b v="0"/>
    <n v="5"/>
    <s v="Uttar Pradesh"/>
    <n v="1"/>
    <n v="2"/>
    <n v="3092"/>
    <s v="Paid"/>
  </r>
  <r>
    <d v="2024-03-16T00:00:00"/>
    <x v="4"/>
    <s v="Bus"/>
    <x v="5"/>
    <n v="7437"/>
    <b v="1"/>
    <s v="Cloudy"/>
    <s v="Evening"/>
    <s v="Under Construction"/>
    <s v="36-50"/>
    <n v="2"/>
    <s v="High"/>
    <s v="Expired"/>
    <b v="1"/>
    <n v="85"/>
    <s v="Uttar Pradesh"/>
    <n v="9"/>
    <n v="2"/>
    <n v="4192"/>
    <s v="Paid"/>
  </r>
  <r>
    <d v="2024-03-16T00:00:00"/>
    <x v="12"/>
    <s v="Auto-rickshaw"/>
    <x v="5"/>
    <n v="29415"/>
    <b v="0"/>
    <s v="Stormy"/>
    <s v="Morning"/>
    <s v="Under Construction"/>
    <s v="36-50"/>
    <n v="0"/>
    <s v="Low"/>
    <s v="Expired"/>
    <b v="0"/>
    <n v="72"/>
    <s v="Delhi"/>
    <n v="10"/>
    <n v="1"/>
    <n v="4743"/>
    <s v="Paid"/>
  </r>
  <r>
    <d v="2024-03-16T00:00:00"/>
    <x v="8"/>
    <s v="Car"/>
    <x v="1"/>
    <n v="1000"/>
    <b v="0"/>
    <s v="Stormy"/>
    <s v="Afternoon"/>
    <s v="Dry"/>
    <s v="18-25"/>
    <n v="4"/>
    <s v="Low"/>
    <s v="Suspended"/>
    <b v="0"/>
    <n v="65"/>
    <s v="Punjab"/>
    <n v="2"/>
    <n v="3"/>
    <n v="1227"/>
    <s v="Disputed"/>
  </r>
  <r>
    <d v="2024-03-16T00:00:00"/>
    <x v="7"/>
    <s v="Bus"/>
    <x v="2"/>
    <n v="4009"/>
    <b v="0"/>
    <s v="Rainy"/>
    <s v="Evening"/>
    <s v="Dry"/>
    <s v="50+"/>
    <n v="5"/>
    <s v="High"/>
    <s v="Learner"/>
    <b v="1"/>
    <n v="12"/>
    <s v="Rajasthan"/>
    <n v="5"/>
    <n v="1"/>
    <n v="2209"/>
    <s v="Disputed"/>
  </r>
  <r>
    <d v="2024-03-16T00:00:00"/>
    <x v="1"/>
    <s v="Auto-rickshaw"/>
    <x v="1"/>
    <n v="1000"/>
    <b v="0"/>
    <s v="Rainy"/>
    <s v="Evening"/>
    <s v="Under Construction"/>
    <s v="36-50"/>
    <n v="1"/>
    <s v="Low"/>
    <s v="Valid"/>
    <b v="1"/>
    <n v="67"/>
    <s v="Haryana"/>
    <n v="5"/>
    <n v="3"/>
    <n v="4506"/>
    <s v="Unpaid"/>
  </r>
  <r>
    <d v="2024-03-17T00:00:00"/>
    <x v="4"/>
    <s v="Auto-rickshaw"/>
    <x v="1"/>
    <n v="1000"/>
    <b v="1"/>
    <s v="Stormy"/>
    <s v="Morning"/>
    <s v="Under Construction"/>
    <s v="50+"/>
    <n v="2"/>
    <s v="High"/>
    <s v="Suspended"/>
    <b v="0"/>
    <n v="87"/>
    <s v="Punjab"/>
    <n v="9"/>
    <n v="1"/>
    <n v="759"/>
    <s v="Paid"/>
  </r>
  <r>
    <d v="2024-03-17T00:00:00"/>
    <x v="1"/>
    <s v="Bus"/>
    <x v="3"/>
    <n v="4565"/>
    <b v="0"/>
    <s v="Stormy"/>
    <s v="Evening"/>
    <s v="Wet"/>
    <s v="50+"/>
    <n v="1"/>
    <s v="High"/>
    <s v="Learner"/>
    <b v="1"/>
    <n v="115"/>
    <s v="Rajasthan"/>
    <n v="6"/>
    <n v="1"/>
    <n v="1044"/>
    <s v="Disputed"/>
  </r>
  <r>
    <d v="2024-03-18T00:00:00"/>
    <x v="14"/>
    <s v="Truck"/>
    <x v="4"/>
    <n v="8640"/>
    <b v="0"/>
    <s v="Rainy"/>
    <s v="Night"/>
    <s v="Under Construction"/>
    <s v="18-25"/>
    <n v="0"/>
    <s v="High"/>
    <s v="Learner"/>
    <b v="0"/>
    <n v="103"/>
    <s v="Haryana"/>
    <n v="10"/>
    <n v="2"/>
    <n v="2065"/>
    <s v="Disputed"/>
  </r>
  <r>
    <d v="2024-03-18T00:00:00"/>
    <x v="7"/>
    <s v="Car"/>
    <x v="4"/>
    <n v="8231"/>
    <b v="0"/>
    <s v="Clear"/>
    <s v="Afternoon"/>
    <s v="Wet"/>
    <s v="18-25"/>
    <n v="5"/>
    <s v="High"/>
    <s v="Expired"/>
    <b v="1"/>
    <n v="110"/>
    <s v="Punjab"/>
    <n v="5"/>
    <n v="1"/>
    <n v="1719"/>
    <s v="Disputed"/>
  </r>
  <r>
    <d v="2024-03-19T00:00:00"/>
    <x v="1"/>
    <s v="Auto-rickshaw"/>
    <x v="4"/>
    <n v="6970"/>
    <b v="0"/>
    <s v="Cloudy"/>
    <s v="Evening"/>
    <s v="Under Construction"/>
    <s v="26-35"/>
    <n v="3"/>
    <s v="Medium"/>
    <s v="Valid"/>
    <b v="1"/>
    <n v="88"/>
    <s v="Delhi"/>
    <n v="10"/>
    <n v="3"/>
    <n v="1644"/>
    <s v="Unpaid"/>
  </r>
  <r>
    <d v="2024-03-19T00:00:00"/>
    <x v="1"/>
    <s v="Bike"/>
    <x v="0"/>
    <n v="1000"/>
    <b v="0"/>
    <s v="Rainy"/>
    <s v="Night"/>
    <s v="Dry"/>
    <s v="50+"/>
    <n v="0"/>
    <s v="Low"/>
    <s v="Valid"/>
    <b v="1"/>
    <n v="21"/>
    <s v="Haryana"/>
    <n v="6"/>
    <n v="2"/>
    <n v="4364"/>
    <s v="Unpaid"/>
  </r>
  <r>
    <d v="2024-03-19T00:00:00"/>
    <x v="11"/>
    <s v="Truck"/>
    <x v="3"/>
    <n v="4151"/>
    <b v="0"/>
    <s v="Cloudy"/>
    <s v="Morning"/>
    <s v="Under Construction"/>
    <s v="26-35"/>
    <n v="3"/>
    <s v="High"/>
    <s v="Learner"/>
    <b v="0"/>
    <n v="16"/>
    <s v="Rajasthan"/>
    <n v="6"/>
    <n v="3"/>
    <n v="1942"/>
    <s v="Unpaid"/>
  </r>
  <r>
    <d v="2024-03-19T00:00:00"/>
    <x v="12"/>
    <s v="Car"/>
    <x v="1"/>
    <n v="1000"/>
    <b v="0"/>
    <s v="Foggy"/>
    <s v="Evening"/>
    <s v="Slippery"/>
    <s v="36-50"/>
    <n v="3"/>
    <s v="High"/>
    <s v="Learner"/>
    <b v="0"/>
    <n v="77"/>
    <s v="Punjab"/>
    <n v="1"/>
    <n v="1"/>
    <n v="3878"/>
    <s v="Unpaid"/>
  </r>
  <r>
    <d v="2024-03-20T00:00:00"/>
    <x v="6"/>
    <s v="Bus"/>
    <x v="4"/>
    <n v="9390"/>
    <b v="0"/>
    <s v="Stormy"/>
    <s v="Evening"/>
    <s v="Under Construction"/>
    <s v="36-50"/>
    <n v="5"/>
    <s v="High"/>
    <s v="Expired"/>
    <b v="1"/>
    <n v="59"/>
    <s v="Rajasthan"/>
    <n v="1"/>
    <n v="2"/>
    <n v="4971"/>
    <s v="Paid"/>
  </r>
  <r>
    <d v="2024-03-20T00:00:00"/>
    <x v="2"/>
    <s v="Auto-rickshaw"/>
    <x v="2"/>
    <n v="3435"/>
    <b v="0"/>
    <s v="Cloudy"/>
    <s v="Night"/>
    <s v="Wet"/>
    <s v="18-25"/>
    <n v="5"/>
    <s v="Medium"/>
    <s v="Suspended"/>
    <b v="0"/>
    <n v="20"/>
    <s v="Uttar Pradesh"/>
    <n v="6"/>
    <n v="3"/>
    <n v="4713"/>
    <s v="Disputed"/>
  </r>
  <r>
    <d v="2024-03-20T00:00:00"/>
    <x v="13"/>
    <s v="Truck"/>
    <x v="3"/>
    <n v="4219"/>
    <b v="0"/>
    <s v="Clear"/>
    <s v="Morning"/>
    <s v="Dry"/>
    <s v="36-50"/>
    <n v="5"/>
    <s v="Medium"/>
    <s v="Valid"/>
    <b v="1"/>
    <n v="47"/>
    <s v="Delhi"/>
    <n v="2"/>
    <n v="3"/>
    <n v="2190"/>
    <s v="Disputed"/>
  </r>
  <r>
    <d v="2024-03-21T00:00:00"/>
    <x v="0"/>
    <s v="Truck"/>
    <x v="4"/>
    <n v="9292"/>
    <b v="0"/>
    <s v="Cloudy"/>
    <s v="Morning"/>
    <s v="Under Construction"/>
    <s v="18-25"/>
    <n v="0"/>
    <s v="High"/>
    <s v="Valid"/>
    <b v="1"/>
    <n v="103"/>
    <s v="Uttar Pradesh"/>
    <n v="4"/>
    <n v="1"/>
    <n v="528"/>
    <s v="Paid"/>
  </r>
  <r>
    <d v="2024-03-23T00:00:00"/>
    <x v="3"/>
    <s v="Car"/>
    <x v="5"/>
    <n v="7714"/>
    <b v="1"/>
    <s v="Cloudy"/>
    <s v="Night"/>
    <s v="Wet"/>
    <s v="50+"/>
    <n v="3"/>
    <s v="High"/>
    <s v="Valid"/>
    <b v="0"/>
    <n v="116"/>
    <s v="Rajasthan"/>
    <n v="10"/>
    <n v="1"/>
    <n v="850"/>
    <s v="Paid"/>
  </r>
  <r>
    <d v="2024-03-23T00:00:00"/>
    <x v="4"/>
    <s v="Bike"/>
    <x v="0"/>
    <n v="1000"/>
    <b v="1"/>
    <s v="Stormy"/>
    <s v="Evening"/>
    <s v="Slippery"/>
    <s v="26-35"/>
    <n v="1"/>
    <s v="Medium"/>
    <s v="Learner"/>
    <b v="0"/>
    <n v="3"/>
    <s v="Delhi"/>
    <n v="6"/>
    <n v="3"/>
    <n v="3241"/>
    <s v="Paid"/>
  </r>
  <r>
    <d v="2024-03-24T00:00:00"/>
    <x v="11"/>
    <s v="Bus"/>
    <x v="4"/>
    <n v="6223"/>
    <b v="0"/>
    <s v="Cloudy"/>
    <s v="Morning"/>
    <s v="Under Construction"/>
    <s v="18-25"/>
    <n v="1"/>
    <s v="High"/>
    <s v="Expired"/>
    <b v="0"/>
    <n v="85"/>
    <s v="Delhi"/>
    <n v="10"/>
    <n v="2"/>
    <n v="1677"/>
    <s v="Paid"/>
  </r>
  <r>
    <d v="2024-03-24T00:00:00"/>
    <x v="13"/>
    <s v="Bike"/>
    <x v="0"/>
    <n v="1000"/>
    <b v="1"/>
    <s v="Foggy"/>
    <s v="Evening"/>
    <s v="Under Construction"/>
    <s v="26-35"/>
    <n v="2"/>
    <s v="High"/>
    <s v="Valid"/>
    <b v="1"/>
    <n v="56"/>
    <s v="Haryana"/>
    <n v="3"/>
    <n v="1"/>
    <n v="3941"/>
    <s v="Disputed"/>
  </r>
  <r>
    <d v="2024-03-25T00:00:00"/>
    <x v="13"/>
    <s v="Truck"/>
    <x v="4"/>
    <n v="7195"/>
    <b v="1"/>
    <s v="Clear"/>
    <s v="Evening"/>
    <s v="Wet"/>
    <s v="36-50"/>
    <n v="0"/>
    <s v="High"/>
    <s v="Learner"/>
    <b v="1"/>
    <n v="110"/>
    <s v="Haryana"/>
    <n v="7"/>
    <n v="2"/>
    <n v="1344"/>
    <s v="Unpaid"/>
  </r>
  <r>
    <d v="2024-03-25T00:00:00"/>
    <x v="8"/>
    <s v="Truck"/>
    <x v="5"/>
    <n v="6178"/>
    <b v="0"/>
    <s v="Stormy"/>
    <s v="Night"/>
    <s v="Wet"/>
    <s v="50+"/>
    <n v="1"/>
    <s v="High"/>
    <s v="Learner"/>
    <b v="0"/>
    <n v="29"/>
    <s v="Rajasthan"/>
    <n v="9"/>
    <n v="3"/>
    <n v="1608"/>
    <s v="Disputed"/>
  </r>
  <r>
    <d v="2024-03-26T00:00:00"/>
    <x v="1"/>
    <s v="Bike"/>
    <x v="0"/>
    <n v="1000"/>
    <b v="0"/>
    <s v="Rainy"/>
    <s v="Evening"/>
    <s v="Slippery"/>
    <s v="26-35"/>
    <n v="2"/>
    <s v="High"/>
    <s v="Valid"/>
    <b v="0"/>
    <n v="83"/>
    <s v="Delhi"/>
    <n v="9"/>
    <n v="1"/>
    <n v="2362"/>
    <s v="Paid"/>
  </r>
  <r>
    <d v="2024-03-26T00:00:00"/>
    <x v="11"/>
    <s v="Bike"/>
    <x v="0"/>
    <n v="1000"/>
    <b v="0"/>
    <s v="Rainy"/>
    <s v="Morning"/>
    <s v="Under Construction"/>
    <s v="18-25"/>
    <n v="1"/>
    <s v="High"/>
    <s v="Suspended"/>
    <b v="1"/>
    <n v="87"/>
    <s v="Haryana"/>
    <n v="3"/>
    <n v="2"/>
    <n v="3121"/>
    <s v="Paid"/>
  </r>
  <r>
    <d v="2024-03-26T00:00:00"/>
    <x v="9"/>
    <s v="Truck"/>
    <x v="3"/>
    <n v="3939"/>
    <b v="0"/>
    <s v="Clear"/>
    <s v="Morning"/>
    <s v="Dry"/>
    <s v="26-35"/>
    <n v="1"/>
    <s v="Medium"/>
    <s v="Suspended"/>
    <b v="1"/>
    <n v="27"/>
    <s v="Delhi"/>
    <n v="6"/>
    <n v="2"/>
    <n v="3484"/>
    <s v="Paid"/>
  </r>
  <r>
    <d v="2024-03-26T00:00:00"/>
    <x v="6"/>
    <s v="Car"/>
    <x v="3"/>
    <n v="3825"/>
    <b v="0"/>
    <s v="Cloudy"/>
    <s v="Evening"/>
    <s v="Wet"/>
    <s v="26-35"/>
    <n v="2"/>
    <s v="Low"/>
    <s v="Suspended"/>
    <b v="1"/>
    <n v="52"/>
    <s v="Uttar Pradesh"/>
    <n v="9"/>
    <n v="3"/>
    <n v="2517"/>
    <s v="Disputed"/>
  </r>
  <r>
    <d v="2024-03-26T00:00:00"/>
    <x v="12"/>
    <s v="Bus"/>
    <x v="4"/>
    <n v="9931"/>
    <b v="0"/>
    <s v="Cloudy"/>
    <s v="Evening"/>
    <s v="Under Construction"/>
    <s v="26-35"/>
    <n v="5"/>
    <s v="Medium"/>
    <s v="Valid"/>
    <b v="1"/>
    <n v="1"/>
    <s v="Uttar Pradesh"/>
    <n v="6"/>
    <n v="2"/>
    <n v="1020"/>
    <s v="Unpaid"/>
  </r>
  <r>
    <d v="2024-03-26T00:00:00"/>
    <x v="0"/>
    <s v="Bike"/>
    <x v="0"/>
    <n v="1000"/>
    <b v="1"/>
    <s v="Clear"/>
    <s v="Morning"/>
    <s v="Slippery"/>
    <s v="50+"/>
    <n v="0"/>
    <s v="Medium"/>
    <s v="Valid"/>
    <b v="0"/>
    <n v="75"/>
    <s v="Haryana"/>
    <n v="8"/>
    <n v="3"/>
    <n v="1119"/>
    <s v="Disputed"/>
  </r>
  <r>
    <d v="2024-03-26T00:00:00"/>
    <x v="14"/>
    <s v="Bus"/>
    <x v="5"/>
    <n v="4521"/>
    <b v="1"/>
    <s v="Rainy"/>
    <s v="Evening"/>
    <s v="Slippery"/>
    <s v="26-35"/>
    <n v="2"/>
    <s v="Medium"/>
    <s v="Learner"/>
    <b v="1"/>
    <n v="27"/>
    <s v="Punjab"/>
    <n v="5"/>
    <n v="3"/>
    <n v="3801"/>
    <s v="Disputed"/>
  </r>
  <r>
    <d v="2024-03-27T00:00:00"/>
    <x v="12"/>
    <s v="Truck"/>
    <x v="1"/>
    <n v="5000"/>
    <b v="1"/>
    <s v="Cloudy"/>
    <s v="Morning"/>
    <s v="Dry"/>
    <s v="18-25"/>
    <n v="3"/>
    <s v="Low"/>
    <s v="Suspended"/>
    <b v="1"/>
    <n v="65"/>
    <s v="Rajasthan"/>
    <n v="4"/>
    <n v="2"/>
    <n v="4073"/>
    <s v="Paid"/>
  </r>
  <r>
    <d v="2024-03-27T00:00:00"/>
    <x v="5"/>
    <s v="Bus"/>
    <x v="3"/>
    <n v="2882"/>
    <b v="1"/>
    <s v="Stormy"/>
    <s v="Night"/>
    <s v="Under Construction"/>
    <s v="50+"/>
    <n v="4"/>
    <s v="High"/>
    <s v="Expired"/>
    <b v="1"/>
    <n v="68"/>
    <s v="Uttar Pradesh"/>
    <n v="3"/>
    <n v="1"/>
    <n v="2797"/>
    <s v="Paid"/>
  </r>
  <r>
    <d v="2024-03-27T00:00:00"/>
    <x v="1"/>
    <s v="Car"/>
    <x v="2"/>
    <n v="3944"/>
    <b v="1"/>
    <s v="Clear"/>
    <s v="Night"/>
    <s v="Slippery"/>
    <s v="50+"/>
    <n v="5"/>
    <s v="High"/>
    <s v="Suspended"/>
    <b v="1"/>
    <n v="55"/>
    <s v="Punjab"/>
    <n v="1"/>
    <n v="3"/>
    <n v="2288"/>
    <s v="Paid"/>
  </r>
  <r>
    <d v="2024-03-27T00:00:00"/>
    <x v="9"/>
    <s v="Truck"/>
    <x v="1"/>
    <n v="1000"/>
    <b v="0"/>
    <s v="Cloudy"/>
    <s v="Night"/>
    <s v="Under Construction"/>
    <s v="50+"/>
    <n v="5"/>
    <s v="Medium"/>
    <s v="Learner"/>
    <b v="0"/>
    <n v="11"/>
    <s v="Rajasthan"/>
    <n v="1"/>
    <n v="2"/>
    <n v="2142"/>
    <s v="Paid"/>
  </r>
  <r>
    <d v="2024-03-28T00:00:00"/>
    <x v="11"/>
    <s v="Car"/>
    <x v="4"/>
    <n v="8744"/>
    <b v="0"/>
    <s v="Rainy"/>
    <s v="Night"/>
    <s v="Under Construction"/>
    <s v="18-25"/>
    <n v="1"/>
    <s v="High"/>
    <s v="Suspended"/>
    <b v="0"/>
    <n v="62"/>
    <s v="Punjab"/>
    <n v="6"/>
    <n v="3"/>
    <n v="4591"/>
    <s v="Unpaid"/>
  </r>
  <r>
    <d v="2024-03-28T00:00:00"/>
    <x v="9"/>
    <s v="Truck"/>
    <x v="5"/>
    <n v="3015"/>
    <b v="1"/>
    <s v="Stormy"/>
    <s v="Night"/>
    <s v="Slippery"/>
    <s v="36-50"/>
    <n v="2"/>
    <s v="Medium"/>
    <s v="Valid"/>
    <b v="0"/>
    <n v="99"/>
    <s v="Delhi"/>
    <n v="9"/>
    <n v="2"/>
    <n v="1712"/>
    <s v="Paid"/>
  </r>
  <r>
    <d v="2024-04-01T00:00:00"/>
    <x v="0"/>
    <s v="Car"/>
    <x v="5"/>
    <n v="3853"/>
    <b v="1"/>
    <s v="Cloudy"/>
    <s v="Evening"/>
    <s v="Slippery"/>
    <s v="50+"/>
    <n v="0"/>
    <s v="Medium"/>
    <s v="Expired"/>
    <b v="1"/>
    <n v="116"/>
    <s v="Haryana"/>
    <n v="6"/>
    <n v="2"/>
    <n v="3124"/>
    <s v="Paid"/>
  </r>
  <r>
    <d v="2024-04-01T00:00:00"/>
    <x v="7"/>
    <s v="Car"/>
    <x v="3"/>
    <n v="2850"/>
    <b v="0"/>
    <s v="Clear"/>
    <s v="Night"/>
    <s v="Slippery"/>
    <s v="18-25"/>
    <n v="1"/>
    <s v="Low"/>
    <s v="Suspended"/>
    <b v="1"/>
    <n v="1"/>
    <s v="Rajasthan"/>
    <n v="8"/>
    <n v="1"/>
    <n v="4305"/>
    <s v="Paid"/>
  </r>
  <r>
    <d v="2024-04-01T00:00:00"/>
    <x v="2"/>
    <s v="Truck"/>
    <x v="4"/>
    <n v="6924"/>
    <b v="1"/>
    <s v="Rainy"/>
    <s v="Afternoon"/>
    <s v="Wet"/>
    <s v="50+"/>
    <n v="5"/>
    <s v="High"/>
    <s v="Suspended"/>
    <b v="1"/>
    <n v="83"/>
    <s v="Delhi"/>
    <n v="2"/>
    <n v="2"/>
    <n v="1213"/>
    <s v="Paid"/>
  </r>
  <r>
    <d v="2024-04-01T00:00:00"/>
    <x v="0"/>
    <s v="Car"/>
    <x v="2"/>
    <n v="1729"/>
    <b v="0"/>
    <s v="Rainy"/>
    <s v="Night"/>
    <s v="Dry"/>
    <s v="36-50"/>
    <n v="1"/>
    <s v="Low"/>
    <s v="Learner"/>
    <b v="1"/>
    <n v="48"/>
    <s v="Delhi"/>
    <n v="2"/>
    <n v="3"/>
    <n v="1318"/>
    <s v="Unpaid"/>
  </r>
  <r>
    <d v="2024-04-05T00:00:00"/>
    <x v="13"/>
    <s v="Bike"/>
    <x v="0"/>
    <n v="1000"/>
    <b v="1"/>
    <s v="Stormy"/>
    <s v="Night"/>
    <s v="Dry"/>
    <s v="26-35"/>
    <n v="2"/>
    <s v="Medium"/>
    <s v="Expired"/>
    <b v="1"/>
    <n v="16"/>
    <s v="Delhi"/>
    <n v="10"/>
    <n v="2"/>
    <n v="2235"/>
    <s v="Unpaid"/>
  </r>
  <r>
    <d v="2024-04-05T00:00:00"/>
    <x v="9"/>
    <s v="Car"/>
    <x v="1"/>
    <n v="1000"/>
    <b v="0"/>
    <s v="Stormy"/>
    <s v="Morning"/>
    <s v="Dry"/>
    <s v="50+"/>
    <n v="4"/>
    <s v="Medium"/>
    <s v="Suspended"/>
    <b v="1"/>
    <n v="117"/>
    <s v="Delhi"/>
    <n v="1"/>
    <n v="3"/>
    <n v="1550"/>
    <s v="Disputed"/>
  </r>
  <r>
    <d v="2024-04-05T00:00:00"/>
    <x v="14"/>
    <s v="Car"/>
    <x v="3"/>
    <n v="2520"/>
    <b v="0"/>
    <s v="Stormy"/>
    <s v="Morning"/>
    <s v="Wet"/>
    <s v="18-25"/>
    <n v="1"/>
    <s v="High"/>
    <s v="Learner"/>
    <b v="0"/>
    <n v="50"/>
    <s v="Uttar Pradesh"/>
    <n v="8"/>
    <n v="2"/>
    <n v="1306"/>
    <s v="Unpaid"/>
  </r>
  <r>
    <d v="2024-04-06T00:00:00"/>
    <x v="7"/>
    <s v="Truck"/>
    <x v="3"/>
    <n v="2595"/>
    <b v="0"/>
    <s v="Cloudy"/>
    <s v="Morning"/>
    <s v="Under Construction"/>
    <s v="50+"/>
    <n v="4"/>
    <s v="High"/>
    <s v="Suspended"/>
    <b v="1"/>
    <n v="27"/>
    <s v="Haryana"/>
    <n v="7"/>
    <n v="3"/>
    <n v="568"/>
    <s v="Paid"/>
  </r>
  <r>
    <d v="2024-04-06T00:00:00"/>
    <x v="8"/>
    <s v="Bus"/>
    <x v="5"/>
    <n v="6172"/>
    <b v="0"/>
    <s v="Foggy"/>
    <s v="Evening"/>
    <s v="Slippery"/>
    <s v="50+"/>
    <n v="5"/>
    <s v="Medium"/>
    <s v="Expired"/>
    <b v="0"/>
    <n v="86"/>
    <s v="Haryana"/>
    <n v="7"/>
    <n v="3"/>
    <n v="3519"/>
    <s v="Paid"/>
  </r>
  <r>
    <d v="2024-04-06T00:00:00"/>
    <x v="8"/>
    <s v="Bike"/>
    <x v="5"/>
    <n v="3488"/>
    <b v="0"/>
    <s v="Rainy"/>
    <s v="Night"/>
    <s v="Wet"/>
    <s v="50+"/>
    <n v="2"/>
    <s v="Low"/>
    <s v="Valid"/>
    <b v="1"/>
    <n v="55"/>
    <s v="Uttar Pradesh"/>
    <n v="2"/>
    <n v="2"/>
    <n v="1899"/>
    <s v="Paid"/>
  </r>
  <r>
    <d v="2024-04-07T00:00:00"/>
    <x v="13"/>
    <s v="Auto-rickshaw"/>
    <x v="2"/>
    <n v="3161"/>
    <b v="1"/>
    <s v="Foggy"/>
    <s v="Night"/>
    <s v="Dry"/>
    <s v="36-50"/>
    <n v="5"/>
    <s v="Medium"/>
    <s v="Expired"/>
    <b v="0"/>
    <n v="12"/>
    <s v="Delhi"/>
    <n v="9"/>
    <n v="1"/>
    <n v="3737"/>
    <s v="Paid"/>
  </r>
  <r>
    <d v="2024-04-07T00:00:00"/>
    <x v="11"/>
    <s v="Bus"/>
    <x v="1"/>
    <n v="1000"/>
    <b v="0"/>
    <s v="Cloudy"/>
    <s v="Morning"/>
    <s v="Wet"/>
    <s v="36-50"/>
    <n v="5"/>
    <s v="Medium"/>
    <s v="Valid"/>
    <b v="0"/>
    <n v="8"/>
    <s v="Delhi"/>
    <n v="5"/>
    <n v="2"/>
    <n v="4001"/>
    <s v="Disputed"/>
  </r>
  <r>
    <d v="2024-04-07T00:00:00"/>
    <x v="0"/>
    <s v="Bike"/>
    <x v="5"/>
    <n v="6115"/>
    <b v="0"/>
    <s v="Rainy"/>
    <s v="Afternoon"/>
    <s v="Under Construction"/>
    <s v="18-25"/>
    <n v="3"/>
    <s v="High"/>
    <s v="Suspended"/>
    <b v="0"/>
    <n v="74"/>
    <s v="Punjab"/>
    <n v="2"/>
    <n v="3"/>
    <n v="1380"/>
    <s v="Disputed"/>
  </r>
  <r>
    <d v="2024-04-07T00:00:00"/>
    <x v="5"/>
    <s v="Auto-rickshaw"/>
    <x v="1"/>
    <n v="1000"/>
    <b v="0"/>
    <s v="Clear"/>
    <s v="Afternoon"/>
    <s v="Slippery"/>
    <s v="18-25"/>
    <n v="1"/>
    <s v="Medium"/>
    <s v="Suspended"/>
    <b v="1"/>
    <n v="70"/>
    <s v="Haryana"/>
    <n v="4"/>
    <n v="2"/>
    <n v="3842"/>
    <s v="Paid"/>
  </r>
  <r>
    <d v="2024-04-07T00:00:00"/>
    <x v="13"/>
    <s v="Truck"/>
    <x v="4"/>
    <n v="6344"/>
    <b v="0"/>
    <s v="Stormy"/>
    <s v="Afternoon"/>
    <s v="Dry"/>
    <s v="26-35"/>
    <n v="2"/>
    <s v="High"/>
    <s v="Expired"/>
    <b v="0"/>
    <n v="29"/>
    <s v="Delhi"/>
    <n v="10"/>
    <n v="3"/>
    <n v="4027"/>
    <s v="Paid"/>
  </r>
  <r>
    <d v="2024-04-08T00:00:00"/>
    <x v="6"/>
    <s v="Bus"/>
    <x v="4"/>
    <n v="5407"/>
    <b v="0"/>
    <s v="Cloudy"/>
    <s v="Afternoon"/>
    <s v="Wet"/>
    <s v="50+"/>
    <n v="1"/>
    <s v="Medium"/>
    <s v="Expired"/>
    <b v="0"/>
    <n v="12"/>
    <s v="Punjab"/>
    <n v="4"/>
    <n v="1"/>
    <n v="4023"/>
    <s v="Unpaid"/>
  </r>
  <r>
    <d v="2024-04-08T00:00:00"/>
    <x v="11"/>
    <s v="Car"/>
    <x v="3"/>
    <n v="3752"/>
    <b v="0"/>
    <s v="Cloudy"/>
    <s v="Evening"/>
    <s v="Dry"/>
    <s v="50+"/>
    <n v="0"/>
    <s v="Medium"/>
    <s v="Learner"/>
    <b v="1"/>
    <n v="28"/>
    <s v="Punjab"/>
    <n v="4"/>
    <n v="1"/>
    <n v="1920"/>
    <s v="Disputed"/>
  </r>
  <r>
    <d v="2024-04-08T00:00:00"/>
    <x v="11"/>
    <s v="Car"/>
    <x v="1"/>
    <n v="1000"/>
    <b v="1"/>
    <s v="Cloudy"/>
    <s v="Morning"/>
    <s v="Dry"/>
    <s v="26-35"/>
    <n v="5"/>
    <s v="Low"/>
    <s v="Learner"/>
    <b v="1"/>
    <n v="41"/>
    <s v="Punjab"/>
    <n v="9"/>
    <n v="2"/>
    <n v="3283"/>
    <s v="Disputed"/>
  </r>
  <r>
    <d v="2024-04-08T00:00:00"/>
    <x v="14"/>
    <s v="Car"/>
    <x v="2"/>
    <n v="2447"/>
    <b v="1"/>
    <s v="Clear"/>
    <s v="Evening"/>
    <s v="Slippery"/>
    <s v="26-35"/>
    <n v="0"/>
    <s v="High"/>
    <s v="Suspended"/>
    <b v="0"/>
    <n v="9"/>
    <s v="Uttar Pradesh"/>
    <n v="9"/>
    <n v="3"/>
    <n v="827"/>
    <s v="Unpaid"/>
  </r>
  <r>
    <d v="2024-04-10T00:00:00"/>
    <x v="11"/>
    <s v="Auto-rickshaw"/>
    <x v="4"/>
    <n v="8389"/>
    <b v="0"/>
    <s v="Stormy"/>
    <s v="Afternoon"/>
    <s v="Dry"/>
    <s v="36-50"/>
    <n v="4"/>
    <s v="Low"/>
    <s v="Expired"/>
    <b v="1"/>
    <n v="18"/>
    <s v="Haryana"/>
    <n v="6"/>
    <n v="1"/>
    <n v="4594"/>
    <s v="Disputed"/>
  </r>
  <r>
    <d v="2024-04-11T00:00:00"/>
    <x v="12"/>
    <s v="Auto-rickshaw"/>
    <x v="5"/>
    <n v="3204"/>
    <b v="0"/>
    <s v="Clear"/>
    <s v="Afternoon"/>
    <s v="Wet"/>
    <s v="36-50"/>
    <n v="1"/>
    <s v="High"/>
    <s v="Expired"/>
    <b v="0"/>
    <n v="40"/>
    <s v="Rajasthan"/>
    <n v="8"/>
    <n v="2"/>
    <n v="2433"/>
    <s v="Disputed"/>
  </r>
  <r>
    <d v="2024-04-11T00:00:00"/>
    <x v="3"/>
    <s v="Bike"/>
    <x v="0"/>
    <n v="1000"/>
    <b v="0"/>
    <s v="Stormy"/>
    <s v="Afternoon"/>
    <s v="Slippery"/>
    <s v="18-25"/>
    <n v="3"/>
    <s v="Medium"/>
    <s v="Learner"/>
    <b v="0"/>
    <n v="43"/>
    <s v="Delhi"/>
    <n v="4"/>
    <n v="1"/>
    <n v="2835"/>
    <s v="Disputed"/>
  </r>
  <r>
    <d v="2024-04-11T00:00:00"/>
    <x v="13"/>
    <s v="Car"/>
    <x v="4"/>
    <n v="6696"/>
    <b v="1"/>
    <s v="Stormy"/>
    <s v="Morning"/>
    <s v="Wet"/>
    <s v="18-25"/>
    <n v="2"/>
    <s v="High"/>
    <s v="Suspended"/>
    <b v="0"/>
    <n v="119"/>
    <s v="Haryana"/>
    <n v="6"/>
    <n v="3"/>
    <n v="4419"/>
    <s v="Paid"/>
  </r>
  <r>
    <d v="2024-04-13T00:00:00"/>
    <x v="8"/>
    <s v="Bus"/>
    <x v="3"/>
    <n v="3391"/>
    <b v="1"/>
    <s v="Stormy"/>
    <s v="Night"/>
    <s v="Slippery"/>
    <s v="26-35"/>
    <n v="4"/>
    <s v="Low"/>
    <s v="Valid"/>
    <b v="1"/>
    <n v="12"/>
    <s v="Rajasthan"/>
    <n v="3"/>
    <n v="2"/>
    <n v="655"/>
    <s v="Unpaid"/>
  </r>
  <r>
    <d v="2024-04-13T00:00:00"/>
    <x v="6"/>
    <s v="Car"/>
    <x v="2"/>
    <n v="4207"/>
    <b v="1"/>
    <s v="Foggy"/>
    <s v="Evening"/>
    <s v="Wet"/>
    <s v="26-35"/>
    <n v="3"/>
    <s v="High"/>
    <s v="Valid"/>
    <b v="0"/>
    <n v="88"/>
    <s v="Delhi"/>
    <n v="9"/>
    <n v="3"/>
    <n v="988"/>
    <s v="Paid"/>
  </r>
  <r>
    <d v="2024-04-14T00:00:00"/>
    <x v="1"/>
    <s v="Truck"/>
    <x v="5"/>
    <n v="6756"/>
    <b v="1"/>
    <s v="Cloudy"/>
    <s v="Afternoon"/>
    <s v="Under Construction"/>
    <s v="36-50"/>
    <n v="0"/>
    <s v="High"/>
    <s v="Expired"/>
    <b v="1"/>
    <n v="98"/>
    <s v="Rajasthan"/>
    <n v="7"/>
    <n v="3"/>
    <n v="3864"/>
    <s v="Unpaid"/>
  </r>
  <r>
    <d v="2024-04-15T00:00:00"/>
    <x v="6"/>
    <s v="Bus"/>
    <x v="2"/>
    <n v="1899"/>
    <b v="0"/>
    <s v="Cloudy"/>
    <s v="Morning"/>
    <s v="Slippery"/>
    <s v="26-35"/>
    <n v="4"/>
    <s v="Medium"/>
    <s v="Learner"/>
    <b v="0"/>
    <n v="28"/>
    <s v="Rajasthan"/>
    <n v="10"/>
    <n v="3"/>
    <n v="768"/>
    <s v="Disputed"/>
  </r>
  <r>
    <d v="2024-04-16T00:00:00"/>
    <x v="13"/>
    <s v="Bus"/>
    <x v="3"/>
    <n v="2433"/>
    <b v="0"/>
    <s v="Clear"/>
    <s v="Morning"/>
    <s v="Wet"/>
    <s v="36-50"/>
    <n v="1"/>
    <s v="High"/>
    <s v="Suspended"/>
    <b v="1"/>
    <n v="59"/>
    <s v="Delhi"/>
    <n v="5"/>
    <n v="1"/>
    <n v="1479"/>
    <s v="Paid"/>
  </r>
  <r>
    <d v="2024-04-16T00:00:00"/>
    <x v="3"/>
    <s v="Bike"/>
    <x v="3"/>
    <n v="4507"/>
    <b v="0"/>
    <s v="Stormy"/>
    <s v="Afternoon"/>
    <s v="Slippery"/>
    <s v="26-35"/>
    <n v="2"/>
    <s v="Medium"/>
    <s v="Expired"/>
    <b v="0"/>
    <n v="46"/>
    <s v="Punjab"/>
    <n v="10"/>
    <n v="1"/>
    <n v="519"/>
    <s v="Unpaid"/>
  </r>
  <r>
    <d v="2024-04-16T00:00:00"/>
    <x v="10"/>
    <s v="Bike"/>
    <x v="2"/>
    <n v="3781"/>
    <b v="0"/>
    <s v="Foggy"/>
    <s v="Evening"/>
    <s v="Slippery"/>
    <s v="50+"/>
    <n v="4"/>
    <s v="Low"/>
    <s v="Learner"/>
    <b v="0"/>
    <n v="87"/>
    <s v="Rajasthan"/>
    <n v="3"/>
    <n v="2"/>
    <n v="2163"/>
    <s v="Paid"/>
  </r>
  <r>
    <d v="2024-04-17T00:00:00"/>
    <x v="1"/>
    <s v="Car"/>
    <x v="1"/>
    <n v="1000"/>
    <b v="0"/>
    <s v="Cloudy"/>
    <s v="Morning"/>
    <s v="Under Construction"/>
    <s v="36-50"/>
    <n v="0"/>
    <s v="High"/>
    <s v="Suspended"/>
    <b v="0"/>
    <n v="70"/>
    <s v="Punjab"/>
    <n v="10"/>
    <n v="1"/>
    <n v="1495"/>
    <s v="Unpaid"/>
  </r>
  <r>
    <d v="2024-04-17T00:00:00"/>
    <x v="3"/>
    <s v="Auto-rickshaw"/>
    <x v="5"/>
    <n v="6476"/>
    <b v="1"/>
    <s v="Stormy"/>
    <s v="Evening"/>
    <s v="Under Construction"/>
    <s v="18-25"/>
    <n v="4"/>
    <s v="Medium"/>
    <s v="Valid"/>
    <b v="1"/>
    <n v="95"/>
    <s v="Haryana"/>
    <n v="1"/>
    <n v="2"/>
    <n v="2242"/>
    <s v="Disputed"/>
  </r>
  <r>
    <d v="2024-04-17T00:00:00"/>
    <x v="13"/>
    <s v="Car"/>
    <x v="5"/>
    <n v="7712"/>
    <b v="0"/>
    <s v="Clear"/>
    <s v="Night"/>
    <s v="Wet"/>
    <s v="36-50"/>
    <n v="3"/>
    <s v="High"/>
    <s v="Expired"/>
    <b v="0"/>
    <n v="110"/>
    <s v="Punjab"/>
    <n v="10"/>
    <n v="1"/>
    <n v="1048"/>
    <s v="Disputed"/>
  </r>
  <r>
    <d v="2024-04-18T00:00:00"/>
    <x v="2"/>
    <s v="Truck"/>
    <x v="2"/>
    <n v="1385"/>
    <b v="1"/>
    <s v="Foggy"/>
    <s v="Afternoon"/>
    <s v="Wet"/>
    <s v="18-25"/>
    <n v="5"/>
    <s v="Medium"/>
    <s v="Learner"/>
    <b v="0"/>
    <n v="11"/>
    <s v="Haryana"/>
    <n v="6"/>
    <n v="1"/>
    <n v="2577"/>
    <s v="Disputed"/>
  </r>
  <r>
    <d v="2024-04-18T00:00:00"/>
    <x v="1"/>
    <s v="Bus"/>
    <x v="2"/>
    <n v="4260"/>
    <b v="1"/>
    <s v="Cloudy"/>
    <s v="Morning"/>
    <s v="Dry"/>
    <s v="18-25"/>
    <n v="0"/>
    <s v="High"/>
    <s v="Suspended"/>
    <b v="1"/>
    <n v="105"/>
    <s v="Delhi"/>
    <n v="1"/>
    <n v="1"/>
    <n v="4455"/>
    <s v="Disputed"/>
  </r>
  <r>
    <d v="2024-04-20T00:00:00"/>
    <x v="3"/>
    <s v="Bus"/>
    <x v="1"/>
    <n v="1000"/>
    <b v="0"/>
    <s v="Cloudy"/>
    <s v="Morning"/>
    <s v="Dry"/>
    <s v="36-50"/>
    <n v="3"/>
    <s v="Medium"/>
    <s v="Learner"/>
    <b v="0"/>
    <n v="50"/>
    <s v="Rajasthan"/>
    <n v="1"/>
    <n v="1"/>
    <n v="4727"/>
    <s v="Disputed"/>
  </r>
  <r>
    <d v="2024-04-20T00:00:00"/>
    <x v="5"/>
    <s v="Truck"/>
    <x v="5"/>
    <n v="7565"/>
    <b v="1"/>
    <s v="Foggy"/>
    <s v="Morning"/>
    <s v="Slippery"/>
    <s v="50+"/>
    <n v="2"/>
    <s v="Low"/>
    <s v="Learner"/>
    <b v="1"/>
    <n v="63"/>
    <s v="Haryana"/>
    <n v="4"/>
    <n v="3"/>
    <n v="2251"/>
    <s v="Unpaid"/>
  </r>
  <r>
    <d v="2024-04-21T00:00:00"/>
    <x v="9"/>
    <s v="Bus"/>
    <x v="3"/>
    <n v="1763"/>
    <b v="0"/>
    <s v="Rainy"/>
    <s v="Night"/>
    <s v="Slippery"/>
    <s v="18-25"/>
    <n v="1"/>
    <s v="Low"/>
    <s v="Expired"/>
    <b v="0"/>
    <n v="64"/>
    <s v="Rajasthan"/>
    <n v="3"/>
    <n v="1"/>
    <n v="2871"/>
    <s v="Unpaid"/>
  </r>
  <r>
    <d v="2024-04-21T00:00:00"/>
    <x v="13"/>
    <s v="Auto-rickshaw"/>
    <x v="1"/>
    <n v="1000"/>
    <b v="0"/>
    <s v="Cloudy"/>
    <s v="Night"/>
    <s v="Slippery"/>
    <s v="50+"/>
    <n v="1"/>
    <s v="Medium"/>
    <s v="Valid"/>
    <b v="1"/>
    <n v="43"/>
    <s v="Delhi"/>
    <n v="6"/>
    <n v="1"/>
    <n v="3059"/>
    <s v="Disputed"/>
  </r>
  <r>
    <d v="2024-04-21T00:00:00"/>
    <x v="9"/>
    <s v="Auto-rickshaw"/>
    <x v="2"/>
    <n v="2953"/>
    <b v="1"/>
    <s v="Rainy"/>
    <s v="Night"/>
    <s v="Slippery"/>
    <s v="18-25"/>
    <n v="2"/>
    <s v="Low"/>
    <s v="Valid"/>
    <b v="1"/>
    <n v="67"/>
    <s v="Delhi"/>
    <n v="9"/>
    <n v="2"/>
    <n v="4842"/>
    <s v="Disputed"/>
  </r>
  <r>
    <d v="2024-04-22T00:00:00"/>
    <x v="6"/>
    <s v="Car"/>
    <x v="1"/>
    <n v="1000"/>
    <b v="1"/>
    <s v="Foggy"/>
    <s v="Night"/>
    <s v="Under Construction"/>
    <s v="26-35"/>
    <n v="4"/>
    <s v="Medium"/>
    <s v="Suspended"/>
    <b v="0"/>
    <n v="109"/>
    <s v="Punjab"/>
    <n v="7"/>
    <n v="3"/>
    <n v="1804"/>
    <s v="Unpaid"/>
  </r>
  <r>
    <d v="2024-04-22T00:00:00"/>
    <x v="8"/>
    <s v="Auto-rickshaw"/>
    <x v="2"/>
    <n v="1787"/>
    <b v="1"/>
    <s v="Foggy"/>
    <s v="Morning"/>
    <s v="Slippery"/>
    <s v="26-35"/>
    <n v="1"/>
    <s v="High"/>
    <s v="Learner"/>
    <b v="0"/>
    <n v="56"/>
    <s v="Punjab"/>
    <n v="6"/>
    <n v="2"/>
    <n v="915"/>
    <s v="Paid"/>
  </r>
  <r>
    <d v="2024-04-23T00:00:00"/>
    <x v="1"/>
    <s v="Truck"/>
    <x v="3"/>
    <n v="3804"/>
    <b v="0"/>
    <s v="Rainy"/>
    <s v="Afternoon"/>
    <s v="Dry"/>
    <s v="50+"/>
    <n v="0"/>
    <s v="Medium"/>
    <s v="Learner"/>
    <b v="1"/>
    <n v="118"/>
    <s v="Delhi"/>
    <n v="6"/>
    <n v="3"/>
    <n v="2326"/>
    <s v="Paid"/>
  </r>
  <r>
    <d v="2024-04-23T00:00:00"/>
    <x v="0"/>
    <s v="Bus"/>
    <x v="5"/>
    <n v="6672"/>
    <b v="1"/>
    <s v="Clear"/>
    <s v="Morning"/>
    <s v="Slippery"/>
    <s v="36-50"/>
    <n v="5"/>
    <s v="Medium"/>
    <s v="Learner"/>
    <b v="0"/>
    <n v="4"/>
    <s v="Rajasthan"/>
    <n v="4"/>
    <n v="2"/>
    <n v="1429"/>
    <s v="Paid"/>
  </r>
  <r>
    <d v="2024-04-23T00:00:00"/>
    <x v="13"/>
    <s v="Car"/>
    <x v="4"/>
    <n v="8427"/>
    <b v="0"/>
    <s v="Foggy"/>
    <s v="Night"/>
    <s v="Wet"/>
    <s v="50+"/>
    <n v="4"/>
    <s v="Medium"/>
    <s v="Learner"/>
    <b v="0"/>
    <n v="48"/>
    <s v="Rajasthan"/>
    <n v="4"/>
    <n v="2"/>
    <n v="2039"/>
    <s v="Unpaid"/>
  </r>
  <r>
    <d v="2024-04-23T00:00:00"/>
    <x v="6"/>
    <s v="Truck"/>
    <x v="4"/>
    <n v="8838"/>
    <b v="1"/>
    <s v="Clear"/>
    <s v="Night"/>
    <s v="Under Construction"/>
    <s v="36-50"/>
    <n v="3"/>
    <s v="High"/>
    <s v="Suspended"/>
    <b v="0"/>
    <n v="76"/>
    <s v="Haryana"/>
    <n v="10"/>
    <n v="2"/>
    <n v="1429"/>
    <s v="Disputed"/>
  </r>
  <r>
    <d v="2024-04-23T00:00:00"/>
    <x v="3"/>
    <s v="Auto-rickshaw"/>
    <x v="2"/>
    <n v="2857"/>
    <b v="0"/>
    <s v="Clear"/>
    <s v="Morning"/>
    <s v="Slippery"/>
    <s v="26-35"/>
    <n v="5"/>
    <s v="Low"/>
    <s v="Expired"/>
    <b v="1"/>
    <n v="54"/>
    <s v="Haryana"/>
    <n v="5"/>
    <n v="3"/>
    <n v="2542"/>
    <s v="Paid"/>
  </r>
  <r>
    <d v="2024-04-24T00:00:00"/>
    <x v="11"/>
    <s v="Truck"/>
    <x v="4"/>
    <n v="6212"/>
    <b v="0"/>
    <s v="Foggy"/>
    <s v="Night"/>
    <s v="Dry"/>
    <s v="50+"/>
    <n v="1"/>
    <s v="Low"/>
    <s v="Expired"/>
    <b v="0"/>
    <n v="34"/>
    <s v="Delhi"/>
    <n v="8"/>
    <n v="1"/>
    <n v="4111"/>
    <s v="Disputed"/>
  </r>
  <r>
    <d v="2024-04-24T00:00:00"/>
    <x v="13"/>
    <s v="Bike"/>
    <x v="3"/>
    <n v="1543"/>
    <b v="0"/>
    <s v="Stormy"/>
    <s v="Afternoon"/>
    <s v="Dry"/>
    <s v="50+"/>
    <n v="2"/>
    <s v="Low"/>
    <s v="Suspended"/>
    <b v="0"/>
    <n v="45"/>
    <s v="Punjab"/>
    <n v="4"/>
    <n v="1"/>
    <n v="1715"/>
    <s v="Disputed"/>
  </r>
  <r>
    <d v="2024-04-24T00:00:00"/>
    <x v="6"/>
    <s v="Truck"/>
    <x v="5"/>
    <n v="7005"/>
    <b v="1"/>
    <s v="Foggy"/>
    <s v="Night"/>
    <s v="Under Construction"/>
    <s v="50+"/>
    <n v="2"/>
    <s v="Low"/>
    <s v="Suspended"/>
    <b v="0"/>
    <n v="98"/>
    <s v="Punjab"/>
    <n v="1"/>
    <n v="3"/>
    <n v="2838"/>
    <s v="Paid"/>
  </r>
  <r>
    <d v="2024-04-26T00:00:00"/>
    <x v="6"/>
    <s v="Auto-rickshaw"/>
    <x v="1"/>
    <n v="1000"/>
    <b v="0"/>
    <s v="Stormy"/>
    <s v="Morning"/>
    <s v="Slippery"/>
    <s v="50+"/>
    <n v="2"/>
    <s v="Low"/>
    <s v="Expired"/>
    <b v="1"/>
    <n v="75"/>
    <s v="Uttar Pradesh"/>
    <n v="1"/>
    <n v="1"/>
    <n v="1786"/>
    <s v="Paid"/>
  </r>
  <r>
    <d v="2024-04-26T00:00:00"/>
    <x v="1"/>
    <s v="Car"/>
    <x v="5"/>
    <n v="5418"/>
    <b v="1"/>
    <s v="Clear"/>
    <s v="Morning"/>
    <s v="Under Construction"/>
    <s v="36-50"/>
    <n v="0"/>
    <s v="High"/>
    <s v="Learner"/>
    <b v="0"/>
    <n v="60"/>
    <s v="Haryana"/>
    <n v="10"/>
    <n v="1"/>
    <n v="3262"/>
    <s v="Paid"/>
  </r>
  <r>
    <d v="2024-04-27T00:00:00"/>
    <x v="2"/>
    <s v="Bus"/>
    <x v="1"/>
    <n v="1000"/>
    <b v="0"/>
    <s v="Stormy"/>
    <s v="Evening"/>
    <s v="Wet"/>
    <s v="26-35"/>
    <n v="3"/>
    <s v="High"/>
    <s v="Learner"/>
    <b v="1"/>
    <n v="0"/>
    <s v="Haryana"/>
    <n v="6"/>
    <n v="1"/>
    <n v="4687"/>
    <s v="Unpaid"/>
  </r>
  <r>
    <d v="2024-04-27T00:00:00"/>
    <x v="14"/>
    <s v="Bike"/>
    <x v="5"/>
    <n v="2950"/>
    <b v="0"/>
    <s v="Cloudy"/>
    <s v="Morning"/>
    <s v="Wet"/>
    <s v="26-35"/>
    <n v="0"/>
    <s v="High"/>
    <s v="Expired"/>
    <b v="1"/>
    <n v="101"/>
    <s v="Haryana"/>
    <n v="4"/>
    <n v="2"/>
    <n v="1288"/>
    <s v="Unpaid"/>
  </r>
  <r>
    <d v="2024-04-28T00:00:00"/>
    <x v="13"/>
    <s v="Auto-rickshaw"/>
    <x v="2"/>
    <n v="3053"/>
    <b v="0"/>
    <s v="Clear"/>
    <s v="Night"/>
    <s v="Under Construction"/>
    <s v="26-35"/>
    <n v="3"/>
    <s v="Low"/>
    <s v="Expired"/>
    <b v="0"/>
    <n v="109"/>
    <s v="Haryana"/>
    <n v="7"/>
    <n v="3"/>
    <n v="2044"/>
    <s v="Unpaid"/>
  </r>
  <r>
    <d v="2024-04-28T00:00:00"/>
    <x v="13"/>
    <s v="Bike"/>
    <x v="2"/>
    <n v="4480"/>
    <b v="0"/>
    <s v="Stormy"/>
    <s v="Night"/>
    <s v="Slippery"/>
    <s v="36-50"/>
    <n v="4"/>
    <s v="Low"/>
    <s v="Valid"/>
    <b v="0"/>
    <n v="20"/>
    <s v="Uttar Pradesh"/>
    <n v="7"/>
    <n v="1"/>
    <n v="2960"/>
    <s v="Paid"/>
  </r>
  <r>
    <d v="2024-04-28T00:00:00"/>
    <x v="10"/>
    <s v="Car"/>
    <x v="3"/>
    <n v="2503"/>
    <b v="1"/>
    <s v="Clear"/>
    <s v="Night"/>
    <s v="Under Construction"/>
    <s v="18-25"/>
    <n v="3"/>
    <s v="Low"/>
    <s v="Learner"/>
    <b v="1"/>
    <n v="40"/>
    <s v="Punjab"/>
    <n v="1"/>
    <n v="1"/>
    <n v="3223"/>
    <s v="Disputed"/>
  </r>
  <r>
    <d v="2024-04-28T00:00:00"/>
    <x v="12"/>
    <s v="Bus"/>
    <x v="4"/>
    <n v="6798"/>
    <b v="0"/>
    <s v="Foggy"/>
    <s v="Evening"/>
    <s v="Wet"/>
    <s v="26-35"/>
    <n v="10"/>
    <s v="Medium"/>
    <s v="Valid"/>
    <b v="0"/>
    <n v="60"/>
    <s v="Punjab"/>
    <n v="10"/>
    <n v="2"/>
    <n v="4098"/>
    <s v="Paid"/>
  </r>
  <r>
    <d v="2024-05-01T00:00:00"/>
    <x v="10"/>
    <s v="Bus"/>
    <x v="5"/>
    <n v="5402"/>
    <b v="1"/>
    <s v="Foggy"/>
    <s v="Morning"/>
    <s v="Dry"/>
    <s v="50+"/>
    <n v="3"/>
    <s v="High"/>
    <s v="Suspended"/>
    <b v="1"/>
    <n v="119"/>
    <s v="Punjab"/>
    <n v="1"/>
    <n v="2"/>
    <n v="2384"/>
    <s v="Paid"/>
  </r>
  <r>
    <d v="2024-05-01T00:00:00"/>
    <x v="0"/>
    <s v="Auto-rickshaw"/>
    <x v="4"/>
    <n v="7385"/>
    <b v="1"/>
    <s v="Rainy"/>
    <s v="Night"/>
    <s v="Slippery"/>
    <s v="50+"/>
    <n v="0"/>
    <s v="High"/>
    <s v="Valid"/>
    <b v="0"/>
    <n v="51"/>
    <s v="Rajasthan"/>
    <n v="4"/>
    <n v="2"/>
    <n v="2202"/>
    <s v="Paid"/>
  </r>
  <r>
    <d v="2024-05-01T00:00:00"/>
    <x v="1"/>
    <s v="Bike"/>
    <x v="0"/>
    <n v="1000"/>
    <b v="0"/>
    <s v="Cloudy"/>
    <s v="Evening"/>
    <s v="Dry"/>
    <s v="18-25"/>
    <n v="0"/>
    <s v="Low"/>
    <s v="Learner"/>
    <b v="1"/>
    <n v="47"/>
    <s v="Delhi"/>
    <n v="9"/>
    <n v="3"/>
    <n v="596"/>
    <s v="Paid"/>
  </r>
  <r>
    <d v="2024-05-02T00:00:00"/>
    <x v="7"/>
    <s v="Truck"/>
    <x v="4"/>
    <n v="6168"/>
    <b v="0"/>
    <s v="Foggy"/>
    <s v="Evening"/>
    <s v="Slippery"/>
    <s v="36-50"/>
    <n v="3"/>
    <s v="Low"/>
    <s v="Valid"/>
    <b v="1"/>
    <n v="92"/>
    <s v="Rajasthan"/>
    <n v="1"/>
    <n v="2"/>
    <n v="4747"/>
    <s v="Unpaid"/>
  </r>
  <r>
    <d v="2024-05-02T00:00:00"/>
    <x v="11"/>
    <s v="Bike"/>
    <x v="2"/>
    <n v="2272"/>
    <b v="0"/>
    <s v="Cloudy"/>
    <s v="Evening"/>
    <s v="Wet"/>
    <s v="50+"/>
    <n v="0"/>
    <s v="High"/>
    <s v="Learner"/>
    <b v="1"/>
    <n v="112"/>
    <s v="Uttar Pradesh"/>
    <n v="4"/>
    <n v="1"/>
    <n v="548"/>
    <s v="Paid"/>
  </r>
  <r>
    <d v="2024-05-02T00:00:00"/>
    <x v="2"/>
    <s v="Truck"/>
    <x v="1"/>
    <n v="1000"/>
    <b v="0"/>
    <s v="Rainy"/>
    <s v="Night"/>
    <s v="Wet"/>
    <s v="18-25"/>
    <n v="0"/>
    <s v="Medium"/>
    <s v="Expired"/>
    <b v="1"/>
    <n v="101"/>
    <s v="Rajasthan"/>
    <n v="9"/>
    <n v="1"/>
    <n v="3048"/>
    <s v="Unpaid"/>
  </r>
  <r>
    <d v="2024-05-02T00:00:00"/>
    <x v="5"/>
    <s v="Car"/>
    <x v="5"/>
    <n v="4870"/>
    <b v="1"/>
    <s v="Rainy"/>
    <s v="Night"/>
    <s v="Under Construction"/>
    <s v="26-35"/>
    <n v="1"/>
    <s v="Medium"/>
    <s v="Learner"/>
    <b v="0"/>
    <n v="65"/>
    <s v="Delhi"/>
    <n v="9"/>
    <n v="3"/>
    <n v="2826"/>
    <s v="Disputed"/>
  </r>
  <r>
    <d v="2024-05-03T00:00:00"/>
    <x v="5"/>
    <s v="Auto-rickshaw"/>
    <x v="3"/>
    <n v="2256"/>
    <b v="0"/>
    <s v="Rainy"/>
    <s v="Evening"/>
    <s v="Under Construction"/>
    <s v="36-50"/>
    <n v="4"/>
    <s v="Medium"/>
    <s v="Learner"/>
    <b v="0"/>
    <n v="56"/>
    <s v="Punjab"/>
    <n v="6"/>
    <n v="1"/>
    <n v="1281"/>
    <s v="Paid"/>
  </r>
  <r>
    <d v="2024-05-03T00:00:00"/>
    <x v="6"/>
    <s v="Truck"/>
    <x v="4"/>
    <n v="8621"/>
    <b v="0"/>
    <s v="Rainy"/>
    <s v="Night"/>
    <s v="Slippery"/>
    <s v="26-35"/>
    <n v="3"/>
    <s v="High"/>
    <s v="Suspended"/>
    <b v="0"/>
    <n v="42"/>
    <s v="Rajasthan"/>
    <n v="6"/>
    <n v="1"/>
    <n v="3300"/>
    <s v="Paid"/>
  </r>
  <r>
    <d v="2024-05-03T00:00:00"/>
    <x v="6"/>
    <s v="Car"/>
    <x v="2"/>
    <n v="3167"/>
    <b v="1"/>
    <s v="Stormy"/>
    <s v="Afternoon"/>
    <s v="Dry"/>
    <s v="36-50"/>
    <n v="1"/>
    <s v="Low"/>
    <s v="Expired"/>
    <b v="1"/>
    <n v="22"/>
    <s v="Punjab"/>
    <n v="5"/>
    <n v="1"/>
    <n v="4700"/>
    <s v="Unpaid"/>
  </r>
  <r>
    <d v="2024-05-03T00:00:00"/>
    <x v="2"/>
    <s v="Auto-rickshaw"/>
    <x v="5"/>
    <n v="7813"/>
    <b v="0"/>
    <s v="Cloudy"/>
    <s v="Night"/>
    <s v="Dry"/>
    <s v="26-35"/>
    <n v="0"/>
    <s v="Low"/>
    <s v="Valid"/>
    <b v="0"/>
    <n v="87"/>
    <s v="Punjab"/>
    <n v="10"/>
    <n v="1"/>
    <n v="2793"/>
    <s v="Unpaid"/>
  </r>
  <r>
    <d v="2024-05-04T00:00:00"/>
    <x v="2"/>
    <s v="Bus"/>
    <x v="2"/>
    <n v="1926"/>
    <b v="1"/>
    <s v="Rainy"/>
    <s v="Morning"/>
    <s v="Under Construction"/>
    <s v="26-35"/>
    <n v="2"/>
    <s v="Medium"/>
    <s v="Valid"/>
    <b v="1"/>
    <n v="89"/>
    <s v="Uttar Pradesh"/>
    <n v="3"/>
    <n v="1"/>
    <n v="3532"/>
    <s v="Unpaid"/>
  </r>
  <r>
    <d v="2024-05-04T00:00:00"/>
    <x v="5"/>
    <s v="Car"/>
    <x v="3"/>
    <n v="1518"/>
    <b v="0"/>
    <s v="Cloudy"/>
    <s v="Afternoon"/>
    <s v="Wet"/>
    <s v="26-35"/>
    <n v="4"/>
    <s v="Medium"/>
    <s v="Expired"/>
    <b v="0"/>
    <n v="69"/>
    <s v="Haryana"/>
    <n v="1"/>
    <n v="3"/>
    <n v="2457"/>
    <s v="Paid"/>
  </r>
  <r>
    <d v="2024-05-04T00:00:00"/>
    <x v="5"/>
    <s v="Truck"/>
    <x v="1"/>
    <n v="1000"/>
    <b v="0"/>
    <s v="Foggy"/>
    <s v="Afternoon"/>
    <s v="Wet"/>
    <s v="18-25"/>
    <n v="3"/>
    <s v="Medium"/>
    <s v="Learner"/>
    <b v="1"/>
    <n v="58"/>
    <s v="Delhi"/>
    <n v="6"/>
    <n v="1"/>
    <n v="4164"/>
    <s v="Disputed"/>
  </r>
  <r>
    <d v="2024-05-05T00:00:00"/>
    <x v="1"/>
    <s v="Truck"/>
    <x v="2"/>
    <n v="4243"/>
    <b v="0"/>
    <s v="Cloudy"/>
    <s v="Morning"/>
    <s v="Slippery"/>
    <s v="18-25"/>
    <n v="5"/>
    <s v="High"/>
    <s v="Valid"/>
    <b v="0"/>
    <n v="24"/>
    <s v="Punjab"/>
    <n v="1"/>
    <n v="1"/>
    <n v="1004"/>
    <s v="Disputed"/>
  </r>
  <r>
    <d v="2024-05-05T00:00:00"/>
    <x v="7"/>
    <s v="Car"/>
    <x v="1"/>
    <n v="1000"/>
    <b v="1"/>
    <s v="Foggy"/>
    <s v="Morning"/>
    <s v="Wet"/>
    <s v="18-25"/>
    <n v="5"/>
    <s v="High"/>
    <s v="Suspended"/>
    <b v="1"/>
    <n v="15"/>
    <s v="Punjab"/>
    <n v="5"/>
    <n v="1"/>
    <n v="4223"/>
    <s v="Unpaid"/>
  </r>
  <r>
    <d v="2024-05-05T00:00:00"/>
    <x v="4"/>
    <s v="Bike"/>
    <x v="2"/>
    <n v="1083"/>
    <b v="1"/>
    <s v="Stormy"/>
    <s v="Afternoon"/>
    <s v="Under Construction"/>
    <s v="36-50"/>
    <n v="3"/>
    <s v="Low"/>
    <s v="Valid"/>
    <b v="0"/>
    <n v="101"/>
    <s v="Delhi"/>
    <n v="3"/>
    <n v="3"/>
    <n v="2523"/>
    <s v="Unpaid"/>
  </r>
  <r>
    <d v="2024-05-06T00:00:00"/>
    <x v="5"/>
    <s v="Auto-rickshaw"/>
    <x v="4"/>
    <n v="6867"/>
    <b v="1"/>
    <s v="Foggy"/>
    <s v="Morning"/>
    <s v="Wet"/>
    <s v="26-35"/>
    <n v="2"/>
    <s v="Low"/>
    <s v="Valid"/>
    <b v="1"/>
    <n v="20"/>
    <s v="Delhi"/>
    <n v="3"/>
    <n v="3"/>
    <n v="3766"/>
    <s v="Unpaid"/>
  </r>
  <r>
    <d v="2024-05-06T00:00:00"/>
    <x v="3"/>
    <s v="Bus"/>
    <x v="4"/>
    <n v="7670"/>
    <b v="0"/>
    <s v="Cloudy"/>
    <s v="Morning"/>
    <s v="Wet"/>
    <s v="36-50"/>
    <n v="3"/>
    <s v="High"/>
    <s v="Expired"/>
    <b v="0"/>
    <n v="50"/>
    <s v="Rajasthan"/>
    <n v="3"/>
    <n v="1"/>
    <n v="4324"/>
    <s v="Unpaid"/>
  </r>
  <r>
    <d v="2024-05-06T00:00:00"/>
    <x v="1"/>
    <s v="Truck"/>
    <x v="5"/>
    <n v="4876"/>
    <b v="0"/>
    <s v="Rainy"/>
    <s v="Afternoon"/>
    <s v="Wet"/>
    <s v="36-50"/>
    <n v="4"/>
    <s v="High"/>
    <s v="Valid"/>
    <b v="0"/>
    <n v="118"/>
    <s v="Uttar Pradesh"/>
    <n v="4"/>
    <n v="3"/>
    <n v="2372"/>
    <s v="Disputed"/>
  </r>
  <r>
    <d v="2024-05-07T00:00:00"/>
    <x v="11"/>
    <s v="Truck"/>
    <x v="4"/>
    <n v="6500"/>
    <b v="0"/>
    <s v="Foggy"/>
    <s v="Evening"/>
    <s v="Slippery"/>
    <s v="18-25"/>
    <n v="1"/>
    <s v="Medium"/>
    <s v="Valid"/>
    <b v="1"/>
    <n v="6"/>
    <s v="Punjab"/>
    <n v="1"/>
    <n v="3"/>
    <n v="2125"/>
    <s v="Disputed"/>
  </r>
  <r>
    <d v="2024-05-07T00:00:00"/>
    <x v="12"/>
    <s v="Bike"/>
    <x v="5"/>
    <n v="4235"/>
    <b v="1"/>
    <s v="Clear"/>
    <s v="Afternoon"/>
    <s v="Wet"/>
    <s v="50+"/>
    <n v="3"/>
    <s v="Low"/>
    <s v="Valid"/>
    <b v="1"/>
    <n v="47"/>
    <s v="Rajasthan"/>
    <n v="7"/>
    <n v="3"/>
    <n v="654"/>
    <s v="Disputed"/>
  </r>
  <r>
    <d v="2024-05-07T00:00:00"/>
    <x v="12"/>
    <s v="Auto-rickshaw"/>
    <x v="2"/>
    <n v="2257"/>
    <b v="1"/>
    <s v="Stormy"/>
    <s v="Afternoon"/>
    <s v="Dry"/>
    <s v="36-50"/>
    <n v="2"/>
    <s v="Medium"/>
    <s v="Suspended"/>
    <b v="1"/>
    <n v="29"/>
    <s v="Delhi"/>
    <n v="5"/>
    <n v="1"/>
    <n v="2539"/>
    <s v="Paid"/>
  </r>
  <r>
    <d v="2024-05-08T00:00:00"/>
    <x v="9"/>
    <s v="Car"/>
    <x v="5"/>
    <n v="3225"/>
    <b v="1"/>
    <s v="Rainy"/>
    <s v="Night"/>
    <s v="Under Construction"/>
    <s v="50+"/>
    <n v="5"/>
    <s v="Medium"/>
    <s v="Suspended"/>
    <b v="0"/>
    <n v="66"/>
    <s v="Haryana"/>
    <n v="1"/>
    <n v="1"/>
    <n v="1217"/>
    <s v="Unpaid"/>
  </r>
  <r>
    <d v="2024-05-08T00:00:00"/>
    <x v="3"/>
    <s v="Auto-rickshaw"/>
    <x v="1"/>
    <n v="1000"/>
    <b v="0"/>
    <s v="Stormy"/>
    <s v="Evening"/>
    <s v="Wet"/>
    <s v="50+"/>
    <n v="3"/>
    <s v="Low"/>
    <s v="Valid"/>
    <b v="0"/>
    <n v="103"/>
    <s v="Rajasthan"/>
    <n v="10"/>
    <n v="1"/>
    <n v="4307"/>
    <s v="Disputed"/>
  </r>
  <r>
    <d v="2024-05-08T00:00:00"/>
    <x v="10"/>
    <s v="Truck"/>
    <x v="1"/>
    <n v="1000"/>
    <b v="1"/>
    <s v="Clear"/>
    <s v="Evening"/>
    <s v="Dry"/>
    <s v="36-50"/>
    <n v="2"/>
    <s v="Medium"/>
    <s v="Valid"/>
    <b v="0"/>
    <n v="65"/>
    <s v="Uttar Pradesh"/>
    <n v="9"/>
    <n v="1"/>
    <n v="4677"/>
    <s v="Unpaid"/>
  </r>
  <r>
    <d v="2024-05-08T00:00:00"/>
    <x v="1"/>
    <s v="Bike"/>
    <x v="0"/>
    <n v="1000"/>
    <b v="1"/>
    <s v="Foggy"/>
    <s v="Evening"/>
    <s v="Under Construction"/>
    <s v="26-35"/>
    <n v="2"/>
    <s v="Low"/>
    <s v="Valid"/>
    <b v="1"/>
    <n v="101"/>
    <s v="Punjab"/>
    <n v="7"/>
    <n v="1"/>
    <n v="816"/>
    <s v="Unpaid"/>
  </r>
  <r>
    <d v="2024-05-08T00:00:00"/>
    <x v="14"/>
    <s v="Car"/>
    <x v="5"/>
    <n v="4100"/>
    <b v="0"/>
    <s v="Cloudy"/>
    <s v="Night"/>
    <s v="Dry"/>
    <s v="36-50"/>
    <n v="3"/>
    <s v="Low"/>
    <s v="Valid"/>
    <b v="1"/>
    <n v="11"/>
    <s v="Punjab"/>
    <n v="2"/>
    <n v="1"/>
    <n v="1952"/>
    <s v="Paid"/>
  </r>
  <r>
    <d v="2024-05-09T00:00:00"/>
    <x v="9"/>
    <s v="Truck"/>
    <x v="5"/>
    <n v="3524"/>
    <b v="1"/>
    <s v="Clear"/>
    <s v="Afternoon"/>
    <s v="Dry"/>
    <s v="36-50"/>
    <n v="1"/>
    <s v="High"/>
    <s v="Suspended"/>
    <b v="0"/>
    <n v="4"/>
    <s v="Punjab"/>
    <n v="9"/>
    <n v="2"/>
    <n v="1950"/>
    <s v="Unpaid"/>
  </r>
  <r>
    <d v="2024-05-09T00:00:00"/>
    <x v="13"/>
    <s v="Auto-rickshaw"/>
    <x v="2"/>
    <n v="1822"/>
    <b v="0"/>
    <s v="Clear"/>
    <s v="Night"/>
    <s v="Under Construction"/>
    <s v="50+"/>
    <n v="2"/>
    <s v="High"/>
    <s v="Expired"/>
    <b v="1"/>
    <n v="95"/>
    <s v="Delhi"/>
    <n v="6"/>
    <n v="1"/>
    <n v="1871"/>
    <s v="Disputed"/>
  </r>
  <r>
    <d v="2024-05-10T00:00:00"/>
    <x v="2"/>
    <s v="Bus"/>
    <x v="4"/>
    <n v="7512"/>
    <b v="0"/>
    <s v="Cloudy"/>
    <s v="Morning"/>
    <s v="Slippery"/>
    <s v="18-25"/>
    <n v="1"/>
    <s v="Medium"/>
    <s v="Suspended"/>
    <b v="1"/>
    <n v="84"/>
    <s v="Haryana"/>
    <n v="2"/>
    <n v="1"/>
    <n v="1102"/>
    <s v="Disputed"/>
  </r>
  <r>
    <d v="2024-05-10T00:00:00"/>
    <x v="2"/>
    <s v="Car"/>
    <x v="5"/>
    <n v="5718"/>
    <b v="0"/>
    <s v="Clear"/>
    <s v="Morning"/>
    <s v="Dry"/>
    <s v="26-35"/>
    <n v="4"/>
    <s v="Medium"/>
    <s v="Valid"/>
    <b v="1"/>
    <n v="106"/>
    <s v="Delhi"/>
    <n v="8"/>
    <n v="3"/>
    <n v="927"/>
    <s v="Unpaid"/>
  </r>
  <r>
    <d v="2024-05-10T00:00:00"/>
    <x v="8"/>
    <s v="Car"/>
    <x v="1"/>
    <n v="1000"/>
    <b v="1"/>
    <s v="Cloudy"/>
    <s v="Afternoon"/>
    <s v="Slippery"/>
    <s v="18-25"/>
    <n v="4"/>
    <s v="Medium"/>
    <s v="Suspended"/>
    <b v="0"/>
    <n v="84"/>
    <s v="Uttar Pradesh"/>
    <n v="5"/>
    <n v="2"/>
    <n v="1035"/>
    <s v="Unpaid"/>
  </r>
  <r>
    <d v="2024-05-11T00:00:00"/>
    <x v="7"/>
    <s v="Bike"/>
    <x v="0"/>
    <n v="1000"/>
    <b v="0"/>
    <s v="Stormy"/>
    <s v="Afternoon"/>
    <s v="Slippery"/>
    <s v="26-35"/>
    <n v="0"/>
    <s v="Low"/>
    <s v="Valid"/>
    <b v="0"/>
    <n v="89"/>
    <s v="Delhi"/>
    <n v="9"/>
    <n v="3"/>
    <n v="525"/>
    <s v="Disputed"/>
  </r>
  <r>
    <d v="2024-05-12T00:00:00"/>
    <x v="6"/>
    <s v="Truck"/>
    <x v="2"/>
    <n v="3247"/>
    <b v="0"/>
    <s v="Stormy"/>
    <s v="Night"/>
    <s v="Slippery"/>
    <s v="26-35"/>
    <n v="0"/>
    <s v="Low"/>
    <s v="Suspended"/>
    <b v="1"/>
    <n v="10"/>
    <s v="Delhi"/>
    <n v="1"/>
    <n v="3"/>
    <n v="4182"/>
    <s v="Unpaid"/>
  </r>
  <r>
    <d v="2024-05-12T00:00:00"/>
    <x v="9"/>
    <s v="Truck"/>
    <x v="5"/>
    <n v="7312"/>
    <b v="1"/>
    <s v="Rainy"/>
    <s v="Night"/>
    <s v="Under Construction"/>
    <s v="36-50"/>
    <n v="0"/>
    <s v="High"/>
    <s v="Expired"/>
    <b v="0"/>
    <n v="109"/>
    <s v="Uttar Pradesh"/>
    <n v="2"/>
    <n v="1"/>
    <n v="4252"/>
    <s v="Unpaid"/>
  </r>
  <r>
    <d v="2024-05-12T00:00:00"/>
    <x v="14"/>
    <s v="Bike"/>
    <x v="3"/>
    <n v="2980"/>
    <b v="0"/>
    <s v="Clear"/>
    <s v="Evening"/>
    <s v="Under Construction"/>
    <s v="50+"/>
    <n v="1"/>
    <s v="High"/>
    <s v="Expired"/>
    <b v="1"/>
    <n v="44"/>
    <s v="Delhi"/>
    <n v="4"/>
    <n v="1"/>
    <n v="4892"/>
    <s v="Unpaid"/>
  </r>
  <r>
    <d v="2024-05-14T00:00:00"/>
    <x v="9"/>
    <s v="Truck"/>
    <x v="5"/>
    <n v="5629"/>
    <b v="0"/>
    <s v="Rainy"/>
    <s v="Evening"/>
    <s v="Wet"/>
    <s v="26-35"/>
    <n v="1"/>
    <s v="High"/>
    <s v="Expired"/>
    <b v="0"/>
    <n v="44"/>
    <s v="Uttar Pradesh"/>
    <n v="1"/>
    <n v="2"/>
    <n v="3297"/>
    <s v="Unpaid"/>
  </r>
  <r>
    <d v="2024-05-15T00:00:00"/>
    <x v="6"/>
    <s v="Bus"/>
    <x v="3"/>
    <n v="4402"/>
    <b v="0"/>
    <s v="Foggy"/>
    <s v="Afternoon"/>
    <s v="Dry"/>
    <s v="18-25"/>
    <n v="1"/>
    <s v="High"/>
    <s v="Expired"/>
    <b v="1"/>
    <n v="59"/>
    <s v="Haryana"/>
    <n v="4"/>
    <n v="1"/>
    <n v="1739"/>
    <s v="Paid"/>
  </r>
  <r>
    <d v="2024-05-16T00:00:00"/>
    <x v="1"/>
    <s v="Car"/>
    <x v="3"/>
    <n v="2945"/>
    <b v="0"/>
    <s v="Rainy"/>
    <s v="Night"/>
    <s v="Slippery"/>
    <s v="50+"/>
    <n v="0"/>
    <s v="Medium"/>
    <s v="Learner"/>
    <b v="1"/>
    <n v="55"/>
    <s v="Haryana"/>
    <n v="10"/>
    <n v="2"/>
    <n v="1377"/>
    <s v="Unpaid"/>
  </r>
  <r>
    <d v="2024-05-17T00:00:00"/>
    <x v="11"/>
    <s v="Bus"/>
    <x v="5"/>
    <n v="6103"/>
    <b v="1"/>
    <s v="Foggy"/>
    <s v="Night"/>
    <s v="Dry"/>
    <s v="50+"/>
    <n v="3"/>
    <s v="High"/>
    <s v="Learner"/>
    <b v="1"/>
    <n v="99"/>
    <s v="Rajasthan"/>
    <n v="6"/>
    <n v="2"/>
    <n v="1226"/>
    <s v="Paid"/>
  </r>
  <r>
    <d v="2024-05-17T00:00:00"/>
    <x v="11"/>
    <s v="Truck"/>
    <x v="5"/>
    <n v="4463"/>
    <b v="0"/>
    <s v="Clear"/>
    <s v="Afternoon"/>
    <s v="Dry"/>
    <s v="36-50"/>
    <n v="1"/>
    <s v="Low"/>
    <s v="Expired"/>
    <b v="0"/>
    <n v="120"/>
    <s v="Uttar Pradesh"/>
    <n v="6"/>
    <n v="3"/>
    <n v="4228"/>
    <s v="Disputed"/>
  </r>
  <r>
    <d v="2024-05-17T00:00:00"/>
    <x v="8"/>
    <s v="Bus"/>
    <x v="5"/>
    <n v="3827"/>
    <b v="0"/>
    <s v="Foggy"/>
    <s v="Evening"/>
    <s v="Dry"/>
    <s v="50+"/>
    <n v="3"/>
    <s v="High"/>
    <s v="Expired"/>
    <b v="1"/>
    <n v="104"/>
    <s v="Punjab"/>
    <n v="3"/>
    <n v="3"/>
    <n v="4904"/>
    <s v="Paid"/>
  </r>
  <r>
    <d v="2024-05-17T00:00:00"/>
    <x v="6"/>
    <s v="Auto-rickshaw"/>
    <x v="3"/>
    <n v="3475"/>
    <b v="0"/>
    <s v="Stormy"/>
    <s v="Night"/>
    <s v="Under Construction"/>
    <s v="50+"/>
    <n v="5"/>
    <s v="High"/>
    <s v="Valid"/>
    <b v="0"/>
    <n v="93"/>
    <s v="Delhi"/>
    <n v="9"/>
    <n v="3"/>
    <n v="2655"/>
    <s v="Disputed"/>
  </r>
  <r>
    <d v="2024-05-17T00:00:00"/>
    <x v="13"/>
    <s v="Car"/>
    <x v="5"/>
    <n v="4176"/>
    <b v="1"/>
    <s v="Cloudy"/>
    <s v="Afternoon"/>
    <s v="Dry"/>
    <s v="26-35"/>
    <n v="2"/>
    <s v="Low"/>
    <s v="Valid"/>
    <b v="1"/>
    <n v="65"/>
    <s v="Uttar Pradesh"/>
    <n v="6"/>
    <n v="1"/>
    <n v="4274"/>
    <s v="Unpaid"/>
  </r>
  <r>
    <d v="2024-05-18T00:00:00"/>
    <x v="8"/>
    <s v="Bike"/>
    <x v="2"/>
    <n v="2812"/>
    <b v="1"/>
    <s v="Rainy"/>
    <s v="Evening"/>
    <s v="Slippery"/>
    <s v="18-25"/>
    <n v="1"/>
    <s v="High"/>
    <s v="Valid"/>
    <b v="1"/>
    <n v="64"/>
    <s v="Rajasthan"/>
    <n v="7"/>
    <n v="1"/>
    <n v="975"/>
    <s v="Paid"/>
  </r>
  <r>
    <d v="2024-05-18T00:00:00"/>
    <x v="0"/>
    <s v="Car"/>
    <x v="3"/>
    <n v="2697"/>
    <b v="0"/>
    <s v="Stormy"/>
    <s v="Afternoon"/>
    <s v="Under Construction"/>
    <s v="36-50"/>
    <n v="4"/>
    <s v="High"/>
    <s v="Suspended"/>
    <b v="1"/>
    <n v="112"/>
    <s v="Punjab"/>
    <n v="5"/>
    <n v="3"/>
    <n v="3863"/>
    <s v="Disputed"/>
  </r>
  <r>
    <d v="2024-05-18T00:00:00"/>
    <x v="12"/>
    <s v="Bus"/>
    <x v="4"/>
    <n v="5072"/>
    <b v="0"/>
    <s v="Clear"/>
    <s v="Night"/>
    <s v="Slippery"/>
    <s v="26-35"/>
    <n v="2"/>
    <s v="Medium"/>
    <s v="Expired"/>
    <b v="1"/>
    <n v="57"/>
    <s v="Haryana"/>
    <n v="5"/>
    <n v="1"/>
    <n v="4010"/>
    <s v="Unpaid"/>
  </r>
  <r>
    <d v="2024-05-18T00:00:00"/>
    <x v="4"/>
    <s v="Auto-rickshaw"/>
    <x v="3"/>
    <n v="4626"/>
    <b v="0"/>
    <s v="Foggy"/>
    <s v="Evening"/>
    <s v="Slippery"/>
    <s v="50+"/>
    <n v="5"/>
    <s v="Low"/>
    <s v="Expired"/>
    <b v="0"/>
    <n v="27"/>
    <s v="Punjab"/>
    <n v="3"/>
    <n v="2"/>
    <n v="1801"/>
    <s v="Disputed"/>
  </r>
  <r>
    <d v="2024-05-18T00:00:00"/>
    <x v="10"/>
    <s v="Car"/>
    <x v="3"/>
    <n v="3256"/>
    <b v="0"/>
    <s v="Rainy"/>
    <s v="Evening"/>
    <s v="Dry"/>
    <s v="36-50"/>
    <n v="2"/>
    <s v="Low"/>
    <s v="Suspended"/>
    <b v="1"/>
    <n v="11"/>
    <s v="Haryana"/>
    <n v="6"/>
    <n v="1"/>
    <n v="1606"/>
    <s v="Paid"/>
  </r>
  <r>
    <d v="2024-05-20T00:00:00"/>
    <x v="10"/>
    <s v="Car"/>
    <x v="5"/>
    <n v="7974"/>
    <b v="1"/>
    <s v="Foggy"/>
    <s v="Morning"/>
    <s v="Slippery"/>
    <s v="26-35"/>
    <n v="2"/>
    <s v="High"/>
    <s v="Valid"/>
    <b v="1"/>
    <n v="25"/>
    <s v="Punjab"/>
    <n v="2"/>
    <n v="3"/>
    <n v="4313"/>
    <s v="Disputed"/>
  </r>
  <r>
    <d v="2024-05-20T00:00:00"/>
    <x v="3"/>
    <s v="Bike"/>
    <x v="5"/>
    <n v="7655"/>
    <b v="0"/>
    <s v="Foggy"/>
    <s v="Morning"/>
    <s v="Under Construction"/>
    <s v="18-25"/>
    <n v="1"/>
    <s v="Low"/>
    <s v="Learner"/>
    <b v="0"/>
    <n v="61"/>
    <s v="Delhi"/>
    <n v="1"/>
    <n v="1"/>
    <n v="1855"/>
    <s v="Unpaid"/>
  </r>
  <r>
    <d v="2024-05-20T00:00:00"/>
    <x v="4"/>
    <s v="Bus"/>
    <x v="1"/>
    <n v="1000"/>
    <b v="0"/>
    <s v="Clear"/>
    <s v="Night"/>
    <s v="Slippery"/>
    <s v="18-25"/>
    <n v="0"/>
    <s v="Medium"/>
    <s v="Suspended"/>
    <b v="0"/>
    <n v="18"/>
    <s v="Punjab"/>
    <n v="6"/>
    <n v="1"/>
    <n v="1938"/>
    <s v="Unpaid"/>
  </r>
  <r>
    <d v="2024-05-20T00:00:00"/>
    <x v="14"/>
    <s v="Car"/>
    <x v="4"/>
    <n v="6802"/>
    <b v="0"/>
    <s v="Cloudy"/>
    <s v="Afternoon"/>
    <s v="Under Construction"/>
    <s v="18-25"/>
    <n v="4"/>
    <s v="High"/>
    <s v="Suspended"/>
    <b v="0"/>
    <n v="49"/>
    <s v="Uttar Pradesh"/>
    <n v="9"/>
    <n v="1"/>
    <n v="3834"/>
    <s v="Disputed"/>
  </r>
  <r>
    <d v="2024-05-20T00:00:00"/>
    <x v="2"/>
    <s v="Truck"/>
    <x v="5"/>
    <n v="2476"/>
    <b v="0"/>
    <s v="Clear"/>
    <s v="Morning"/>
    <s v="Under Construction"/>
    <s v="26-35"/>
    <n v="1"/>
    <s v="Medium"/>
    <s v="Learner"/>
    <b v="1"/>
    <n v="40"/>
    <s v="Delhi"/>
    <n v="4"/>
    <n v="1"/>
    <n v="1260"/>
    <s v="Paid"/>
  </r>
  <r>
    <d v="2024-05-21T00:00:00"/>
    <x v="1"/>
    <s v="Bus"/>
    <x v="2"/>
    <n v="1608"/>
    <b v="1"/>
    <s v="Foggy"/>
    <s v="Night"/>
    <s v="Dry"/>
    <s v="26-35"/>
    <n v="0"/>
    <s v="Medium"/>
    <s v="Expired"/>
    <b v="1"/>
    <n v="17"/>
    <s v="Delhi"/>
    <n v="6"/>
    <n v="1"/>
    <n v="1864"/>
    <s v="Disputed"/>
  </r>
  <r>
    <d v="2024-05-21T00:00:00"/>
    <x v="1"/>
    <s v="Bike"/>
    <x v="2"/>
    <n v="2449"/>
    <b v="0"/>
    <s v="Stormy"/>
    <s v="Evening"/>
    <s v="Slippery"/>
    <s v="26-35"/>
    <n v="3"/>
    <s v="Low"/>
    <s v="Learner"/>
    <b v="0"/>
    <n v="98"/>
    <s v="Rajasthan"/>
    <n v="9"/>
    <n v="2"/>
    <n v="3476"/>
    <s v="Disputed"/>
  </r>
  <r>
    <d v="2024-05-22T00:00:00"/>
    <x v="3"/>
    <s v="Auto-rickshaw"/>
    <x v="5"/>
    <n v="7055"/>
    <b v="0"/>
    <s v="Rainy"/>
    <s v="Afternoon"/>
    <s v="Wet"/>
    <s v="36-50"/>
    <n v="4"/>
    <s v="High"/>
    <s v="Expired"/>
    <b v="0"/>
    <n v="77"/>
    <s v="Punjab"/>
    <n v="1"/>
    <n v="2"/>
    <n v="2267"/>
    <s v="Unpaid"/>
  </r>
  <r>
    <d v="2024-05-22T00:00:00"/>
    <x v="3"/>
    <s v="Car"/>
    <x v="1"/>
    <n v="1000"/>
    <b v="0"/>
    <s v="Foggy"/>
    <s v="Night"/>
    <s v="Dry"/>
    <s v="18-25"/>
    <n v="2"/>
    <s v="High"/>
    <s v="Learner"/>
    <b v="1"/>
    <n v="2"/>
    <s v="Haryana"/>
    <n v="8"/>
    <n v="3"/>
    <n v="4192"/>
    <s v="Disputed"/>
  </r>
  <r>
    <d v="2024-05-22T00:00:00"/>
    <x v="6"/>
    <s v="Truck"/>
    <x v="5"/>
    <n v="4381"/>
    <b v="0"/>
    <s v="Cloudy"/>
    <s v="Evening"/>
    <s v="Dry"/>
    <s v="18-25"/>
    <n v="1"/>
    <s v="Medium"/>
    <s v="Valid"/>
    <b v="1"/>
    <n v="22"/>
    <s v="Haryana"/>
    <n v="4"/>
    <n v="2"/>
    <n v="2923"/>
    <s v="Unpaid"/>
  </r>
  <r>
    <d v="2024-05-23T00:00:00"/>
    <x v="8"/>
    <s v="Truck"/>
    <x v="1"/>
    <n v="1000"/>
    <b v="0"/>
    <s v="Cloudy"/>
    <s v="Evening"/>
    <s v="Dry"/>
    <s v="50+"/>
    <n v="4"/>
    <s v="Medium"/>
    <s v="Expired"/>
    <b v="0"/>
    <n v="28"/>
    <s v="Haryana"/>
    <n v="3"/>
    <n v="1"/>
    <n v="3674"/>
    <s v="Paid"/>
  </r>
  <r>
    <d v="2024-05-23T00:00:00"/>
    <x v="11"/>
    <s v="Car"/>
    <x v="2"/>
    <n v="3313"/>
    <b v="1"/>
    <s v="Cloudy"/>
    <s v="Evening"/>
    <s v="Wet"/>
    <s v="26-35"/>
    <n v="3"/>
    <s v="Low"/>
    <s v="Suspended"/>
    <b v="0"/>
    <n v="48"/>
    <s v="Delhi"/>
    <n v="4"/>
    <n v="1"/>
    <n v="2635"/>
    <s v="Disputed"/>
  </r>
  <r>
    <d v="2024-05-24T00:00:00"/>
    <x v="2"/>
    <s v="Bike"/>
    <x v="5"/>
    <n v="4781"/>
    <b v="1"/>
    <s v="Rainy"/>
    <s v="Afternoon"/>
    <s v="Wet"/>
    <s v="36-50"/>
    <n v="0"/>
    <s v="Low"/>
    <s v="Valid"/>
    <b v="0"/>
    <n v="118"/>
    <s v="Uttar Pradesh"/>
    <n v="9"/>
    <n v="1"/>
    <n v="3258"/>
    <s v="Paid"/>
  </r>
  <r>
    <d v="2024-05-24T00:00:00"/>
    <x v="3"/>
    <s v="Bike"/>
    <x v="4"/>
    <n v="6280"/>
    <b v="0"/>
    <s v="Rainy"/>
    <s v="Night"/>
    <s v="Slippery"/>
    <s v="50+"/>
    <n v="2"/>
    <s v="High"/>
    <s v="Expired"/>
    <b v="1"/>
    <n v="43"/>
    <s v="Uttar Pradesh"/>
    <n v="1"/>
    <n v="1"/>
    <n v="3428"/>
    <s v="Disputed"/>
  </r>
  <r>
    <d v="2024-05-24T00:00:00"/>
    <x v="3"/>
    <s v="Truck"/>
    <x v="2"/>
    <n v="1429"/>
    <b v="0"/>
    <s v="Clear"/>
    <s v="Afternoon"/>
    <s v="Dry"/>
    <s v="50+"/>
    <n v="1"/>
    <s v="Low"/>
    <s v="Suspended"/>
    <b v="0"/>
    <n v="101"/>
    <s v="Delhi"/>
    <n v="4"/>
    <n v="3"/>
    <n v="3224"/>
    <s v="Paid"/>
  </r>
  <r>
    <d v="2024-05-26T00:00:00"/>
    <x v="3"/>
    <s v="Auto-rickshaw"/>
    <x v="4"/>
    <n v="6047"/>
    <b v="0"/>
    <s v="Rainy"/>
    <s v="Evening"/>
    <s v="Under Construction"/>
    <s v="36-50"/>
    <n v="1"/>
    <s v="Medium"/>
    <s v="Suspended"/>
    <b v="1"/>
    <n v="63"/>
    <s v="Delhi"/>
    <n v="3"/>
    <n v="3"/>
    <n v="2121"/>
    <s v="Disputed"/>
  </r>
  <r>
    <d v="2024-05-26T00:00:00"/>
    <x v="1"/>
    <s v="Car"/>
    <x v="2"/>
    <n v="3263"/>
    <b v="1"/>
    <s v="Cloudy"/>
    <s v="Evening"/>
    <s v="Under Construction"/>
    <s v="18-25"/>
    <n v="3"/>
    <s v="Medium"/>
    <s v="Learner"/>
    <b v="0"/>
    <n v="13"/>
    <s v="Rajasthan"/>
    <n v="6"/>
    <n v="2"/>
    <n v="2748"/>
    <s v="Paid"/>
  </r>
  <r>
    <d v="2024-05-26T00:00:00"/>
    <x v="13"/>
    <s v="Car"/>
    <x v="1"/>
    <n v="1000"/>
    <b v="0"/>
    <s v="Stormy"/>
    <s v="Morning"/>
    <s v="Wet"/>
    <s v="18-25"/>
    <n v="5"/>
    <s v="Medium"/>
    <s v="Valid"/>
    <b v="1"/>
    <n v="64"/>
    <s v="Haryana"/>
    <n v="5"/>
    <n v="3"/>
    <n v="864"/>
    <s v="Unpaid"/>
  </r>
  <r>
    <d v="2024-05-26T00:00:00"/>
    <x v="3"/>
    <s v="Bus"/>
    <x v="5"/>
    <n v="7216"/>
    <b v="1"/>
    <s v="Clear"/>
    <s v="Night"/>
    <s v="Dry"/>
    <s v="36-50"/>
    <n v="5"/>
    <s v="Medium"/>
    <s v="Learner"/>
    <b v="1"/>
    <n v="16"/>
    <s v="Rajasthan"/>
    <n v="8"/>
    <n v="1"/>
    <n v="754"/>
    <s v="Paid"/>
  </r>
  <r>
    <d v="2024-05-27T00:00:00"/>
    <x v="14"/>
    <s v="Bike"/>
    <x v="0"/>
    <n v="1000"/>
    <b v="1"/>
    <s v="Cloudy"/>
    <s v="Afternoon"/>
    <s v="Dry"/>
    <s v="36-50"/>
    <n v="3"/>
    <s v="Medium"/>
    <s v="Valid"/>
    <b v="1"/>
    <n v="13"/>
    <s v="Punjab"/>
    <n v="3"/>
    <n v="2"/>
    <n v="4237"/>
    <s v="Unpaid"/>
  </r>
  <r>
    <d v="2024-05-27T00:00:00"/>
    <x v="10"/>
    <s v="Auto-rickshaw"/>
    <x v="3"/>
    <n v="3992"/>
    <b v="0"/>
    <s v="Rainy"/>
    <s v="Evening"/>
    <s v="Slippery"/>
    <s v="50+"/>
    <n v="3"/>
    <s v="High"/>
    <s v="Learner"/>
    <b v="0"/>
    <n v="70"/>
    <s v="Delhi"/>
    <n v="7"/>
    <n v="2"/>
    <n v="3420"/>
    <s v="Disputed"/>
  </r>
  <r>
    <d v="2024-05-27T00:00:00"/>
    <x v="12"/>
    <s v="Truck"/>
    <x v="2"/>
    <n v="1282"/>
    <b v="0"/>
    <s v="Cloudy"/>
    <s v="Afternoon"/>
    <s v="Under Construction"/>
    <s v="36-50"/>
    <n v="5"/>
    <s v="Low"/>
    <s v="Expired"/>
    <b v="1"/>
    <n v="65"/>
    <s v="Uttar Pradesh"/>
    <n v="4"/>
    <n v="1"/>
    <n v="2735"/>
    <s v="Paid"/>
  </r>
  <r>
    <d v="2024-05-27T00:00:00"/>
    <x v="4"/>
    <s v="Auto-rickshaw"/>
    <x v="3"/>
    <n v="2079"/>
    <b v="0"/>
    <s v="Stormy"/>
    <s v="Night"/>
    <s v="Dry"/>
    <s v="18-25"/>
    <n v="1"/>
    <s v="High"/>
    <s v="Expired"/>
    <b v="1"/>
    <n v="101"/>
    <s v="Haryana"/>
    <n v="5"/>
    <n v="2"/>
    <n v="1222"/>
    <s v="Disputed"/>
  </r>
  <r>
    <d v="2024-05-27T00:00:00"/>
    <x v="13"/>
    <s v="Auto-rickshaw"/>
    <x v="2"/>
    <n v="4726"/>
    <b v="1"/>
    <s v="Clear"/>
    <s v="Afternoon"/>
    <s v="Wet"/>
    <s v="26-35"/>
    <n v="2"/>
    <s v="Medium"/>
    <s v="Suspended"/>
    <b v="1"/>
    <n v="99"/>
    <s v="Delhi"/>
    <n v="8"/>
    <n v="2"/>
    <n v="1838"/>
    <s v="Paid"/>
  </r>
  <r>
    <d v="2024-05-27T00:00:00"/>
    <x v="11"/>
    <s v="Bus"/>
    <x v="3"/>
    <n v="2272"/>
    <b v="0"/>
    <s v="Cloudy"/>
    <s v="Morning"/>
    <s v="Under Construction"/>
    <s v="26-35"/>
    <n v="14"/>
    <s v="High"/>
    <s v="Suspended"/>
    <b v="0"/>
    <n v="4"/>
    <s v="Punjab"/>
    <n v="7"/>
    <n v="2"/>
    <n v="1805"/>
    <s v="Disputed"/>
  </r>
  <r>
    <d v="2024-05-27T00:00:00"/>
    <x v="5"/>
    <s v="Bus"/>
    <x v="4"/>
    <n v="6433"/>
    <b v="1"/>
    <s v="Stormy"/>
    <s v="Morning"/>
    <s v="Dry"/>
    <s v="26-35"/>
    <n v="3"/>
    <s v="High"/>
    <s v="Learner"/>
    <b v="0"/>
    <n v="37"/>
    <s v="Uttar Pradesh"/>
    <n v="10"/>
    <n v="3"/>
    <n v="1365"/>
    <s v="Unpaid"/>
  </r>
  <r>
    <d v="2024-05-28T00:00:00"/>
    <x v="13"/>
    <s v="Car"/>
    <x v="3"/>
    <n v="4106"/>
    <b v="1"/>
    <s v="Stormy"/>
    <s v="Evening"/>
    <s v="Under Construction"/>
    <s v="36-50"/>
    <n v="5"/>
    <s v="Low"/>
    <s v="Learner"/>
    <b v="1"/>
    <n v="77"/>
    <s v="Punjab"/>
    <n v="1"/>
    <n v="2"/>
    <n v="2945"/>
    <s v="Disputed"/>
  </r>
  <r>
    <d v="2024-05-28T00:00:00"/>
    <x v="13"/>
    <s v="Car"/>
    <x v="2"/>
    <n v="2349"/>
    <b v="0"/>
    <s v="Clear"/>
    <s v="Night"/>
    <s v="Under Construction"/>
    <s v="50+"/>
    <n v="3"/>
    <s v="Medium"/>
    <s v="Valid"/>
    <b v="1"/>
    <n v="84"/>
    <s v="Punjab"/>
    <n v="10"/>
    <n v="3"/>
    <n v="3048"/>
    <s v="Disputed"/>
  </r>
  <r>
    <d v="2024-05-28T00:00:00"/>
    <x v="14"/>
    <s v="Truck"/>
    <x v="4"/>
    <n v="6251"/>
    <b v="0"/>
    <s v="Stormy"/>
    <s v="Evening"/>
    <s v="Slippery"/>
    <s v="36-50"/>
    <n v="5"/>
    <s v="Medium"/>
    <s v="Expired"/>
    <b v="1"/>
    <n v="16"/>
    <s v="Delhi"/>
    <n v="1"/>
    <n v="3"/>
    <n v="3624"/>
    <s v="Unpaid"/>
  </r>
  <r>
    <d v="2024-05-28T00:00:00"/>
    <x v="0"/>
    <s v="Truck"/>
    <x v="4"/>
    <n v="6644"/>
    <b v="0"/>
    <s v="Clear"/>
    <s v="Night"/>
    <s v="Dry"/>
    <s v="50+"/>
    <n v="0"/>
    <s v="Low"/>
    <s v="Learner"/>
    <b v="1"/>
    <n v="6"/>
    <s v="Delhi"/>
    <n v="9"/>
    <n v="3"/>
    <n v="3292"/>
    <s v="Disputed"/>
  </r>
  <r>
    <d v="2024-05-28T00:00:00"/>
    <x v="14"/>
    <s v="Auto-rickshaw"/>
    <x v="1"/>
    <n v="1000"/>
    <b v="1"/>
    <s v="Rainy"/>
    <s v="Night"/>
    <s v="Slippery"/>
    <s v="18-25"/>
    <n v="0"/>
    <s v="High"/>
    <s v="Valid"/>
    <b v="0"/>
    <n v="66"/>
    <s v="Delhi"/>
    <n v="10"/>
    <n v="2"/>
    <n v="1385"/>
    <s v="Paid"/>
  </r>
  <r>
    <d v="2024-06-01T00:00:00"/>
    <x v="7"/>
    <s v="Bus"/>
    <x v="4"/>
    <n v="8121"/>
    <b v="0"/>
    <s v="Clear"/>
    <s v="Night"/>
    <s v="Dry"/>
    <s v="36-50"/>
    <n v="2"/>
    <s v="Medium"/>
    <s v="Suspended"/>
    <b v="1"/>
    <n v="28"/>
    <s v="Punjab"/>
    <n v="8"/>
    <n v="2"/>
    <n v="2668"/>
    <s v="Unpaid"/>
  </r>
  <r>
    <d v="2024-06-02T00:00:00"/>
    <x v="1"/>
    <s v="Truck"/>
    <x v="4"/>
    <n v="9492"/>
    <b v="0"/>
    <s v="Rainy"/>
    <s v="Morning"/>
    <s v="Wet"/>
    <s v="50+"/>
    <n v="3"/>
    <s v="High"/>
    <s v="Suspended"/>
    <b v="0"/>
    <n v="61"/>
    <s v="Punjab"/>
    <n v="8"/>
    <n v="1"/>
    <n v="4724"/>
    <s v="Unpaid"/>
  </r>
  <r>
    <d v="2024-06-02T00:00:00"/>
    <x v="9"/>
    <s v="Bike"/>
    <x v="5"/>
    <n v="5510"/>
    <b v="1"/>
    <s v="Cloudy"/>
    <s v="Morning"/>
    <s v="Dry"/>
    <s v="50+"/>
    <n v="2"/>
    <s v="Low"/>
    <s v="Learner"/>
    <b v="0"/>
    <n v="13"/>
    <s v="Punjab"/>
    <n v="5"/>
    <n v="3"/>
    <n v="4846"/>
    <s v="Paid"/>
  </r>
  <r>
    <d v="2024-06-02T00:00:00"/>
    <x v="2"/>
    <s v="Bus"/>
    <x v="5"/>
    <n v="3071"/>
    <b v="0"/>
    <s v="Cloudy"/>
    <s v="Night"/>
    <s v="Under Construction"/>
    <s v="18-25"/>
    <n v="3"/>
    <s v="High"/>
    <s v="Learner"/>
    <b v="0"/>
    <n v="106"/>
    <s v="Haryana"/>
    <n v="7"/>
    <n v="1"/>
    <n v="3266"/>
    <s v="Disputed"/>
  </r>
  <r>
    <d v="2024-06-03T00:00:00"/>
    <x v="2"/>
    <s v="Bus"/>
    <x v="1"/>
    <n v="1000"/>
    <b v="1"/>
    <s v="Rainy"/>
    <s v="Afternoon"/>
    <s v="Slippery"/>
    <s v="36-50"/>
    <n v="0"/>
    <s v="High"/>
    <s v="Learner"/>
    <b v="0"/>
    <n v="60"/>
    <s v="Punjab"/>
    <n v="7"/>
    <n v="3"/>
    <n v="1886"/>
    <s v="Unpaid"/>
  </r>
  <r>
    <d v="2024-06-03T00:00:00"/>
    <x v="11"/>
    <s v="Truck"/>
    <x v="1"/>
    <n v="1000"/>
    <b v="0"/>
    <s v="Clear"/>
    <s v="Night"/>
    <s v="Slippery"/>
    <s v="50+"/>
    <n v="5"/>
    <s v="High"/>
    <s v="Valid"/>
    <b v="1"/>
    <n v="19"/>
    <s v="Punjab"/>
    <n v="4"/>
    <n v="1"/>
    <n v="1995"/>
    <s v="Unpaid"/>
  </r>
  <r>
    <d v="2024-06-03T00:00:00"/>
    <x v="4"/>
    <s v="Auto-rickshaw"/>
    <x v="1"/>
    <n v="1000"/>
    <b v="0"/>
    <s v="Cloudy"/>
    <s v="Night"/>
    <s v="Dry"/>
    <s v="50+"/>
    <n v="2"/>
    <s v="Low"/>
    <s v="Suspended"/>
    <b v="1"/>
    <n v="18"/>
    <s v="Haryana"/>
    <n v="4"/>
    <n v="1"/>
    <n v="547"/>
    <s v="Disputed"/>
  </r>
  <r>
    <d v="2024-06-04T00:00:00"/>
    <x v="6"/>
    <s v="Bike"/>
    <x v="0"/>
    <n v="1000"/>
    <b v="0"/>
    <s v="Rainy"/>
    <s v="Afternoon"/>
    <s v="Dry"/>
    <s v="18-25"/>
    <n v="2"/>
    <s v="High"/>
    <s v="Suspended"/>
    <b v="1"/>
    <n v="31"/>
    <s v="Uttar Pradesh"/>
    <n v="2"/>
    <n v="1"/>
    <n v="925"/>
    <s v="Unpaid"/>
  </r>
  <r>
    <d v="2024-06-04T00:00:00"/>
    <x v="7"/>
    <s v="Bus"/>
    <x v="2"/>
    <n v="1976"/>
    <b v="1"/>
    <s v="Cloudy"/>
    <s v="Afternoon"/>
    <s v="Wet"/>
    <s v="50+"/>
    <n v="1"/>
    <s v="High"/>
    <s v="Suspended"/>
    <b v="0"/>
    <n v="94"/>
    <s v="Punjab"/>
    <n v="10"/>
    <n v="3"/>
    <n v="3981"/>
    <s v="Paid"/>
  </r>
  <r>
    <d v="2024-06-04T00:00:00"/>
    <x v="4"/>
    <s v="Bike"/>
    <x v="0"/>
    <n v="1000"/>
    <b v="0"/>
    <s v="Cloudy"/>
    <s v="Night"/>
    <s v="Under Construction"/>
    <s v="36-50"/>
    <n v="4"/>
    <s v="Medium"/>
    <s v="Suspended"/>
    <b v="1"/>
    <n v="56"/>
    <s v="Haryana"/>
    <n v="1"/>
    <n v="3"/>
    <n v="2694"/>
    <s v="Paid"/>
  </r>
  <r>
    <d v="2024-06-04T00:00:00"/>
    <x v="0"/>
    <s v="Bike"/>
    <x v="3"/>
    <n v="2103"/>
    <b v="0"/>
    <s v="Stormy"/>
    <s v="Afternoon"/>
    <s v="Dry"/>
    <s v="36-50"/>
    <n v="1"/>
    <s v="Low"/>
    <s v="Learner"/>
    <b v="1"/>
    <n v="42"/>
    <s v="Uttar Pradesh"/>
    <n v="9"/>
    <n v="2"/>
    <n v="4333"/>
    <s v="Disputed"/>
  </r>
  <r>
    <d v="2024-06-04T00:00:00"/>
    <x v="0"/>
    <s v="Bus"/>
    <x v="1"/>
    <n v="1000"/>
    <b v="0"/>
    <s v="Rainy"/>
    <s v="Evening"/>
    <s v="Slippery"/>
    <s v="50+"/>
    <n v="3"/>
    <s v="Low"/>
    <s v="Suspended"/>
    <b v="0"/>
    <n v="5"/>
    <s v="Punjab"/>
    <n v="7"/>
    <n v="2"/>
    <n v="856"/>
    <s v="Unpaid"/>
  </r>
  <r>
    <d v="2024-06-05T00:00:00"/>
    <x v="0"/>
    <s v="Car"/>
    <x v="3"/>
    <n v="2771"/>
    <b v="1"/>
    <s v="Cloudy"/>
    <s v="Evening"/>
    <s v="Slippery"/>
    <s v="36-50"/>
    <n v="2"/>
    <s v="Medium"/>
    <s v="Expired"/>
    <b v="0"/>
    <n v="66"/>
    <s v="Rajasthan"/>
    <n v="7"/>
    <n v="2"/>
    <n v="4424"/>
    <s v="Disputed"/>
  </r>
  <r>
    <d v="2024-06-05T00:00:00"/>
    <x v="7"/>
    <s v="Truck"/>
    <x v="2"/>
    <n v="4308"/>
    <b v="1"/>
    <s v="Foggy"/>
    <s v="Evening"/>
    <s v="Under Construction"/>
    <s v="36-50"/>
    <n v="5"/>
    <s v="Low"/>
    <s v="Expired"/>
    <b v="0"/>
    <n v="120"/>
    <s v="Punjab"/>
    <n v="5"/>
    <n v="2"/>
    <n v="2210"/>
    <s v="Paid"/>
  </r>
  <r>
    <d v="2024-06-05T00:00:00"/>
    <x v="2"/>
    <s v="Car"/>
    <x v="3"/>
    <n v="4806"/>
    <b v="0"/>
    <s v="Foggy"/>
    <s v="Afternoon"/>
    <s v="Under Construction"/>
    <s v="26-35"/>
    <n v="5"/>
    <s v="Low"/>
    <s v="Valid"/>
    <b v="1"/>
    <n v="103"/>
    <s v="Punjab"/>
    <n v="9"/>
    <n v="3"/>
    <n v="2114"/>
    <s v="Paid"/>
  </r>
  <r>
    <d v="2024-06-05T00:00:00"/>
    <x v="5"/>
    <s v="Car"/>
    <x v="5"/>
    <n v="3873"/>
    <b v="0"/>
    <s v="Stormy"/>
    <s v="Night"/>
    <s v="Under Construction"/>
    <s v="26-35"/>
    <n v="4"/>
    <s v="High"/>
    <s v="Expired"/>
    <b v="1"/>
    <n v="50"/>
    <s v="Rajasthan"/>
    <n v="4"/>
    <n v="3"/>
    <n v="4108"/>
    <s v="Unpaid"/>
  </r>
  <r>
    <d v="2024-06-05T00:00:00"/>
    <x v="0"/>
    <s v="Truck"/>
    <x v="3"/>
    <n v="3508"/>
    <b v="0"/>
    <s v="Foggy"/>
    <s v="Afternoon"/>
    <s v="Slippery"/>
    <s v="36-50"/>
    <n v="4"/>
    <s v="High"/>
    <s v="Valid"/>
    <b v="0"/>
    <n v="86"/>
    <s v="Punjab"/>
    <n v="9"/>
    <n v="3"/>
    <n v="4514"/>
    <s v="Paid"/>
  </r>
  <r>
    <d v="2024-06-05T00:00:00"/>
    <x v="10"/>
    <s v="Bus"/>
    <x v="2"/>
    <n v="1523"/>
    <b v="0"/>
    <s v="Cloudy"/>
    <s v="Evening"/>
    <s v="Slippery"/>
    <s v="50+"/>
    <n v="2"/>
    <s v="Low"/>
    <s v="Valid"/>
    <b v="0"/>
    <n v="6"/>
    <s v="Rajasthan"/>
    <n v="8"/>
    <n v="1"/>
    <n v="3878"/>
    <s v="Disputed"/>
  </r>
  <r>
    <d v="2024-06-06T00:00:00"/>
    <x v="2"/>
    <s v="Car"/>
    <x v="3"/>
    <n v="4783"/>
    <b v="0"/>
    <s v="Foggy"/>
    <s v="Night"/>
    <s v="Dry"/>
    <s v="36-50"/>
    <n v="1"/>
    <s v="High"/>
    <s v="Learner"/>
    <b v="1"/>
    <n v="114"/>
    <s v="Uttar Pradesh"/>
    <n v="8"/>
    <n v="1"/>
    <n v="4969"/>
    <s v="Paid"/>
  </r>
  <r>
    <d v="2024-06-06T00:00:00"/>
    <x v="7"/>
    <s v="Auto-rickshaw"/>
    <x v="1"/>
    <n v="1000"/>
    <b v="0"/>
    <s v="Clear"/>
    <s v="Afternoon"/>
    <s v="Under Construction"/>
    <s v="36-50"/>
    <n v="4"/>
    <s v="Low"/>
    <s v="Valid"/>
    <b v="1"/>
    <n v="102"/>
    <s v="Haryana"/>
    <n v="3"/>
    <n v="1"/>
    <n v="797"/>
    <s v="Paid"/>
  </r>
  <r>
    <d v="2024-06-07T00:00:00"/>
    <x v="3"/>
    <s v="Bus"/>
    <x v="2"/>
    <n v="18340"/>
    <b v="0"/>
    <s v="Rainy"/>
    <s v="Night"/>
    <s v="Slippery"/>
    <s v="18-25"/>
    <n v="3"/>
    <s v="High"/>
    <s v="Learner"/>
    <b v="0"/>
    <n v="116"/>
    <s v="Uttar Pradesh"/>
    <n v="4"/>
    <n v="1"/>
    <n v="3391"/>
    <s v="Paid"/>
  </r>
  <r>
    <d v="2024-06-07T00:00:00"/>
    <x v="14"/>
    <s v="Car"/>
    <x v="1"/>
    <n v="1000"/>
    <b v="0"/>
    <s v="Rainy"/>
    <s v="Evening"/>
    <s v="Under Construction"/>
    <s v="18-25"/>
    <n v="3"/>
    <s v="Low"/>
    <s v="Expired"/>
    <b v="1"/>
    <n v="34"/>
    <s v="Punjab"/>
    <n v="6"/>
    <n v="2"/>
    <n v="698"/>
    <s v="Unpaid"/>
  </r>
  <r>
    <d v="2024-06-07T00:00:00"/>
    <x v="5"/>
    <s v="Truck"/>
    <x v="1"/>
    <n v="1000"/>
    <b v="1"/>
    <s v="Rainy"/>
    <s v="Morning"/>
    <s v="Dry"/>
    <s v="18-25"/>
    <n v="5"/>
    <s v="High"/>
    <s v="Suspended"/>
    <b v="0"/>
    <n v="89"/>
    <s v="Punjab"/>
    <n v="3"/>
    <n v="2"/>
    <n v="4222"/>
    <s v="Unpaid"/>
  </r>
  <r>
    <d v="2024-06-07T00:00:00"/>
    <x v="13"/>
    <s v="Car"/>
    <x v="1"/>
    <n v="1000"/>
    <b v="0"/>
    <s v="Cloudy"/>
    <s v="Night"/>
    <s v="Slippery"/>
    <s v="36-50"/>
    <n v="2"/>
    <s v="Medium"/>
    <s v="Suspended"/>
    <b v="0"/>
    <n v="102"/>
    <s v="Rajasthan"/>
    <n v="9"/>
    <n v="2"/>
    <n v="2821"/>
    <s v="Disputed"/>
  </r>
  <r>
    <d v="2024-06-07T00:00:00"/>
    <x v="0"/>
    <s v="Bike"/>
    <x v="4"/>
    <n v="9901"/>
    <b v="0"/>
    <s v="Rainy"/>
    <s v="Afternoon"/>
    <s v="Slippery"/>
    <s v="26-35"/>
    <n v="3"/>
    <s v="Low"/>
    <s v="Expired"/>
    <b v="0"/>
    <n v="69"/>
    <s v="Uttar Pradesh"/>
    <n v="8"/>
    <n v="1"/>
    <n v="3617"/>
    <s v="Unpaid"/>
  </r>
  <r>
    <d v="2024-06-08T00:00:00"/>
    <x v="14"/>
    <s v="Auto-rickshaw"/>
    <x v="4"/>
    <n v="6399"/>
    <b v="0"/>
    <s v="Cloudy"/>
    <s v="Night"/>
    <s v="Under Construction"/>
    <s v="36-50"/>
    <n v="5"/>
    <s v="Medium"/>
    <s v="Valid"/>
    <b v="1"/>
    <n v="32"/>
    <s v="Rajasthan"/>
    <n v="10"/>
    <n v="1"/>
    <n v="2463"/>
    <s v="Paid"/>
  </r>
  <r>
    <d v="2024-06-08T00:00:00"/>
    <x v="12"/>
    <s v="Truck"/>
    <x v="2"/>
    <n v="3306"/>
    <b v="1"/>
    <s v="Stormy"/>
    <s v="Morning"/>
    <s v="Wet"/>
    <s v="18-25"/>
    <n v="1"/>
    <s v="Medium"/>
    <s v="Valid"/>
    <b v="0"/>
    <n v="115"/>
    <s v="Haryana"/>
    <n v="7"/>
    <n v="1"/>
    <n v="3706"/>
    <s v="Unpaid"/>
  </r>
  <r>
    <d v="2024-06-08T00:00:00"/>
    <x v="11"/>
    <s v="Truck"/>
    <x v="2"/>
    <n v="2547"/>
    <b v="0"/>
    <s v="Stormy"/>
    <s v="Night"/>
    <s v="Slippery"/>
    <s v="36-50"/>
    <n v="5"/>
    <s v="Low"/>
    <s v="Suspended"/>
    <b v="1"/>
    <n v="73"/>
    <s v="Rajasthan"/>
    <n v="6"/>
    <n v="3"/>
    <n v="1832"/>
    <s v="Disputed"/>
  </r>
  <r>
    <d v="2024-06-08T00:00:00"/>
    <x v="12"/>
    <s v="Car"/>
    <x v="2"/>
    <n v="4953"/>
    <b v="0"/>
    <s v="Foggy"/>
    <s v="Evening"/>
    <s v="Dry"/>
    <s v="50+"/>
    <n v="5"/>
    <s v="High"/>
    <s v="Valid"/>
    <b v="1"/>
    <n v="116"/>
    <s v="Punjab"/>
    <n v="1"/>
    <n v="2"/>
    <n v="1113"/>
    <s v="Unpaid"/>
  </r>
  <r>
    <d v="2024-06-09T00:00:00"/>
    <x v="5"/>
    <s v="Bike"/>
    <x v="0"/>
    <n v="1000"/>
    <b v="0"/>
    <s v="Foggy"/>
    <s v="Morning"/>
    <s v="Wet"/>
    <s v="36-50"/>
    <n v="1"/>
    <s v="High"/>
    <s v="Suspended"/>
    <b v="0"/>
    <n v="49"/>
    <s v="Punjab"/>
    <n v="7"/>
    <n v="3"/>
    <n v="3962"/>
    <s v="Unpaid"/>
  </r>
  <r>
    <d v="2024-06-09T00:00:00"/>
    <x v="2"/>
    <s v="Bike"/>
    <x v="3"/>
    <n v="4193"/>
    <b v="0"/>
    <s v="Rainy"/>
    <s v="Night"/>
    <s v="Under Construction"/>
    <s v="18-25"/>
    <n v="3"/>
    <s v="High"/>
    <s v="Learner"/>
    <b v="1"/>
    <n v="68"/>
    <s v="Haryana"/>
    <n v="8"/>
    <n v="1"/>
    <n v="3225"/>
    <s v="Unpaid"/>
  </r>
  <r>
    <d v="2024-06-09T00:00:00"/>
    <x v="11"/>
    <s v="Bike"/>
    <x v="4"/>
    <n v="8376"/>
    <b v="0"/>
    <s v="Rainy"/>
    <s v="Evening"/>
    <s v="Wet"/>
    <s v="26-35"/>
    <n v="1"/>
    <s v="High"/>
    <s v="Expired"/>
    <b v="0"/>
    <n v="33"/>
    <s v="Haryana"/>
    <n v="9"/>
    <n v="2"/>
    <n v="3103"/>
    <s v="Unpaid"/>
  </r>
  <r>
    <d v="2024-06-10T00:00:00"/>
    <x v="1"/>
    <s v="Bike"/>
    <x v="4"/>
    <n v="9434"/>
    <b v="0"/>
    <s v="Cloudy"/>
    <s v="Morning"/>
    <s v="Slippery"/>
    <s v="36-50"/>
    <n v="2"/>
    <s v="High"/>
    <s v="Suspended"/>
    <b v="0"/>
    <n v="58"/>
    <s v="Rajasthan"/>
    <n v="7"/>
    <n v="2"/>
    <n v="3998"/>
    <s v="Disputed"/>
  </r>
  <r>
    <d v="2024-06-11T00:00:00"/>
    <x v="12"/>
    <s v="Bus"/>
    <x v="5"/>
    <n v="5610"/>
    <b v="0"/>
    <s v="Cloudy"/>
    <s v="Evening"/>
    <s v="Slippery"/>
    <s v="36-50"/>
    <n v="18"/>
    <s v="High"/>
    <s v="Learner"/>
    <b v="0"/>
    <n v="61"/>
    <s v="Uttar Pradesh"/>
    <n v="5"/>
    <n v="3"/>
    <n v="4411"/>
    <s v="Unpaid"/>
  </r>
  <r>
    <d v="2024-06-12T00:00:00"/>
    <x v="3"/>
    <s v="Car"/>
    <x v="4"/>
    <n v="9693"/>
    <b v="0"/>
    <s v="Foggy"/>
    <s v="Afternoon"/>
    <s v="Slippery"/>
    <s v="26-35"/>
    <n v="2"/>
    <s v="High"/>
    <s v="Learner"/>
    <b v="1"/>
    <n v="115"/>
    <s v="Delhi"/>
    <n v="4"/>
    <n v="3"/>
    <n v="1417"/>
    <s v="Disputed"/>
  </r>
  <r>
    <d v="2024-06-12T00:00:00"/>
    <x v="1"/>
    <s v="Bus"/>
    <x v="1"/>
    <n v="1000"/>
    <b v="1"/>
    <s v="Stormy"/>
    <s v="Morning"/>
    <s v="Dry"/>
    <s v="26-35"/>
    <n v="4"/>
    <s v="Medium"/>
    <s v="Expired"/>
    <b v="0"/>
    <n v="96"/>
    <s v="Uttar Pradesh"/>
    <n v="10"/>
    <n v="1"/>
    <n v="2446"/>
    <s v="Unpaid"/>
  </r>
  <r>
    <d v="2024-06-13T00:00:00"/>
    <x v="6"/>
    <s v="Truck"/>
    <x v="5"/>
    <n v="2307"/>
    <b v="1"/>
    <s v="Rainy"/>
    <s v="Afternoon"/>
    <s v="Under Construction"/>
    <s v="26-35"/>
    <n v="2"/>
    <s v="Medium"/>
    <s v="Expired"/>
    <b v="0"/>
    <n v="0"/>
    <s v="Uttar Pradesh"/>
    <n v="4"/>
    <n v="1"/>
    <n v="4228"/>
    <s v="Unpaid"/>
  </r>
  <r>
    <d v="2024-06-13T00:00:00"/>
    <x v="10"/>
    <s v="Car"/>
    <x v="1"/>
    <n v="1000"/>
    <b v="0"/>
    <s v="Foggy"/>
    <s v="Afternoon"/>
    <s v="Under Construction"/>
    <s v="36-50"/>
    <n v="2"/>
    <s v="High"/>
    <s v="Valid"/>
    <b v="1"/>
    <n v="66"/>
    <s v="Uttar Pradesh"/>
    <n v="8"/>
    <n v="2"/>
    <n v="1492"/>
    <s v="Paid"/>
  </r>
  <r>
    <d v="2024-06-14T00:00:00"/>
    <x v="1"/>
    <s v="Auto-rickshaw"/>
    <x v="4"/>
    <n v="9602"/>
    <b v="0"/>
    <s v="Rainy"/>
    <s v="Evening"/>
    <s v="Slippery"/>
    <s v="36-50"/>
    <n v="5"/>
    <s v="High"/>
    <s v="Expired"/>
    <b v="1"/>
    <n v="91"/>
    <s v="Haryana"/>
    <n v="7"/>
    <n v="2"/>
    <n v="1434"/>
    <s v="Paid"/>
  </r>
  <r>
    <d v="2024-06-15T00:00:00"/>
    <x v="10"/>
    <s v="Bike"/>
    <x v="4"/>
    <n v="7629"/>
    <b v="0"/>
    <s v="Clear"/>
    <s v="Morning"/>
    <s v="Slippery"/>
    <s v="26-35"/>
    <n v="1"/>
    <s v="Low"/>
    <s v="Suspended"/>
    <b v="0"/>
    <n v="60"/>
    <s v="Haryana"/>
    <n v="4"/>
    <n v="2"/>
    <n v="966"/>
    <s v="Unpaid"/>
  </r>
  <r>
    <d v="2024-06-15T00:00:00"/>
    <x v="5"/>
    <s v="Auto-rickshaw"/>
    <x v="5"/>
    <n v="2596"/>
    <b v="1"/>
    <s v="Clear"/>
    <s v="Night"/>
    <s v="Under Construction"/>
    <s v="26-35"/>
    <n v="5"/>
    <s v="High"/>
    <s v="Learner"/>
    <b v="0"/>
    <n v="19"/>
    <s v="Rajasthan"/>
    <n v="2"/>
    <n v="2"/>
    <n v="2131"/>
    <s v="Disputed"/>
  </r>
  <r>
    <d v="2024-06-15T00:00:00"/>
    <x v="2"/>
    <s v="Truck"/>
    <x v="3"/>
    <n v="4613"/>
    <b v="1"/>
    <s v="Rainy"/>
    <s v="Night"/>
    <s v="Under Construction"/>
    <s v="18-25"/>
    <n v="1"/>
    <s v="Medium"/>
    <s v="Suspended"/>
    <b v="1"/>
    <n v="73"/>
    <s v="Haryana"/>
    <n v="9"/>
    <n v="3"/>
    <n v="1800"/>
    <s v="Unpaid"/>
  </r>
  <r>
    <d v="2024-06-16T00:00:00"/>
    <x v="8"/>
    <s v="Auto-rickshaw"/>
    <x v="1"/>
    <n v="1000"/>
    <b v="1"/>
    <s v="Clear"/>
    <s v="Afternoon"/>
    <s v="Under Construction"/>
    <s v="18-25"/>
    <n v="5"/>
    <s v="Medium"/>
    <s v="Valid"/>
    <b v="1"/>
    <n v="88"/>
    <s v="Haryana"/>
    <n v="8"/>
    <n v="3"/>
    <n v="1430"/>
    <s v="Disputed"/>
  </r>
  <r>
    <d v="2024-06-16T00:00:00"/>
    <x v="6"/>
    <s v="Bike"/>
    <x v="0"/>
    <n v="1000"/>
    <b v="0"/>
    <s v="Clear"/>
    <s v="Evening"/>
    <s v="Dry"/>
    <s v="36-50"/>
    <n v="3"/>
    <s v="Medium"/>
    <s v="Valid"/>
    <b v="0"/>
    <n v="25"/>
    <s v="Uttar Pradesh"/>
    <n v="5"/>
    <n v="1"/>
    <n v="2848"/>
    <s v="Paid"/>
  </r>
  <r>
    <d v="2024-06-17T00:00:00"/>
    <x v="3"/>
    <s v="Bike"/>
    <x v="3"/>
    <n v="2468"/>
    <b v="1"/>
    <s v="Stormy"/>
    <s v="Night"/>
    <s v="Slippery"/>
    <s v="26-35"/>
    <n v="2"/>
    <s v="Medium"/>
    <s v="Suspended"/>
    <b v="0"/>
    <n v="41"/>
    <s v="Delhi"/>
    <n v="4"/>
    <n v="1"/>
    <n v="2730"/>
    <s v="Disputed"/>
  </r>
  <r>
    <d v="2024-06-17T00:00:00"/>
    <x v="3"/>
    <s v="Car"/>
    <x v="5"/>
    <n v="7693"/>
    <b v="0"/>
    <s v="Cloudy"/>
    <s v="Evening"/>
    <s v="Slippery"/>
    <s v="26-35"/>
    <n v="5"/>
    <s v="Medium"/>
    <s v="Suspended"/>
    <b v="0"/>
    <n v="65"/>
    <s v="Haryana"/>
    <n v="7"/>
    <n v="2"/>
    <n v="4674"/>
    <s v="Disputed"/>
  </r>
  <r>
    <d v="2024-06-20T00:00:00"/>
    <x v="12"/>
    <s v="Bike"/>
    <x v="4"/>
    <n v="8413"/>
    <b v="0"/>
    <s v="Stormy"/>
    <s v="Morning"/>
    <s v="Slippery"/>
    <s v="18-25"/>
    <n v="0"/>
    <s v="Low"/>
    <s v="Expired"/>
    <b v="1"/>
    <n v="90"/>
    <s v="Rajasthan"/>
    <n v="6"/>
    <n v="2"/>
    <n v="2806"/>
    <s v="Unpaid"/>
  </r>
  <r>
    <d v="2024-06-20T00:00:00"/>
    <x v="1"/>
    <s v="Bus"/>
    <x v="1"/>
    <n v="1000"/>
    <b v="0"/>
    <s v="Rainy"/>
    <s v="Morning"/>
    <s v="Slippery"/>
    <s v="26-35"/>
    <n v="9"/>
    <s v="Medium"/>
    <s v="Suspended"/>
    <b v="0"/>
    <n v="19"/>
    <s v="Delhi"/>
    <n v="10"/>
    <n v="2"/>
    <n v="1019"/>
    <s v="Unpaid"/>
  </r>
  <r>
    <d v="2024-06-20T00:00:00"/>
    <x v="2"/>
    <s v="Bus"/>
    <x v="2"/>
    <n v="2158"/>
    <b v="1"/>
    <s v="Rainy"/>
    <s v="Night"/>
    <s v="Under Construction"/>
    <s v="26-35"/>
    <n v="1"/>
    <s v="High"/>
    <s v="Valid"/>
    <b v="0"/>
    <n v="120"/>
    <s v="Delhi"/>
    <n v="3"/>
    <n v="3"/>
    <n v="2781"/>
    <s v="Disputed"/>
  </r>
  <r>
    <d v="2024-06-20T00:00:00"/>
    <x v="8"/>
    <s v="Bike"/>
    <x v="4"/>
    <n v="5779"/>
    <b v="0"/>
    <s v="Rainy"/>
    <s v="Evening"/>
    <s v="Dry"/>
    <s v="50+"/>
    <n v="2"/>
    <s v="High"/>
    <s v="Expired"/>
    <b v="0"/>
    <n v="38"/>
    <s v="Delhi"/>
    <n v="7"/>
    <n v="1"/>
    <n v="4666"/>
    <s v="Disputed"/>
  </r>
  <r>
    <d v="2024-06-21T00:00:00"/>
    <x v="11"/>
    <s v="Car"/>
    <x v="4"/>
    <n v="9581"/>
    <b v="0"/>
    <s v="Stormy"/>
    <s v="Night"/>
    <s v="Under Construction"/>
    <s v="18-25"/>
    <n v="3"/>
    <s v="Low"/>
    <s v="Expired"/>
    <b v="1"/>
    <n v="35"/>
    <s v="Uttar Pradesh"/>
    <n v="10"/>
    <n v="2"/>
    <n v="2343"/>
    <s v="Unpaid"/>
  </r>
  <r>
    <d v="2024-06-21T00:00:00"/>
    <x v="6"/>
    <s v="Bike"/>
    <x v="0"/>
    <n v="1000"/>
    <b v="1"/>
    <s v="Rainy"/>
    <s v="Morning"/>
    <s v="Dry"/>
    <s v="26-35"/>
    <n v="2"/>
    <s v="High"/>
    <s v="Valid"/>
    <b v="1"/>
    <n v="2"/>
    <s v="Delhi"/>
    <n v="1"/>
    <n v="3"/>
    <n v="3373"/>
    <s v="Unpaid"/>
  </r>
  <r>
    <d v="2024-06-21T00:00:00"/>
    <x v="5"/>
    <s v="Bus"/>
    <x v="5"/>
    <n v="2666"/>
    <b v="0"/>
    <s v="Rainy"/>
    <s v="Night"/>
    <s v="Wet"/>
    <s v="18-25"/>
    <n v="2"/>
    <s v="Medium"/>
    <s v="Suspended"/>
    <b v="1"/>
    <n v="71"/>
    <s v="Delhi"/>
    <n v="10"/>
    <n v="2"/>
    <n v="2660"/>
    <s v="Paid"/>
  </r>
  <r>
    <d v="2024-06-22T00:00:00"/>
    <x v="8"/>
    <s v="Bike"/>
    <x v="2"/>
    <n v="1080"/>
    <b v="1"/>
    <s v="Clear"/>
    <s v="Afternoon"/>
    <s v="Wet"/>
    <s v="50+"/>
    <n v="2"/>
    <s v="Medium"/>
    <s v="Expired"/>
    <b v="0"/>
    <n v="67"/>
    <s v="Punjab"/>
    <n v="9"/>
    <n v="1"/>
    <n v="4568"/>
    <s v="Unpaid"/>
  </r>
  <r>
    <d v="2024-06-23T00:00:00"/>
    <x v="5"/>
    <s v="Truck"/>
    <x v="3"/>
    <n v="2045"/>
    <b v="1"/>
    <s v="Clear"/>
    <s v="Evening"/>
    <s v="Under Construction"/>
    <s v="18-25"/>
    <n v="3"/>
    <s v="Medium"/>
    <s v="Valid"/>
    <b v="0"/>
    <n v="79"/>
    <s v="Delhi"/>
    <n v="4"/>
    <n v="3"/>
    <n v="4151"/>
    <s v="Paid"/>
  </r>
  <r>
    <d v="2024-06-23T00:00:00"/>
    <x v="3"/>
    <s v="Car"/>
    <x v="5"/>
    <n v="5383"/>
    <b v="1"/>
    <s v="Clear"/>
    <s v="Morning"/>
    <s v="Under Construction"/>
    <s v="50+"/>
    <n v="2"/>
    <s v="Low"/>
    <s v="Expired"/>
    <b v="0"/>
    <n v="21"/>
    <s v="Delhi"/>
    <n v="3"/>
    <n v="1"/>
    <n v="3774"/>
    <s v="Disputed"/>
  </r>
  <r>
    <d v="2024-06-23T00:00:00"/>
    <x v="9"/>
    <s v="Bike"/>
    <x v="4"/>
    <n v="9615"/>
    <b v="0"/>
    <s v="Foggy"/>
    <s v="Morning"/>
    <s v="Under Construction"/>
    <s v="18-25"/>
    <n v="4"/>
    <s v="High"/>
    <s v="Valid"/>
    <b v="0"/>
    <n v="47"/>
    <s v="Rajasthan"/>
    <n v="2"/>
    <n v="1"/>
    <n v="1705"/>
    <s v="Disputed"/>
  </r>
  <r>
    <d v="2024-06-23T00:00:00"/>
    <x v="14"/>
    <s v="Bike"/>
    <x v="2"/>
    <n v="3748"/>
    <b v="1"/>
    <s v="Rainy"/>
    <s v="Morning"/>
    <s v="Slippery"/>
    <s v="18-25"/>
    <n v="2"/>
    <s v="High"/>
    <s v="Suspended"/>
    <b v="0"/>
    <n v="81"/>
    <s v="Haryana"/>
    <n v="3"/>
    <n v="2"/>
    <n v="3807"/>
    <s v="Disputed"/>
  </r>
  <r>
    <d v="2024-06-24T00:00:00"/>
    <x v="12"/>
    <s v="Auto-rickshaw"/>
    <x v="5"/>
    <n v="3508"/>
    <b v="0"/>
    <s v="Cloudy"/>
    <s v="Afternoon"/>
    <s v="Under Construction"/>
    <s v="50+"/>
    <n v="3"/>
    <s v="High"/>
    <s v="Expired"/>
    <b v="0"/>
    <n v="30"/>
    <s v="Punjab"/>
    <n v="7"/>
    <n v="1"/>
    <n v="4045"/>
    <s v="Paid"/>
  </r>
  <r>
    <d v="2024-06-24T00:00:00"/>
    <x v="6"/>
    <s v="Car"/>
    <x v="3"/>
    <n v="3014"/>
    <b v="0"/>
    <s v="Clear"/>
    <s v="Morning"/>
    <s v="Under Construction"/>
    <s v="26-35"/>
    <n v="0"/>
    <s v="Medium"/>
    <s v="Learner"/>
    <b v="0"/>
    <n v="61"/>
    <s v="Haryana"/>
    <n v="10"/>
    <n v="3"/>
    <n v="4917"/>
    <s v="Unpaid"/>
  </r>
  <r>
    <d v="2024-06-24T00:00:00"/>
    <x v="2"/>
    <s v="Truck"/>
    <x v="1"/>
    <n v="1000"/>
    <b v="1"/>
    <s v="Foggy"/>
    <s v="Night"/>
    <s v="Slippery"/>
    <s v="26-35"/>
    <n v="3"/>
    <s v="Low"/>
    <s v="Learner"/>
    <b v="1"/>
    <n v="50"/>
    <s v="Delhi"/>
    <n v="2"/>
    <n v="1"/>
    <n v="2122"/>
    <s v="Paid"/>
  </r>
  <r>
    <d v="2024-06-24T00:00:00"/>
    <x v="3"/>
    <s v="Bike"/>
    <x v="0"/>
    <n v="1000"/>
    <b v="0"/>
    <s v="Stormy"/>
    <s v="Night"/>
    <s v="Wet"/>
    <s v="36-50"/>
    <n v="2"/>
    <s v="Low"/>
    <s v="Learner"/>
    <b v="1"/>
    <n v="54"/>
    <s v="Rajasthan"/>
    <n v="7"/>
    <n v="3"/>
    <n v="2655"/>
    <s v="Paid"/>
  </r>
  <r>
    <d v="2024-06-24T00:00:00"/>
    <x v="0"/>
    <s v="Bus"/>
    <x v="5"/>
    <n v="2252"/>
    <b v="0"/>
    <s v="Foggy"/>
    <s v="Evening"/>
    <s v="Slippery"/>
    <s v="18-25"/>
    <n v="1"/>
    <s v="Medium"/>
    <s v="Expired"/>
    <b v="1"/>
    <n v="61"/>
    <s v="Punjab"/>
    <n v="9"/>
    <n v="2"/>
    <n v="4808"/>
    <s v="Disputed"/>
  </r>
  <r>
    <d v="2024-06-25T00:00:00"/>
    <x v="6"/>
    <s v="Car"/>
    <x v="5"/>
    <n v="3268"/>
    <b v="1"/>
    <s v="Rainy"/>
    <s v="Night"/>
    <s v="Under Construction"/>
    <s v="26-35"/>
    <n v="0"/>
    <s v="High"/>
    <s v="Valid"/>
    <b v="0"/>
    <n v="112"/>
    <s v="Punjab"/>
    <n v="4"/>
    <n v="1"/>
    <n v="1985"/>
    <s v="Unpaid"/>
  </r>
  <r>
    <d v="2024-06-25T00:00:00"/>
    <x v="6"/>
    <s v="Auto-rickshaw"/>
    <x v="5"/>
    <n v="2255"/>
    <b v="1"/>
    <s v="Clear"/>
    <s v="Afternoon"/>
    <s v="Under Construction"/>
    <s v="50+"/>
    <n v="0"/>
    <s v="Low"/>
    <s v="Expired"/>
    <b v="1"/>
    <n v="52"/>
    <s v="Delhi"/>
    <n v="9"/>
    <n v="2"/>
    <n v="1429"/>
    <s v="Unpaid"/>
  </r>
  <r>
    <d v="2024-06-25T00:00:00"/>
    <x v="9"/>
    <s v="Auto-rickshaw"/>
    <x v="3"/>
    <n v="2158"/>
    <b v="0"/>
    <s v="Foggy"/>
    <s v="Evening"/>
    <s v="Wet"/>
    <s v="18-25"/>
    <n v="5"/>
    <s v="Medium"/>
    <s v="Learner"/>
    <b v="0"/>
    <n v="13"/>
    <s v="Uttar Pradesh"/>
    <n v="6"/>
    <n v="3"/>
    <n v="3122"/>
    <s v="Disputed"/>
  </r>
  <r>
    <d v="2024-06-25T00:00:00"/>
    <x v="2"/>
    <s v="Bike"/>
    <x v="3"/>
    <n v="3001"/>
    <b v="0"/>
    <s v="Foggy"/>
    <s v="Night"/>
    <s v="Dry"/>
    <s v="26-35"/>
    <n v="1"/>
    <s v="Low"/>
    <s v="Suspended"/>
    <b v="1"/>
    <n v="64"/>
    <s v="Punjab"/>
    <n v="5"/>
    <n v="2"/>
    <n v="1249"/>
    <s v="Paid"/>
  </r>
  <r>
    <d v="2024-06-26T00:00:00"/>
    <x v="5"/>
    <s v="Car"/>
    <x v="2"/>
    <n v="1325"/>
    <b v="0"/>
    <s v="Foggy"/>
    <s v="Night"/>
    <s v="Dry"/>
    <s v="26-35"/>
    <n v="5"/>
    <s v="Low"/>
    <s v="Expired"/>
    <b v="0"/>
    <n v="114"/>
    <s v="Uttar Pradesh"/>
    <n v="10"/>
    <n v="2"/>
    <n v="721"/>
    <s v="Unpaid"/>
  </r>
  <r>
    <d v="2024-06-26T00:00:00"/>
    <x v="12"/>
    <s v="Auto-rickshaw"/>
    <x v="3"/>
    <n v="3725"/>
    <b v="0"/>
    <s v="Stormy"/>
    <s v="Evening"/>
    <s v="Slippery"/>
    <s v="26-35"/>
    <n v="1"/>
    <s v="Low"/>
    <s v="Valid"/>
    <b v="0"/>
    <n v="79"/>
    <s v="Delhi"/>
    <n v="9"/>
    <n v="2"/>
    <n v="870"/>
    <s v="Paid"/>
  </r>
  <r>
    <d v="2024-06-26T00:00:00"/>
    <x v="9"/>
    <s v="Truck"/>
    <x v="1"/>
    <n v="1000"/>
    <b v="0"/>
    <s v="Foggy"/>
    <s v="Night"/>
    <s v="Slippery"/>
    <s v="26-35"/>
    <n v="0"/>
    <s v="Medium"/>
    <s v="Learner"/>
    <b v="0"/>
    <n v="54"/>
    <s v="Haryana"/>
    <n v="6"/>
    <n v="1"/>
    <n v="3748"/>
    <s v="Disputed"/>
  </r>
  <r>
    <d v="2024-06-26T00:00:00"/>
    <x v="8"/>
    <s v="Bike"/>
    <x v="3"/>
    <n v="2874"/>
    <b v="0"/>
    <s v="Stormy"/>
    <s v="Evening"/>
    <s v="Wet"/>
    <s v="36-50"/>
    <n v="0"/>
    <s v="High"/>
    <s v="Valid"/>
    <b v="0"/>
    <n v="7"/>
    <s v="Delhi"/>
    <n v="6"/>
    <n v="1"/>
    <n v="3394"/>
    <s v="Unpaid"/>
  </r>
  <r>
    <d v="2024-06-26T00:00:00"/>
    <x v="10"/>
    <s v="Car"/>
    <x v="2"/>
    <n v="1593"/>
    <b v="1"/>
    <s v="Clear"/>
    <s v="Evening"/>
    <s v="Wet"/>
    <s v="26-35"/>
    <n v="3"/>
    <s v="Medium"/>
    <s v="Valid"/>
    <b v="0"/>
    <n v="71"/>
    <s v="Haryana"/>
    <n v="6"/>
    <n v="1"/>
    <n v="1376"/>
    <s v="Paid"/>
  </r>
  <r>
    <d v="2024-06-27T00:00:00"/>
    <x v="1"/>
    <s v="Car"/>
    <x v="1"/>
    <n v="1000"/>
    <b v="0"/>
    <s v="Cloudy"/>
    <s v="Afternoon"/>
    <s v="Slippery"/>
    <s v="50+"/>
    <n v="2"/>
    <s v="High"/>
    <s v="Suspended"/>
    <b v="0"/>
    <n v="119"/>
    <s v="Rajasthan"/>
    <n v="9"/>
    <n v="1"/>
    <n v="763"/>
    <s v="Paid"/>
  </r>
  <r>
    <d v="2024-06-27T00:00:00"/>
    <x v="12"/>
    <s v="Bike"/>
    <x v="0"/>
    <n v="1000"/>
    <b v="0"/>
    <s v="Stormy"/>
    <s v="Afternoon"/>
    <s v="Slippery"/>
    <s v="50+"/>
    <n v="0"/>
    <s v="Low"/>
    <s v="Learner"/>
    <b v="0"/>
    <n v="4"/>
    <s v="Uttar Pradesh"/>
    <n v="8"/>
    <n v="3"/>
    <n v="598"/>
    <s v="Paid"/>
  </r>
  <r>
    <d v="2024-06-27T00:00:00"/>
    <x v="11"/>
    <s v="Car"/>
    <x v="4"/>
    <n v="5282"/>
    <b v="0"/>
    <s v="Stormy"/>
    <s v="Evening"/>
    <s v="Dry"/>
    <s v="18-25"/>
    <n v="1"/>
    <s v="Medium"/>
    <s v="Learner"/>
    <b v="1"/>
    <n v="24"/>
    <s v="Uttar Pradesh"/>
    <n v="3"/>
    <n v="3"/>
    <n v="4391"/>
    <s v="Disputed"/>
  </r>
  <r>
    <d v="2024-06-27T00:00:00"/>
    <x v="11"/>
    <s v="Bus"/>
    <x v="1"/>
    <n v="1000"/>
    <b v="0"/>
    <s v="Stormy"/>
    <s v="Night"/>
    <s v="Dry"/>
    <s v="26-35"/>
    <n v="3"/>
    <s v="Medium"/>
    <s v="Valid"/>
    <b v="1"/>
    <n v="58"/>
    <s v="Delhi"/>
    <n v="1"/>
    <n v="2"/>
    <n v="3201"/>
    <s v="Unpaid"/>
  </r>
  <r>
    <d v="2024-06-28T00:00:00"/>
    <x v="0"/>
    <s v="Car"/>
    <x v="1"/>
    <n v="1000"/>
    <b v="0"/>
    <s v="Cloudy"/>
    <s v="Afternoon"/>
    <s v="Wet"/>
    <s v="36-50"/>
    <n v="2"/>
    <s v="Low"/>
    <s v="Learner"/>
    <b v="1"/>
    <n v="24"/>
    <s v="Haryana"/>
    <n v="4"/>
    <n v="3"/>
    <n v="4220"/>
    <s v="Disputed"/>
  </r>
  <r>
    <d v="2024-06-28T00:00:00"/>
    <x v="1"/>
    <s v="Bike"/>
    <x v="3"/>
    <n v="2386"/>
    <b v="1"/>
    <s v="Stormy"/>
    <s v="Evening"/>
    <s v="Under Construction"/>
    <s v="26-35"/>
    <n v="2"/>
    <s v="High"/>
    <s v="Learner"/>
    <b v="0"/>
    <n v="52"/>
    <s v="Uttar Pradesh"/>
    <n v="9"/>
    <n v="1"/>
    <n v="1361"/>
    <s v="Unpaid"/>
  </r>
  <r>
    <d v="2024-06-28T00:00:00"/>
    <x v="7"/>
    <s v="Truck"/>
    <x v="2"/>
    <n v="2062"/>
    <b v="1"/>
    <s v="Stormy"/>
    <s v="Morning"/>
    <s v="Wet"/>
    <s v="26-35"/>
    <n v="5"/>
    <s v="Low"/>
    <s v="Expired"/>
    <b v="0"/>
    <n v="113"/>
    <s v="Haryana"/>
    <n v="6"/>
    <n v="3"/>
    <n v="976"/>
    <s v="Disputed"/>
  </r>
  <r>
    <d v="2024-07-01T00:00:00"/>
    <x v="1"/>
    <s v="Bus"/>
    <x v="2"/>
    <n v="3787"/>
    <b v="1"/>
    <s v="Foggy"/>
    <s v="Morning"/>
    <s v="Slippery"/>
    <s v="26-35"/>
    <n v="4"/>
    <s v="High"/>
    <s v="Expired"/>
    <b v="1"/>
    <n v="24"/>
    <s v="Haryana"/>
    <n v="3"/>
    <n v="2"/>
    <n v="3284"/>
    <s v="Unpaid"/>
  </r>
  <r>
    <d v="2024-07-01T00:00:00"/>
    <x v="2"/>
    <s v="Truck"/>
    <x v="1"/>
    <n v="1000"/>
    <b v="1"/>
    <s v="Clear"/>
    <s v="Night"/>
    <s v="Wet"/>
    <s v="36-50"/>
    <n v="2"/>
    <s v="Low"/>
    <s v="Learner"/>
    <b v="0"/>
    <n v="76"/>
    <s v="Punjab"/>
    <n v="1"/>
    <n v="1"/>
    <n v="3443"/>
    <s v="Unpaid"/>
  </r>
  <r>
    <d v="2024-07-01T00:00:00"/>
    <x v="8"/>
    <s v="Auto-rickshaw"/>
    <x v="4"/>
    <n v="7471"/>
    <b v="0"/>
    <s v="Foggy"/>
    <s v="Evening"/>
    <s v="Slippery"/>
    <s v="18-25"/>
    <n v="4"/>
    <s v="Low"/>
    <s v="Expired"/>
    <b v="1"/>
    <n v="56"/>
    <s v="Haryana"/>
    <n v="9"/>
    <n v="1"/>
    <n v="3439"/>
    <s v="Paid"/>
  </r>
  <r>
    <d v="2024-07-02T00:00:00"/>
    <x v="4"/>
    <s v="Auto-rickshaw"/>
    <x v="1"/>
    <n v="1000"/>
    <b v="0"/>
    <s v="Foggy"/>
    <s v="Afternoon"/>
    <s v="Dry"/>
    <s v="18-25"/>
    <n v="0"/>
    <s v="Medium"/>
    <s v="Expired"/>
    <b v="1"/>
    <n v="77"/>
    <s v="Delhi"/>
    <n v="5"/>
    <n v="2"/>
    <n v="2011"/>
    <s v="Unpaid"/>
  </r>
  <r>
    <d v="2024-07-02T00:00:00"/>
    <x v="1"/>
    <s v="Car"/>
    <x v="1"/>
    <n v="1000"/>
    <b v="0"/>
    <s v="Cloudy"/>
    <s v="Night"/>
    <s v="Wet"/>
    <s v="50+"/>
    <n v="2"/>
    <s v="Medium"/>
    <s v="Learner"/>
    <b v="1"/>
    <n v="24"/>
    <s v="Delhi"/>
    <n v="4"/>
    <n v="3"/>
    <n v="4062"/>
    <s v="Disputed"/>
  </r>
  <r>
    <d v="2024-07-02T00:00:00"/>
    <x v="3"/>
    <s v="Bike"/>
    <x v="2"/>
    <n v="4403"/>
    <b v="1"/>
    <s v="Foggy"/>
    <s v="Afternoon"/>
    <s v="Under Construction"/>
    <s v="36-50"/>
    <n v="3"/>
    <s v="Medium"/>
    <s v="Suspended"/>
    <b v="1"/>
    <n v="52"/>
    <s v="Rajasthan"/>
    <n v="9"/>
    <n v="3"/>
    <n v="1006"/>
    <s v="Paid"/>
  </r>
  <r>
    <d v="2024-07-03T00:00:00"/>
    <x v="13"/>
    <s v="Auto-rickshaw"/>
    <x v="1"/>
    <n v="1000"/>
    <b v="0"/>
    <s v="Foggy"/>
    <s v="Evening"/>
    <s v="Dry"/>
    <s v="50+"/>
    <n v="0"/>
    <s v="Medium"/>
    <s v="Learner"/>
    <b v="1"/>
    <n v="16"/>
    <s v="Rajasthan"/>
    <n v="2"/>
    <n v="2"/>
    <n v="1347"/>
    <s v="Disputed"/>
  </r>
  <r>
    <d v="2024-07-03T00:00:00"/>
    <x v="5"/>
    <s v="Bike"/>
    <x v="4"/>
    <n v="5856"/>
    <b v="0"/>
    <s v="Cloudy"/>
    <s v="Morning"/>
    <s v="Slippery"/>
    <s v="26-35"/>
    <n v="2"/>
    <s v="Medium"/>
    <s v="Suspended"/>
    <b v="0"/>
    <n v="17"/>
    <s v="Haryana"/>
    <n v="4"/>
    <n v="2"/>
    <n v="1748"/>
    <s v="Unpaid"/>
  </r>
  <r>
    <d v="2024-07-04T00:00:00"/>
    <x v="6"/>
    <s v="Bus"/>
    <x v="4"/>
    <n v="9452"/>
    <b v="0"/>
    <s v="Cloudy"/>
    <s v="Morning"/>
    <s v="Wet"/>
    <s v="26-35"/>
    <n v="5"/>
    <s v="Low"/>
    <s v="Suspended"/>
    <b v="0"/>
    <n v="41"/>
    <s v="Haryana"/>
    <n v="6"/>
    <n v="2"/>
    <n v="4316"/>
    <s v="Disputed"/>
  </r>
  <r>
    <d v="2024-07-04T00:00:00"/>
    <x v="1"/>
    <s v="Truck"/>
    <x v="2"/>
    <n v="1885"/>
    <b v="0"/>
    <s v="Cloudy"/>
    <s v="Afternoon"/>
    <s v="Under Construction"/>
    <s v="50+"/>
    <n v="1"/>
    <s v="Low"/>
    <s v="Valid"/>
    <b v="0"/>
    <n v="57"/>
    <s v="Uttar Pradesh"/>
    <n v="2"/>
    <n v="3"/>
    <n v="2752"/>
    <s v="Disputed"/>
  </r>
  <r>
    <d v="2024-07-04T00:00:00"/>
    <x v="12"/>
    <s v="Car"/>
    <x v="5"/>
    <n v="3584"/>
    <b v="0"/>
    <s v="Clear"/>
    <s v="Morning"/>
    <s v="Slippery"/>
    <s v="36-50"/>
    <n v="4"/>
    <s v="Medium"/>
    <s v="Learner"/>
    <b v="0"/>
    <n v="104"/>
    <s v="Haryana"/>
    <n v="10"/>
    <n v="1"/>
    <n v="838"/>
    <s v="Disputed"/>
  </r>
  <r>
    <d v="2024-07-05T00:00:00"/>
    <x v="8"/>
    <s v="Bus"/>
    <x v="1"/>
    <n v="1000"/>
    <b v="0"/>
    <s v="Clear"/>
    <s v="Morning"/>
    <s v="Dry"/>
    <s v="26-35"/>
    <n v="2"/>
    <s v="Low"/>
    <s v="Suspended"/>
    <b v="1"/>
    <n v="70"/>
    <s v="Rajasthan"/>
    <n v="10"/>
    <n v="1"/>
    <n v="3087"/>
    <s v="Paid"/>
  </r>
  <r>
    <d v="2024-07-06T00:00:00"/>
    <x v="8"/>
    <s v="Bus"/>
    <x v="3"/>
    <n v="3725"/>
    <b v="1"/>
    <s v="Clear"/>
    <s v="Morning"/>
    <s v="Dry"/>
    <s v="36-50"/>
    <n v="1"/>
    <s v="High"/>
    <s v="Valid"/>
    <b v="0"/>
    <n v="31"/>
    <s v="Delhi"/>
    <n v="7"/>
    <n v="1"/>
    <n v="1819"/>
    <s v="Unpaid"/>
  </r>
  <r>
    <d v="2024-07-06T00:00:00"/>
    <x v="1"/>
    <s v="Auto-rickshaw"/>
    <x v="2"/>
    <n v="4076"/>
    <b v="0"/>
    <s v="Rainy"/>
    <s v="Night"/>
    <s v="Dry"/>
    <s v="36-50"/>
    <n v="1"/>
    <s v="Low"/>
    <s v="Suspended"/>
    <b v="0"/>
    <n v="5"/>
    <s v="Delhi"/>
    <n v="8"/>
    <n v="2"/>
    <n v="4100"/>
    <s v="Disputed"/>
  </r>
  <r>
    <d v="2024-07-06T00:00:00"/>
    <x v="0"/>
    <s v="Truck"/>
    <x v="5"/>
    <n v="4915"/>
    <b v="0"/>
    <s v="Rainy"/>
    <s v="Afternoon"/>
    <s v="Slippery"/>
    <s v="36-50"/>
    <n v="3"/>
    <s v="Low"/>
    <s v="Suspended"/>
    <b v="0"/>
    <n v="7"/>
    <s v="Uttar Pradesh"/>
    <n v="1"/>
    <n v="2"/>
    <n v="3719"/>
    <s v="Disputed"/>
  </r>
  <r>
    <d v="2024-07-07T00:00:00"/>
    <x v="9"/>
    <s v="Truck"/>
    <x v="5"/>
    <n v="2274"/>
    <b v="1"/>
    <s v="Foggy"/>
    <s v="Evening"/>
    <s v="Wet"/>
    <s v="50+"/>
    <n v="3"/>
    <s v="High"/>
    <s v="Expired"/>
    <b v="1"/>
    <n v="36"/>
    <s v="Rajasthan"/>
    <n v="10"/>
    <n v="3"/>
    <n v="4605"/>
    <s v="Paid"/>
  </r>
  <r>
    <d v="2024-07-07T00:00:00"/>
    <x v="0"/>
    <s v="Auto-rickshaw"/>
    <x v="4"/>
    <n v="6606"/>
    <b v="0"/>
    <s v="Rainy"/>
    <s v="Night"/>
    <s v="Under Construction"/>
    <s v="36-50"/>
    <n v="0"/>
    <s v="Low"/>
    <s v="Expired"/>
    <b v="0"/>
    <n v="13"/>
    <s v="Rajasthan"/>
    <n v="10"/>
    <n v="1"/>
    <n v="764"/>
    <s v="Disputed"/>
  </r>
  <r>
    <d v="2024-07-07T00:00:00"/>
    <x v="6"/>
    <s v="Car"/>
    <x v="2"/>
    <n v="4085"/>
    <b v="1"/>
    <s v="Clear"/>
    <s v="Morning"/>
    <s v="Dry"/>
    <s v="36-50"/>
    <n v="5"/>
    <s v="Low"/>
    <s v="Learner"/>
    <b v="1"/>
    <n v="101"/>
    <s v="Rajasthan"/>
    <n v="2"/>
    <n v="1"/>
    <n v="830"/>
    <s v="Paid"/>
  </r>
  <r>
    <d v="2024-07-08T00:00:00"/>
    <x v="14"/>
    <s v="Auto-rickshaw"/>
    <x v="5"/>
    <n v="5378"/>
    <b v="0"/>
    <s v="Cloudy"/>
    <s v="Afternoon"/>
    <s v="Slippery"/>
    <s v="36-50"/>
    <n v="3"/>
    <s v="Medium"/>
    <s v="Expired"/>
    <b v="1"/>
    <n v="24"/>
    <s v="Punjab"/>
    <n v="4"/>
    <n v="1"/>
    <n v="3865"/>
    <s v="Paid"/>
  </r>
  <r>
    <d v="2024-07-08T00:00:00"/>
    <x v="0"/>
    <s v="Bus"/>
    <x v="1"/>
    <n v="1000"/>
    <b v="0"/>
    <s v="Rainy"/>
    <s v="Afternoon"/>
    <s v="Under Construction"/>
    <s v="36-50"/>
    <n v="4"/>
    <s v="High"/>
    <s v="Learner"/>
    <b v="1"/>
    <n v="42"/>
    <s v="Rajasthan"/>
    <n v="6"/>
    <n v="3"/>
    <n v="564"/>
    <s v="Paid"/>
  </r>
  <r>
    <d v="2024-07-09T00:00:00"/>
    <x v="1"/>
    <s v="Truck"/>
    <x v="5"/>
    <n v="2722"/>
    <b v="0"/>
    <s v="Cloudy"/>
    <s v="Evening"/>
    <s v="Slippery"/>
    <s v="36-50"/>
    <n v="2"/>
    <s v="High"/>
    <s v="Suspended"/>
    <b v="0"/>
    <n v="18"/>
    <s v="Rajasthan"/>
    <n v="5"/>
    <n v="1"/>
    <n v="2004"/>
    <s v="Unpaid"/>
  </r>
  <r>
    <d v="2024-07-09T00:00:00"/>
    <x v="12"/>
    <s v="Car"/>
    <x v="1"/>
    <n v="1000"/>
    <b v="0"/>
    <s v="Clear"/>
    <s v="Night"/>
    <s v="Dry"/>
    <s v="36-50"/>
    <n v="0"/>
    <s v="High"/>
    <s v="Suspended"/>
    <b v="0"/>
    <n v="105"/>
    <s v="Uttar Pradesh"/>
    <n v="4"/>
    <n v="2"/>
    <n v="1557"/>
    <s v="Unpaid"/>
  </r>
  <r>
    <d v="2024-07-09T00:00:00"/>
    <x v="11"/>
    <s v="Car"/>
    <x v="4"/>
    <n v="9345"/>
    <b v="1"/>
    <s v="Stormy"/>
    <s v="Morning"/>
    <s v="Slippery"/>
    <s v="36-50"/>
    <n v="4"/>
    <s v="High"/>
    <s v="Learner"/>
    <b v="0"/>
    <n v="18"/>
    <s v="Uttar Pradesh"/>
    <n v="3"/>
    <n v="3"/>
    <n v="3125"/>
    <s v="Disputed"/>
  </r>
  <r>
    <d v="2024-07-10T00:00:00"/>
    <x v="12"/>
    <s v="Truck"/>
    <x v="4"/>
    <n v="5562"/>
    <b v="0"/>
    <s v="Clear"/>
    <s v="Evening"/>
    <s v="Under Construction"/>
    <s v="26-35"/>
    <n v="4"/>
    <s v="Medium"/>
    <s v="Suspended"/>
    <b v="0"/>
    <n v="77"/>
    <s v="Haryana"/>
    <n v="2"/>
    <n v="1"/>
    <n v="2046"/>
    <s v="Paid"/>
  </r>
  <r>
    <d v="2024-07-10T00:00:00"/>
    <x v="8"/>
    <s v="Auto-rickshaw"/>
    <x v="4"/>
    <n v="9264"/>
    <b v="1"/>
    <s v="Rainy"/>
    <s v="Morning"/>
    <s v="Slippery"/>
    <s v="26-35"/>
    <n v="5"/>
    <s v="High"/>
    <s v="Learner"/>
    <b v="0"/>
    <n v="111"/>
    <s v="Delhi"/>
    <n v="3"/>
    <n v="1"/>
    <n v="1740"/>
    <s v="Disputed"/>
  </r>
  <r>
    <d v="2024-07-10T00:00:00"/>
    <x v="4"/>
    <s v="Car"/>
    <x v="4"/>
    <n v="9857"/>
    <b v="0"/>
    <s v="Foggy"/>
    <s v="Evening"/>
    <s v="Wet"/>
    <s v="18-25"/>
    <n v="5"/>
    <s v="Medium"/>
    <s v="Suspended"/>
    <b v="1"/>
    <n v="83"/>
    <s v="Delhi"/>
    <n v="10"/>
    <n v="2"/>
    <n v="977"/>
    <s v="Disputed"/>
  </r>
  <r>
    <d v="2024-07-11T00:00:00"/>
    <x v="1"/>
    <s v="Bike"/>
    <x v="0"/>
    <n v="1000"/>
    <b v="1"/>
    <s v="Cloudy"/>
    <s v="Afternoon"/>
    <s v="Under Construction"/>
    <s v="18-25"/>
    <n v="1"/>
    <s v="High"/>
    <s v="Valid"/>
    <b v="0"/>
    <n v="31"/>
    <s v="Haryana"/>
    <n v="2"/>
    <n v="2"/>
    <n v="2737"/>
    <s v="Paid"/>
  </r>
  <r>
    <d v="2024-07-11T00:00:00"/>
    <x v="9"/>
    <s v="Car"/>
    <x v="1"/>
    <n v="1000"/>
    <b v="1"/>
    <s v="Foggy"/>
    <s v="Night"/>
    <s v="Dry"/>
    <s v="26-35"/>
    <n v="5"/>
    <s v="Low"/>
    <s v="Learner"/>
    <b v="1"/>
    <n v="71"/>
    <s v="Uttar Pradesh"/>
    <n v="2"/>
    <n v="1"/>
    <n v="637"/>
    <s v="Unpaid"/>
  </r>
  <r>
    <d v="2024-07-11T00:00:00"/>
    <x v="0"/>
    <s v="Car"/>
    <x v="1"/>
    <n v="1000"/>
    <b v="0"/>
    <s v="Stormy"/>
    <s v="Afternoon"/>
    <s v="Slippery"/>
    <s v="36-50"/>
    <n v="1"/>
    <s v="Medium"/>
    <s v="Learner"/>
    <b v="1"/>
    <n v="116"/>
    <s v="Haryana"/>
    <n v="6"/>
    <n v="3"/>
    <n v="3416"/>
    <s v="Unpaid"/>
  </r>
  <r>
    <d v="2024-07-11T00:00:00"/>
    <x v="10"/>
    <s v="Car"/>
    <x v="2"/>
    <n v="1471"/>
    <b v="0"/>
    <s v="Clear"/>
    <s v="Afternoon"/>
    <s v="Slippery"/>
    <s v="36-50"/>
    <n v="3"/>
    <s v="High"/>
    <s v="Suspended"/>
    <b v="0"/>
    <n v="5"/>
    <s v="Haryana"/>
    <n v="3"/>
    <n v="1"/>
    <n v="876"/>
    <s v="Unpaid"/>
  </r>
  <r>
    <d v="2024-07-12T00:00:00"/>
    <x v="13"/>
    <s v="Car"/>
    <x v="2"/>
    <n v="3483"/>
    <b v="1"/>
    <s v="Clear"/>
    <s v="Morning"/>
    <s v="Dry"/>
    <s v="50+"/>
    <n v="4"/>
    <s v="Medium"/>
    <s v="Valid"/>
    <b v="0"/>
    <n v="7"/>
    <s v="Haryana"/>
    <n v="1"/>
    <n v="2"/>
    <n v="716"/>
    <s v="Paid"/>
  </r>
  <r>
    <d v="2024-07-13T00:00:00"/>
    <x v="9"/>
    <s v="Truck"/>
    <x v="3"/>
    <n v="3910"/>
    <b v="1"/>
    <s v="Rainy"/>
    <s v="Evening"/>
    <s v="Dry"/>
    <s v="18-25"/>
    <n v="2"/>
    <s v="High"/>
    <s v="Valid"/>
    <b v="1"/>
    <n v="27"/>
    <s v="Rajasthan"/>
    <n v="2"/>
    <n v="2"/>
    <n v="4390"/>
    <s v="Unpaid"/>
  </r>
  <r>
    <d v="2024-07-13T00:00:00"/>
    <x v="0"/>
    <s v="Auto-rickshaw"/>
    <x v="1"/>
    <n v="1000"/>
    <b v="0"/>
    <s v="Rainy"/>
    <s v="Evening"/>
    <s v="Dry"/>
    <s v="18-25"/>
    <n v="5"/>
    <s v="High"/>
    <s v="Suspended"/>
    <b v="1"/>
    <n v="71"/>
    <s v="Punjab"/>
    <n v="1"/>
    <n v="3"/>
    <n v="4511"/>
    <s v="Unpaid"/>
  </r>
  <r>
    <d v="2024-07-13T00:00:00"/>
    <x v="11"/>
    <s v="Bus"/>
    <x v="5"/>
    <n v="4627"/>
    <b v="0"/>
    <s v="Stormy"/>
    <s v="Night"/>
    <s v="Under Construction"/>
    <s v="18-25"/>
    <n v="5"/>
    <s v="Low"/>
    <s v="Expired"/>
    <b v="1"/>
    <n v="29"/>
    <s v="Haryana"/>
    <n v="5"/>
    <n v="2"/>
    <n v="3367"/>
    <s v="Paid"/>
  </r>
  <r>
    <d v="2024-07-14T00:00:00"/>
    <x v="12"/>
    <s v="Truck"/>
    <x v="4"/>
    <n v="9744"/>
    <b v="0"/>
    <s v="Foggy"/>
    <s v="Morning"/>
    <s v="Under Construction"/>
    <s v="18-25"/>
    <n v="5"/>
    <s v="Medium"/>
    <s v="Suspended"/>
    <b v="0"/>
    <n v="115"/>
    <s v="Rajasthan"/>
    <n v="9"/>
    <n v="1"/>
    <n v="2739"/>
    <s v="Unpaid"/>
  </r>
  <r>
    <d v="2024-07-15T00:00:00"/>
    <x v="12"/>
    <s v="Bike"/>
    <x v="4"/>
    <n v="9051"/>
    <b v="0"/>
    <s v="Rainy"/>
    <s v="Afternoon"/>
    <s v="Slippery"/>
    <s v="18-25"/>
    <n v="2"/>
    <s v="High"/>
    <s v="Learner"/>
    <b v="0"/>
    <n v="55"/>
    <s v="Punjab"/>
    <n v="9"/>
    <n v="2"/>
    <n v="4410"/>
    <s v="Disputed"/>
  </r>
  <r>
    <d v="2024-07-15T00:00:00"/>
    <x v="2"/>
    <s v="Auto-rickshaw"/>
    <x v="2"/>
    <n v="1247"/>
    <b v="0"/>
    <s v="Rainy"/>
    <s v="Afternoon"/>
    <s v="Slippery"/>
    <s v="50+"/>
    <n v="3"/>
    <s v="Low"/>
    <s v="Learner"/>
    <b v="1"/>
    <n v="6"/>
    <s v="Rajasthan"/>
    <n v="4"/>
    <n v="2"/>
    <n v="2385"/>
    <s v="Paid"/>
  </r>
  <r>
    <d v="2024-07-15T00:00:00"/>
    <x v="8"/>
    <s v="Car"/>
    <x v="1"/>
    <n v="1000"/>
    <b v="1"/>
    <s v="Stormy"/>
    <s v="Morning"/>
    <s v="Slippery"/>
    <s v="50+"/>
    <n v="0"/>
    <s v="Medium"/>
    <s v="Valid"/>
    <b v="0"/>
    <n v="79"/>
    <s v="Rajasthan"/>
    <n v="3"/>
    <n v="3"/>
    <n v="1436"/>
    <s v="Paid"/>
  </r>
  <r>
    <d v="2024-07-16T00:00:00"/>
    <x v="13"/>
    <s v="Truck"/>
    <x v="3"/>
    <n v="2307"/>
    <b v="1"/>
    <s v="Cloudy"/>
    <s v="Morning"/>
    <s v="Under Construction"/>
    <s v="50+"/>
    <n v="1"/>
    <s v="Medium"/>
    <s v="Suspended"/>
    <b v="1"/>
    <n v="75"/>
    <s v="Rajasthan"/>
    <n v="5"/>
    <n v="1"/>
    <n v="2446"/>
    <s v="Unpaid"/>
  </r>
  <r>
    <d v="2024-07-16T00:00:00"/>
    <x v="5"/>
    <s v="Bus"/>
    <x v="3"/>
    <n v="1583"/>
    <b v="1"/>
    <s v="Cloudy"/>
    <s v="Night"/>
    <s v="Wet"/>
    <s v="50+"/>
    <n v="22"/>
    <s v="High"/>
    <s v="Suspended"/>
    <b v="0"/>
    <n v="39"/>
    <s v="Rajasthan"/>
    <n v="7"/>
    <n v="3"/>
    <n v="908"/>
    <s v="Paid"/>
  </r>
  <r>
    <d v="2024-07-17T00:00:00"/>
    <x v="11"/>
    <s v="Truck"/>
    <x v="4"/>
    <n v="6948"/>
    <b v="0"/>
    <s v="Stormy"/>
    <s v="Morning"/>
    <s v="Wet"/>
    <s v="26-35"/>
    <n v="1"/>
    <s v="Low"/>
    <s v="Learner"/>
    <b v="1"/>
    <n v="22"/>
    <s v="Haryana"/>
    <n v="2"/>
    <n v="1"/>
    <n v="4062"/>
    <s v="Paid"/>
  </r>
  <r>
    <d v="2024-07-17T00:00:00"/>
    <x v="14"/>
    <s v="Bike"/>
    <x v="0"/>
    <n v="1000"/>
    <b v="0"/>
    <s v="Cloudy"/>
    <s v="Evening"/>
    <s v="Slippery"/>
    <s v="36-50"/>
    <n v="2"/>
    <s v="High"/>
    <s v="Learner"/>
    <b v="1"/>
    <n v="69"/>
    <s v="Punjab"/>
    <n v="7"/>
    <n v="2"/>
    <n v="1158"/>
    <s v="Paid"/>
  </r>
  <r>
    <d v="2024-07-17T00:00:00"/>
    <x v="1"/>
    <s v="Truck"/>
    <x v="3"/>
    <n v="1591"/>
    <b v="0"/>
    <s v="Clear"/>
    <s v="Afternoon"/>
    <s v="Under Construction"/>
    <s v="18-25"/>
    <n v="0"/>
    <s v="Low"/>
    <s v="Valid"/>
    <b v="1"/>
    <n v="9"/>
    <s v="Haryana"/>
    <n v="10"/>
    <n v="3"/>
    <n v="3282"/>
    <s v="Disputed"/>
  </r>
  <r>
    <d v="2024-07-18T00:00:00"/>
    <x v="13"/>
    <s v="Car"/>
    <x v="4"/>
    <n v="9886"/>
    <b v="0"/>
    <s v="Stormy"/>
    <s v="Morning"/>
    <s v="Slippery"/>
    <s v="26-35"/>
    <n v="2"/>
    <s v="High"/>
    <s v="Suspended"/>
    <b v="0"/>
    <n v="119"/>
    <s v="Rajasthan"/>
    <n v="1"/>
    <n v="2"/>
    <n v="3914"/>
    <s v="Unpaid"/>
  </r>
  <r>
    <d v="2024-07-19T00:00:00"/>
    <x v="5"/>
    <s v="Truck"/>
    <x v="4"/>
    <n v="5701"/>
    <b v="0"/>
    <s v="Clear"/>
    <s v="Morning"/>
    <s v="Under Construction"/>
    <s v="50+"/>
    <n v="1"/>
    <s v="Low"/>
    <s v="Expired"/>
    <b v="1"/>
    <n v="83"/>
    <s v="Punjab"/>
    <n v="10"/>
    <n v="1"/>
    <n v="4799"/>
    <s v="Paid"/>
  </r>
  <r>
    <d v="2024-07-19T00:00:00"/>
    <x v="8"/>
    <s v="Bus"/>
    <x v="5"/>
    <n v="7565"/>
    <b v="0"/>
    <s v="Clear"/>
    <s v="Evening"/>
    <s v="Slippery"/>
    <s v="36-50"/>
    <n v="2"/>
    <s v="Low"/>
    <s v="Expired"/>
    <b v="0"/>
    <n v="78"/>
    <s v="Punjab"/>
    <n v="9"/>
    <n v="1"/>
    <n v="1916"/>
    <s v="Unpaid"/>
  </r>
  <r>
    <d v="2024-07-19T00:00:00"/>
    <x v="14"/>
    <s v="Bus"/>
    <x v="1"/>
    <n v="5000"/>
    <b v="0"/>
    <s v="Stormy"/>
    <s v="Night"/>
    <s v="Under Construction"/>
    <s v="18-25"/>
    <n v="3"/>
    <s v="Low"/>
    <s v="Suspended"/>
    <b v="0"/>
    <n v="55"/>
    <s v="Haryana"/>
    <n v="1"/>
    <n v="3"/>
    <n v="1040"/>
    <s v="Disputed"/>
  </r>
  <r>
    <d v="2024-07-19T00:00:00"/>
    <x v="7"/>
    <s v="Bus"/>
    <x v="3"/>
    <n v="3767"/>
    <b v="0"/>
    <s v="Stormy"/>
    <s v="Afternoon"/>
    <s v="Slippery"/>
    <s v="26-35"/>
    <n v="5"/>
    <s v="Low"/>
    <s v="Expired"/>
    <b v="0"/>
    <n v="4"/>
    <s v="Rajasthan"/>
    <n v="6"/>
    <n v="3"/>
    <n v="2189"/>
    <s v="Paid"/>
  </r>
  <r>
    <d v="2024-07-20T00:00:00"/>
    <x v="2"/>
    <s v="Bike"/>
    <x v="5"/>
    <n v="2068"/>
    <b v="0"/>
    <s v="Foggy"/>
    <s v="Evening"/>
    <s v="Dry"/>
    <s v="50+"/>
    <n v="2"/>
    <s v="High"/>
    <s v="Valid"/>
    <b v="1"/>
    <n v="30"/>
    <s v="Uttar Pradesh"/>
    <n v="6"/>
    <n v="2"/>
    <n v="2121"/>
    <s v="Unpaid"/>
  </r>
  <r>
    <d v="2024-07-20T00:00:00"/>
    <x v="7"/>
    <s v="Auto-rickshaw"/>
    <x v="1"/>
    <n v="1000"/>
    <b v="0"/>
    <s v="Rainy"/>
    <s v="Night"/>
    <s v="Dry"/>
    <s v="26-35"/>
    <n v="0"/>
    <s v="Medium"/>
    <s v="Learner"/>
    <b v="1"/>
    <n v="36"/>
    <s v="Rajasthan"/>
    <n v="1"/>
    <n v="3"/>
    <n v="681"/>
    <s v="Unpaid"/>
  </r>
  <r>
    <d v="2024-07-20T00:00:00"/>
    <x v="9"/>
    <s v="Auto-rickshaw"/>
    <x v="1"/>
    <n v="1000"/>
    <b v="0"/>
    <s v="Foggy"/>
    <s v="Evening"/>
    <s v="Wet"/>
    <s v="26-35"/>
    <n v="2"/>
    <s v="Low"/>
    <s v="Expired"/>
    <b v="0"/>
    <n v="32"/>
    <s v="Haryana"/>
    <n v="3"/>
    <n v="2"/>
    <n v="4741"/>
    <s v="Unpaid"/>
  </r>
  <r>
    <d v="2024-07-20T00:00:00"/>
    <x v="14"/>
    <s v="Car"/>
    <x v="5"/>
    <n v="5495"/>
    <b v="0"/>
    <s v="Foggy"/>
    <s v="Night"/>
    <s v="Wet"/>
    <s v="50+"/>
    <n v="3"/>
    <s v="Low"/>
    <s v="Expired"/>
    <b v="1"/>
    <n v="119"/>
    <s v="Punjab"/>
    <n v="2"/>
    <n v="3"/>
    <n v="4488"/>
    <s v="Disputed"/>
  </r>
  <r>
    <d v="2024-07-21T00:00:00"/>
    <x v="5"/>
    <s v="Bus"/>
    <x v="3"/>
    <n v="3892"/>
    <b v="1"/>
    <s v="Foggy"/>
    <s v="Morning"/>
    <s v="Wet"/>
    <s v="36-50"/>
    <n v="4"/>
    <s v="Low"/>
    <s v="Expired"/>
    <b v="0"/>
    <n v="22"/>
    <s v="Punjab"/>
    <n v="10"/>
    <n v="2"/>
    <n v="2373"/>
    <s v="Disputed"/>
  </r>
  <r>
    <d v="2024-07-21T00:00:00"/>
    <x v="14"/>
    <s v="Bike"/>
    <x v="5"/>
    <n v="2089"/>
    <b v="1"/>
    <s v="Clear"/>
    <s v="Afternoon"/>
    <s v="Dry"/>
    <s v="18-25"/>
    <n v="2"/>
    <s v="Low"/>
    <s v="Expired"/>
    <b v="1"/>
    <n v="104"/>
    <s v="Uttar Pradesh"/>
    <n v="3"/>
    <n v="1"/>
    <n v="3595"/>
    <s v="Paid"/>
  </r>
  <r>
    <d v="2024-07-22T00:00:00"/>
    <x v="9"/>
    <s v="Auto-rickshaw"/>
    <x v="1"/>
    <n v="1000"/>
    <b v="0"/>
    <s v="Clear"/>
    <s v="Morning"/>
    <s v="Under Construction"/>
    <s v="26-35"/>
    <n v="1"/>
    <s v="Low"/>
    <s v="Valid"/>
    <b v="0"/>
    <n v="32"/>
    <s v="Punjab"/>
    <n v="1"/>
    <n v="3"/>
    <n v="2661"/>
    <s v="Disputed"/>
  </r>
  <r>
    <d v="2024-07-22T00:00:00"/>
    <x v="8"/>
    <s v="Bus"/>
    <x v="4"/>
    <n v="9205"/>
    <b v="0"/>
    <s v="Rainy"/>
    <s v="Evening"/>
    <s v="Wet"/>
    <s v="36-50"/>
    <n v="5"/>
    <s v="Medium"/>
    <s v="Suspended"/>
    <b v="0"/>
    <n v="36"/>
    <s v="Uttar Pradesh"/>
    <n v="1"/>
    <n v="2"/>
    <n v="3510"/>
    <s v="Unpaid"/>
  </r>
  <r>
    <d v="2024-07-23T00:00:00"/>
    <x v="1"/>
    <s v="Car"/>
    <x v="1"/>
    <n v="1000"/>
    <b v="0"/>
    <s v="Cloudy"/>
    <s v="Night"/>
    <s v="Wet"/>
    <s v="36-50"/>
    <n v="4"/>
    <s v="High"/>
    <s v="Expired"/>
    <b v="0"/>
    <n v="25"/>
    <s v="Haryana"/>
    <n v="9"/>
    <n v="3"/>
    <n v="616"/>
    <s v="Paid"/>
  </r>
  <r>
    <d v="2024-07-23T00:00:00"/>
    <x v="5"/>
    <s v="Bus"/>
    <x v="5"/>
    <n v="5304"/>
    <b v="1"/>
    <s v="Cloudy"/>
    <s v="Evening"/>
    <s v="Wet"/>
    <s v="50+"/>
    <n v="4"/>
    <s v="Medium"/>
    <s v="Suspended"/>
    <b v="0"/>
    <n v="62"/>
    <s v="Rajasthan"/>
    <n v="7"/>
    <n v="3"/>
    <n v="2916"/>
    <s v="Unpaid"/>
  </r>
  <r>
    <d v="2024-07-24T00:00:00"/>
    <x v="6"/>
    <s v="Bus"/>
    <x v="5"/>
    <n v="3921"/>
    <b v="1"/>
    <s v="Stormy"/>
    <s v="Night"/>
    <s v="Slippery"/>
    <s v="50+"/>
    <n v="5"/>
    <s v="Medium"/>
    <s v="Learner"/>
    <b v="0"/>
    <n v="114"/>
    <s v="Uttar Pradesh"/>
    <n v="9"/>
    <n v="3"/>
    <n v="1533"/>
    <s v="Paid"/>
  </r>
  <r>
    <d v="2024-07-25T00:00:00"/>
    <x v="4"/>
    <s v="Bus"/>
    <x v="1"/>
    <n v="1000"/>
    <b v="0"/>
    <s v="Stormy"/>
    <s v="Evening"/>
    <s v="Dry"/>
    <s v="18-25"/>
    <n v="0"/>
    <s v="Medium"/>
    <s v="Suspended"/>
    <b v="1"/>
    <n v="91"/>
    <s v="Punjab"/>
    <n v="6"/>
    <n v="3"/>
    <n v="1397"/>
    <s v="Unpaid"/>
  </r>
  <r>
    <d v="2024-07-25T00:00:00"/>
    <x v="8"/>
    <s v="Bike"/>
    <x v="4"/>
    <n v="6863"/>
    <b v="1"/>
    <s v="Foggy"/>
    <s v="Night"/>
    <s v="Dry"/>
    <s v="26-35"/>
    <n v="2"/>
    <s v="Medium"/>
    <s v="Expired"/>
    <b v="0"/>
    <n v="109"/>
    <s v="Uttar Pradesh"/>
    <n v="3"/>
    <n v="3"/>
    <n v="1629"/>
    <s v="Paid"/>
  </r>
  <r>
    <d v="2024-07-25T00:00:00"/>
    <x v="4"/>
    <s v="Car"/>
    <x v="4"/>
    <n v="6027"/>
    <b v="1"/>
    <s v="Foggy"/>
    <s v="Night"/>
    <s v="Slippery"/>
    <s v="36-50"/>
    <n v="4"/>
    <s v="Low"/>
    <s v="Expired"/>
    <b v="1"/>
    <n v="73"/>
    <s v="Punjab"/>
    <n v="8"/>
    <n v="1"/>
    <n v="3117"/>
    <s v="Unpaid"/>
  </r>
  <r>
    <d v="2024-07-26T00:00:00"/>
    <x v="2"/>
    <s v="Bus"/>
    <x v="3"/>
    <n v="3438"/>
    <b v="1"/>
    <s v="Stormy"/>
    <s v="Afternoon"/>
    <s v="Wet"/>
    <s v="36-50"/>
    <n v="4"/>
    <s v="Medium"/>
    <s v="Expired"/>
    <b v="1"/>
    <n v="31"/>
    <s v="Haryana"/>
    <n v="9"/>
    <n v="3"/>
    <n v="3377"/>
    <s v="Unpaid"/>
  </r>
  <r>
    <d v="2024-07-26T00:00:00"/>
    <x v="1"/>
    <s v="Bus"/>
    <x v="1"/>
    <n v="1000"/>
    <b v="1"/>
    <s v="Cloudy"/>
    <s v="Evening"/>
    <s v="Dry"/>
    <s v="50+"/>
    <n v="21"/>
    <s v="Low"/>
    <s v="Suspended"/>
    <b v="1"/>
    <n v="97"/>
    <s v="Rajasthan"/>
    <n v="5"/>
    <n v="2"/>
    <n v="3572"/>
    <s v="Paid"/>
  </r>
  <r>
    <d v="2024-07-26T00:00:00"/>
    <x v="10"/>
    <s v="Bike"/>
    <x v="4"/>
    <n v="8166"/>
    <b v="0"/>
    <s v="Stormy"/>
    <s v="Evening"/>
    <s v="Under Construction"/>
    <s v="18-25"/>
    <n v="4"/>
    <s v="Low"/>
    <s v="Learner"/>
    <b v="1"/>
    <n v="41"/>
    <s v="Haryana"/>
    <n v="7"/>
    <n v="3"/>
    <n v="1138"/>
    <s v="Paid"/>
  </r>
  <r>
    <d v="2024-07-26T00:00:00"/>
    <x v="0"/>
    <s v="Car"/>
    <x v="1"/>
    <n v="1000"/>
    <b v="0"/>
    <s v="Stormy"/>
    <s v="Morning"/>
    <s v="Wet"/>
    <s v="50+"/>
    <n v="2"/>
    <s v="High"/>
    <s v="Expired"/>
    <b v="0"/>
    <n v="93"/>
    <s v="Rajasthan"/>
    <n v="9"/>
    <n v="3"/>
    <n v="3630"/>
    <s v="Paid"/>
  </r>
  <r>
    <d v="2024-07-27T00:00:00"/>
    <x v="10"/>
    <s v="Truck"/>
    <x v="3"/>
    <n v="3539"/>
    <b v="0"/>
    <s v="Clear"/>
    <s v="Night"/>
    <s v="Slippery"/>
    <s v="26-35"/>
    <n v="3"/>
    <s v="High"/>
    <s v="Suspended"/>
    <b v="0"/>
    <n v="103"/>
    <s v="Delhi"/>
    <n v="1"/>
    <n v="2"/>
    <n v="3434"/>
    <s v="Paid"/>
  </r>
  <r>
    <d v="2024-07-27T00:00:00"/>
    <x v="4"/>
    <s v="Bike"/>
    <x v="4"/>
    <n v="6927"/>
    <b v="0"/>
    <s v="Cloudy"/>
    <s v="Evening"/>
    <s v="Under Construction"/>
    <s v="18-25"/>
    <n v="1"/>
    <s v="Medium"/>
    <s v="Expired"/>
    <b v="1"/>
    <n v="89"/>
    <s v="Punjab"/>
    <n v="7"/>
    <n v="2"/>
    <n v="1492"/>
    <s v="Unpaid"/>
  </r>
  <r>
    <d v="2024-07-28T00:00:00"/>
    <x v="3"/>
    <s v="Truck"/>
    <x v="2"/>
    <n v="1152"/>
    <b v="0"/>
    <s v="Rainy"/>
    <s v="Morning"/>
    <s v="Under Construction"/>
    <s v="26-35"/>
    <n v="0"/>
    <s v="High"/>
    <s v="Suspended"/>
    <b v="1"/>
    <n v="36"/>
    <s v="Rajasthan"/>
    <n v="4"/>
    <n v="1"/>
    <n v="1493"/>
    <s v="Paid"/>
  </r>
  <r>
    <d v="2024-07-28T00:00:00"/>
    <x v="2"/>
    <s v="Bike"/>
    <x v="2"/>
    <n v="4901"/>
    <b v="0"/>
    <s v="Cloudy"/>
    <s v="Night"/>
    <s v="Dry"/>
    <s v="50+"/>
    <n v="3"/>
    <s v="Medium"/>
    <s v="Learner"/>
    <b v="0"/>
    <n v="115"/>
    <s v="Uttar Pradesh"/>
    <n v="5"/>
    <n v="3"/>
    <n v="1724"/>
    <s v="Unpaid"/>
  </r>
  <r>
    <d v="2024-08-01T00:00:00"/>
    <x v="0"/>
    <s v="Bus"/>
    <x v="2"/>
    <n v="3845"/>
    <b v="1"/>
    <s v="Foggy"/>
    <s v="Afternoon"/>
    <s v="Slippery"/>
    <s v="50+"/>
    <n v="26"/>
    <s v="High"/>
    <s v="Suspended"/>
    <b v="1"/>
    <n v="10"/>
    <s v="Haryana"/>
    <n v="5"/>
    <n v="1"/>
    <n v="3601"/>
    <s v="Unpaid"/>
  </r>
  <r>
    <d v="2024-08-01T00:00:00"/>
    <x v="10"/>
    <s v="Bike"/>
    <x v="5"/>
    <n v="4363"/>
    <b v="0"/>
    <s v="Cloudy"/>
    <s v="Morning"/>
    <s v="Under Construction"/>
    <s v="18-25"/>
    <n v="1"/>
    <s v="High"/>
    <s v="Suspended"/>
    <b v="0"/>
    <n v="110"/>
    <s v="Punjab"/>
    <n v="6"/>
    <n v="2"/>
    <n v="4624"/>
    <s v="Unpaid"/>
  </r>
  <r>
    <d v="2024-08-01T00:00:00"/>
    <x v="1"/>
    <s v="Auto-rickshaw"/>
    <x v="3"/>
    <n v="2039"/>
    <b v="1"/>
    <s v="Cloudy"/>
    <s v="Afternoon"/>
    <s v="Dry"/>
    <s v="18-25"/>
    <n v="4"/>
    <s v="Low"/>
    <s v="Suspended"/>
    <b v="1"/>
    <n v="101"/>
    <s v="Delhi"/>
    <n v="6"/>
    <n v="3"/>
    <n v="4470"/>
    <s v="Paid"/>
  </r>
  <r>
    <d v="2024-08-01T00:00:00"/>
    <x v="9"/>
    <s v="Bus"/>
    <x v="4"/>
    <n v="8494"/>
    <b v="0"/>
    <s v="Foggy"/>
    <s v="Evening"/>
    <s v="Wet"/>
    <s v="18-25"/>
    <n v="3"/>
    <s v="High"/>
    <s v="Valid"/>
    <b v="1"/>
    <n v="22"/>
    <s v="Haryana"/>
    <n v="3"/>
    <n v="1"/>
    <n v="1196"/>
    <s v="Disputed"/>
  </r>
  <r>
    <d v="2024-08-02T00:00:00"/>
    <x v="8"/>
    <s v="Truck"/>
    <x v="5"/>
    <n v="2528"/>
    <b v="1"/>
    <s v="Foggy"/>
    <s v="Morning"/>
    <s v="Under Construction"/>
    <s v="50+"/>
    <n v="1"/>
    <s v="Low"/>
    <s v="Valid"/>
    <b v="0"/>
    <n v="41"/>
    <s v="Punjab"/>
    <n v="2"/>
    <n v="2"/>
    <n v="3110"/>
    <s v="Unpaid"/>
  </r>
  <r>
    <d v="2024-08-02T00:00:00"/>
    <x v="14"/>
    <s v="Truck"/>
    <x v="3"/>
    <n v="4119"/>
    <b v="0"/>
    <s v="Rainy"/>
    <s v="Morning"/>
    <s v="Wet"/>
    <s v="18-25"/>
    <n v="0"/>
    <s v="Low"/>
    <s v="Suspended"/>
    <b v="0"/>
    <n v="29"/>
    <s v="Uttar Pradesh"/>
    <n v="10"/>
    <n v="1"/>
    <n v="4067"/>
    <s v="Unpaid"/>
  </r>
  <r>
    <d v="2024-08-02T00:00:00"/>
    <x v="4"/>
    <s v="Bus"/>
    <x v="4"/>
    <n v="9858"/>
    <b v="0"/>
    <s v="Rainy"/>
    <s v="Night"/>
    <s v="Dry"/>
    <s v="18-25"/>
    <n v="1"/>
    <s v="Medium"/>
    <s v="Valid"/>
    <b v="1"/>
    <n v="25"/>
    <s v="Rajasthan"/>
    <n v="2"/>
    <n v="3"/>
    <n v="3830"/>
    <s v="Disputed"/>
  </r>
  <r>
    <d v="2024-08-02T00:00:00"/>
    <x v="13"/>
    <s v="Auto-rickshaw"/>
    <x v="4"/>
    <n v="6023"/>
    <b v="0"/>
    <s v="Foggy"/>
    <s v="Night"/>
    <s v="Under Construction"/>
    <s v="18-25"/>
    <n v="5"/>
    <s v="Medium"/>
    <s v="Learner"/>
    <b v="1"/>
    <n v="85"/>
    <s v="Rajasthan"/>
    <n v="5"/>
    <n v="3"/>
    <n v="3433"/>
    <s v="Disputed"/>
  </r>
  <r>
    <d v="2024-08-02T00:00:00"/>
    <x v="8"/>
    <s v="Bike"/>
    <x v="5"/>
    <n v="4672"/>
    <b v="0"/>
    <s v="Cloudy"/>
    <s v="Morning"/>
    <s v="Dry"/>
    <s v="18-25"/>
    <n v="2"/>
    <s v="Low"/>
    <s v="Expired"/>
    <b v="1"/>
    <n v="60"/>
    <s v="Haryana"/>
    <n v="8"/>
    <n v="1"/>
    <n v="4098"/>
    <s v="Unpaid"/>
  </r>
  <r>
    <d v="2024-08-02T00:00:00"/>
    <x v="10"/>
    <s v="Bike"/>
    <x v="0"/>
    <n v="1000"/>
    <b v="0"/>
    <s v="Cloudy"/>
    <s v="Afternoon"/>
    <s v="Dry"/>
    <s v="26-35"/>
    <n v="1"/>
    <s v="Medium"/>
    <s v="Suspended"/>
    <b v="0"/>
    <n v="26"/>
    <s v="Uttar Pradesh"/>
    <n v="5"/>
    <n v="2"/>
    <n v="3343"/>
    <s v="Disputed"/>
  </r>
  <r>
    <d v="2024-08-02T00:00:00"/>
    <x v="5"/>
    <s v="Auto-rickshaw"/>
    <x v="1"/>
    <n v="1000"/>
    <b v="0"/>
    <s v="Stormy"/>
    <s v="Night"/>
    <s v="Wet"/>
    <s v="50+"/>
    <n v="4"/>
    <s v="Medium"/>
    <s v="Learner"/>
    <b v="1"/>
    <n v="24"/>
    <s v="Haryana"/>
    <n v="4"/>
    <n v="3"/>
    <n v="4055"/>
    <s v="Disputed"/>
  </r>
  <r>
    <d v="2024-08-02T00:00:00"/>
    <x v="13"/>
    <s v="Auto-rickshaw"/>
    <x v="3"/>
    <n v="3052"/>
    <b v="0"/>
    <s v="Rainy"/>
    <s v="Evening"/>
    <s v="Under Construction"/>
    <s v="50+"/>
    <n v="5"/>
    <s v="Low"/>
    <s v="Learner"/>
    <b v="0"/>
    <n v="16"/>
    <s v="Rajasthan"/>
    <n v="1"/>
    <n v="3"/>
    <n v="1825"/>
    <s v="Paid"/>
  </r>
  <r>
    <d v="2024-08-03T00:00:00"/>
    <x v="6"/>
    <s v="Car"/>
    <x v="4"/>
    <n v="9854"/>
    <b v="0"/>
    <s v="Rainy"/>
    <s v="Morning"/>
    <s v="Wet"/>
    <s v="18-25"/>
    <n v="0"/>
    <s v="Low"/>
    <s v="Valid"/>
    <b v="1"/>
    <n v="17"/>
    <s v="Punjab"/>
    <n v="2"/>
    <n v="1"/>
    <n v="3582"/>
    <s v="Unpaid"/>
  </r>
  <r>
    <d v="2024-08-03T00:00:00"/>
    <x v="9"/>
    <s v="Car"/>
    <x v="1"/>
    <n v="1000"/>
    <b v="1"/>
    <s v="Cloudy"/>
    <s v="Evening"/>
    <s v="Wet"/>
    <s v="26-35"/>
    <n v="3"/>
    <s v="High"/>
    <s v="Expired"/>
    <b v="1"/>
    <n v="37"/>
    <s v="Delhi"/>
    <n v="2"/>
    <n v="3"/>
    <n v="2648"/>
    <s v="Disputed"/>
  </r>
  <r>
    <d v="2024-08-04T00:00:00"/>
    <x v="13"/>
    <s v="Car"/>
    <x v="3"/>
    <n v="4354"/>
    <b v="1"/>
    <s v="Foggy"/>
    <s v="Evening"/>
    <s v="Slippery"/>
    <s v="18-25"/>
    <n v="5"/>
    <s v="High"/>
    <s v="Suspended"/>
    <b v="0"/>
    <n v="113"/>
    <s v="Punjab"/>
    <n v="8"/>
    <n v="1"/>
    <n v="897"/>
    <s v="Unpaid"/>
  </r>
  <r>
    <d v="2024-08-04T00:00:00"/>
    <x v="2"/>
    <s v="Bus"/>
    <x v="5"/>
    <n v="7989"/>
    <b v="0"/>
    <s v="Clear"/>
    <s v="Morning"/>
    <s v="Slippery"/>
    <s v="36-50"/>
    <n v="2"/>
    <s v="High"/>
    <s v="Learner"/>
    <b v="1"/>
    <n v="90"/>
    <s v="Punjab"/>
    <n v="3"/>
    <n v="2"/>
    <n v="3037"/>
    <s v="Paid"/>
  </r>
  <r>
    <d v="2024-08-04T00:00:00"/>
    <x v="10"/>
    <s v="Car"/>
    <x v="5"/>
    <n v="5524"/>
    <b v="0"/>
    <s v="Rainy"/>
    <s v="Morning"/>
    <s v="Slippery"/>
    <s v="50+"/>
    <n v="0"/>
    <s v="Low"/>
    <s v="Learner"/>
    <b v="1"/>
    <n v="114"/>
    <s v="Delhi"/>
    <n v="3"/>
    <n v="1"/>
    <n v="4571"/>
    <s v="Unpaid"/>
  </r>
  <r>
    <d v="2024-08-05T00:00:00"/>
    <x v="12"/>
    <s v="Auto-rickshaw"/>
    <x v="4"/>
    <n v="8820"/>
    <b v="0"/>
    <s v="Cloudy"/>
    <s v="Afternoon"/>
    <s v="Dry"/>
    <s v="50+"/>
    <n v="3"/>
    <s v="Low"/>
    <s v="Valid"/>
    <b v="0"/>
    <n v="38"/>
    <s v="Delhi"/>
    <n v="7"/>
    <n v="2"/>
    <n v="4757"/>
    <s v="Unpaid"/>
  </r>
  <r>
    <d v="2024-08-05T00:00:00"/>
    <x v="6"/>
    <s v="Bus"/>
    <x v="5"/>
    <n v="7289"/>
    <b v="0"/>
    <s v="Rainy"/>
    <s v="Evening"/>
    <s v="Dry"/>
    <s v="26-35"/>
    <n v="1"/>
    <s v="Low"/>
    <s v="Valid"/>
    <b v="1"/>
    <n v="99"/>
    <s v="Punjab"/>
    <n v="5"/>
    <n v="2"/>
    <n v="1789"/>
    <s v="Unpaid"/>
  </r>
  <r>
    <d v="2024-08-05T00:00:00"/>
    <x v="12"/>
    <s v="Truck"/>
    <x v="4"/>
    <n v="5120"/>
    <b v="0"/>
    <s v="Stormy"/>
    <s v="Afternoon"/>
    <s v="Slippery"/>
    <s v="50+"/>
    <n v="1"/>
    <s v="High"/>
    <s v="Suspended"/>
    <b v="1"/>
    <n v="88"/>
    <s v="Haryana"/>
    <n v="8"/>
    <n v="1"/>
    <n v="4798"/>
    <s v="Paid"/>
  </r>
  <r>
    <d v="2024-08-05T00:00:00"/>
    <x v="13"/>
    <s v="Bus"/>
    <x v="1"/>
    <n v="1000"/>
    <b v="0"/>
    <s v="Clear"/>
    <s v="Afternoon"/>
    <s v="Wet"/>
    <s v="18-25"/>
    <n v="2"/>
    <s v="Low"/>
    <s v="Suspended"/>
    <b v="1"/>
    <n v="37"/>
    <s v="Delhi"/>
    <n v="9"/>
    <n v="1"/>
    <n v="4642"/>
    <s v="Disputed"/>
  </r>
  <r>
    <d v="2024-08-05T00:00:00"/>
    <x v="3"/>
    <s v="Bike"/>
    <x v="4"/>
    <n v="7887"/>
    <b v="0"/>
    <s v="Clear"/>
    <s v="Morning"/>
    <s v="Under Construction"/>
    <s v="26-35"/>
    <n v="2"/>
    <s v="High"/>
    <s v="Valid"/>
    <b v="0"/>
    <n v="111"/>
    <s v="Haryana"/>
    <n v="4"/>
    <n v="3"/>
    <n v="3130"/>
    <s v="Disputed"/>
  </r>
  <r>
    <d v="2024-08-06T00:00:00"/>
    <x v="8"/>
    <s v="Truck"/>
    <x v="3"/>
    <n v="4036"/>
    <b v="1"/>
    <s v="Stormy"/>
    <s v="Afternoon"/>
    <s v="Wet"/>
    <s v="26-35"/>
    <n v="4"/>
    <s v="High"/>
    <s v="Valid"/>
    <b v="1"/>
    <n v="22"/>
    <s v="Uttar Pradesh"/>
    <n v="5"/>
    <n v="1"/>
    <n v="4612"/>
    <s v="Paid"/>
  </r>
  <r>
    <d v="2024-08-06T00:00:00"/>
    <x v="0"/>
    <s v="Car"/>
    <x v="5"/>
    <n v="6811"/>
    <b v="0"/>
    <s v="Rainy"/>
    <s v="Evening"/>
    <s v="Dry"/>
    <s v="18-25"/>
    <n v="2"/>
    <s v="Medium"/>
    <s v="Suspended"/>
    <b v="0"/>
    <n v="61"/>
    <s v="Haryana"/>
    <n v="3"/>
    <n v="2"/>
    <n v="4180"/>
    <s v="Unpaid"/>
  </r>
  <r>
    <d v="2024-08-06T00:00:00"/>
    <x v="4"/>
    <s v="Bike"/>
    <x v="0"/>
    <n v="1000"/>
    <b v="1"/>
    <s v="Clear"/>
    <s v="Afternoon"/>
    <s v="Wet"/>
    <s v="26-35"/>
    <n v="5"/>
    <s v="High"/>
    <s v="Valid"/>
    <b v="1"/>
    <n v="33"/>
    <s v="Haryana"/>
    <n v="10"/>
    <n v="3"/>
    <n v="3000"/>
    <s v="Paid"/>
  </r>
  <r>
    <d v="2024-08-06T00:00:00"/>
    <x v="11"/>
    <s v="Bus"/>
    <x v="1"/>
    <n v="1000"/>
    <b v="0"/>
    <s v="Stormy"/>
    <s v="Afternoon"/>
    <s v="Slippery"/>
    <s v="26-35"/>
    <n v="1"/>
    <s v="Low"/>
    <s v="Valid"/>
    <b v="1"/>
    <n v="111"/>
    <s v="Rajasthan"/>
    <n v="6"/>
    <n v="3"/>
    <n v="2524"/>
    <s v="Paid"/>
  </r>
  <r>
    <d v="2024-08-06T00:00:00"/>
    <x v="5"/>
    <s v="Auto-rickshaw"/>
    <x v="2"/>
    <n v="3778"/>
    <b v="1"/>
    <s v="Foggy"/>
    <s v="Evening"/>
    <s v="Dry"/>
    <s v="50+"/>
    <n v="0"/>
    <s v="Medium"/>
    <s v="Expired"/>
    <b v="0"/>
    <n v="12"/>
    <s v="Haryana"/>
    <n v="5"/>
    <n v="3"/>
    <n v="4671"/>
    <s v="Unpaid"/>
  </r>
  <r>
    <d v="2024-08-07T00:00:00"/>
    <x v="9"/>
    <s v="Car"/>
    <x v="5"/>
    <n v="3246"/>
    <b v="0"/>
    <s v="Stormy"/>
    <s v="Morning"/>
    <s v="Wet"/>
    <s v="18-25"/>
    <n v="4"/>
    <s v="Low"/>
    <s v="Suspended"/>
    <b v="0"/>
    <n v="120"/>
    <s v="Rajasthan"/>
    <n v="10"/>
    <n v="3"/>
    <n v="2975"/>
    <s v="Unpaid"/>
  </r>
  <r>
    <d v="2024-08-07T00:00:00"/>
    <x v="3"/>
    <s v="Truck"/>
    <x v="2"/>
    <n v="2397"/>
    <b v="0"/>
    <s v="Foggy"/>
    <s v="Morning"/>
    <s v="Under Construction"/>
    <s v="50+"/>
    <n v="3"/>
    <s v="Low"/>
    <s v="Expired"/>
    <b v="0"/>
    <n v="103"/>
    <s v="Rajasthan"/>
    <n v="5"/>
    <n v="2"/>
    <n v="784"/>
    <s v="Unpaid"/>
  </r>
  <r>
    <d v="2024-08-08T00:00:00"/>
    <x v="0"/>
    <s v="Bike"/>
    <x v="0"/>
    <n v="1000"/>
    <b v="1"/>
    <s v="Foggy"/>
    <s v="Evening"/>
    <s v="Wet"/>
    <s v="18-25"/>
    <n v="3"/>
    <s v="Medium"/>
    <s v="Expired"/>
    <b v="1"/>
    <n v="100"/>
    <s v="Rajasthan"/>
    <n v="6"/>
    <n v="2"/>
    <n v="2261"/>
    <s v="Disputed"/>
  </r>
  <r>
    <d v="2024-08-08T00:00:00"/>
    <x v="4"/>
    <s v="Truck"/>
    <x v="3"/>
    <n v="4584"/>
    <b v="0"/>
    <s v="Cloudy"/>
    <s v="Morning"/>
    <s v="Slippery"/>
    <s v="26-35"/>
    <n v="3"/>
    <s v="High"/>
    <s v="Learner"/>
    <b v="1"/>
    <n v="89"/>
    <s v="Haryana"/>
    <n v="6"/>
    <n v="3"/>
    <n v="2244"/>
    <s v="Unpaid"/>
  </r>
  <r>
    <d v="2024-08-08T00:00:00"/>
    <x v="3"/>
    <s v="Bus"/>
    <x v="3"/>
    <n v="3239"/>
    <b v="0"/>
    <s v="Cloudy"/>
    <s v="Afternoon"/>
    <s v="Dry"/>
    <s v="50+"/>
    <n v="4"/>
    <s v="Medium"/>
    <s v="Valid"/>
    <b v="1"/>
    <n v="77"/>
    <s v="Delhi"/>
    <n v="8"/>
    <n v="3"/>
    <n v="2818"/>
    <s v="Unpaid"/>
  </r>
  <r>
    <d v="2024-08-08T00:00:00"/>
    <x v="2"/>
    <s v="Auto-rickshaw"/>
    <x v="4"/>
    <n v="9700"/>
    <b v="0"/>
    <s v="Clear"/>
    <s v="Afternoon"/>
    <s v="Slippery"/>
    <s v="50+"/>
    <n v="3"/>
    <s v="Medium"/>
    <s v="Valid"/>
    <b v="0"/>
    <n v="46"/>
    <s v="Punjab"/>
    <n v="3"/>
    <n v="2"/>
    <n v="3903"/>
    <s v="Disputed"/>
  </r>
  <r>
    <d v="2024-08-09T00:00:00"/>
    <x v="2"/>
    <s v="Auto-rickshaw"/>
    <x v="3"/>
    <n v="3102"/>
    <b v="0"/>
    <s v="Cloudy"/>
    <s v="Morning"/>
    <s v="Wet"/>
    <s v="26-35"/>
    <n v="2"/>
    <s v="High"/>
    <s v="Valid"/>
    <b v="1"/>
    <n v="110"/>
    <s v="Rajasthan"/>
    <n v="4"/>
    <n v="1"/>
    <n v="698"/>
    <s v="Unpaid"/>
  </r>
  <r>
    <d v="2024-08-09T00:00:00"/>
    <x v="10"/>
    <s v="Truck"/>
    <x v="3"/>
    <n v="4377"/>
    <b v="1"/>
    <s v="Clear"/>
    <s v="Evening"/>
    <s v="Dry"/>
    <s v="26-35"/>
    <n v="0"/>
    <s v="Low"/>
    <s v="Expired"/>
    <b v="0"/>
    <n v="22"/>
    <s v="Punjab"/>
    <n v="6"/>
    <n v="1"/>
    <n v="2804"/>
    <s v="Unpaid"/>
  </r>
  <r>
    <d v="2024-08-09T00:00:00"/>
    <x v="3"/>
    <s v="Car"/>
    <x v="1"/>
    <n v="1000"/>
    <b v="1"/>
    <s v="Stormy"/>
    <s v="Afternoon"/>
    <s v="Under Construction"/>
    <s v="26-35"/>
    <n v="4"/>
    <s v="Low"/>
    <s v="Valid"/>
    <b v="1"/>
    <n v="42"/>
    <s v="Rajasthan"/>
    <n v="4"/>
    <n v="1"/>
    <n v="2616"/>
    <s v="Unpaid"/>
  </r>
  <r>
    <d v="2024-08-10T00:00:00"/>
    <x v="5"/>
    <s v="Truck"/>
    <x v="4"/>
    <n v="8097"/>
    <b v="1"/>
    <s v="Stormy"/>
    <s v="Night"/>
    <s v="Under Construction"/>
    <s v="18-25"/>
    <n v="3"/>
    <s v="Low"/>
    <s v="Suspended"/>
    <b v="0"/>
    <n v="71"/>
    <s v="Punjab"/>
    <n v="3"/>
    <n v="3"/>
    <n v="2259"/>
    <s v="Disputed"/>
  </r>
  <r>
    <d v="2024-08-10T00:00:00"/>
    <x v="8"/>
    <s v="Car"/>
    <x v="2"/>
    <n v="2453"/>
    <b v="1"/>
    <s v="Foggy"/>
    <s v="Night"/>
    <s v="Slippery"/>
    <s v="26-35"/>
    <n v="1"/>
    <s v="Medium"/>
    <s v="Expired"/>
    <b v="0"/>
    <n v="57"/>
    <s v="Punjab"/>
    <n v="4"/>
    <n v="3"/>
    <n v="629"/>
    <s v="Disputed"/>
  </r>
  <r>
    <d v="2024-08-11T00:00:00"/>
    <x v="12"/>
    <s v="Bike"/>
    <x v="5"/>
    <n v="4189"/>
    <b v="0"/>
    <s v="Rainy"/>
    <s v="Evening"/>
    <s v="Slippery"/>
    <s v="50+"/>
    <n v="3"/>
    <s v="High"/>
    <s v="Learner"/>
    <b v="1"/>
    <n v="106"/>
    <s v="Punjab"/>
    <n v="2"/>
    <n v="2"/>
    <n v="2921"/>
    <s v="Unpaid"/>
  </r>
  <r>
    <d v="2024-08-12T00:00:00"/>
    <x v="13"/>
    <s v="Bike"/>
    <x v="3"/>
    <n v="3870"/>
    <b v="0"/>
    <s v="Stormy"/>
    <s v="Night"/>
    <s v="Wet"/>
    <s v="50+"/>
    <n v="2"/>
    <s v="Low"/>
    <s v="Suspended"/>
    <b v="0"/>
    <n v="23"/>
    <s v="Punjab"/>
    <n v="10"/>
    <n v="2"/>
    <n v="3944"/>
    <s v="Paid"/>
  </r>
  <r>
    <d v="2024-08-12T00:00:00"/>
    <x v="1"/>
    <s v="Bike"/>
    <x v="0"/>
    <n v="1000"/>
    <b v="0"/>
    <s v="Foggy"/>
    <s v="Evening"/>
    <s v="Slippery"/>
    <s v="18-25"/>
    <n v="2"/>
    <s v="Medium"/>
    <s v="Expired"/>
    <b v="0"/>
    <n v="117"/>
    <s v="Delhi"/>
    <n v="4"/>
    <n v="2"/>
    <n v="2782"/>
    <s v="Disputed"/>
  </r>
  <r>
    <d v="2024-08-12T00:00:00"/>
    <x v="1"/>
    <s v="Bus"/>
    <x v="4"/>
    <n v="6306"/>
    <b v="1"/>
    <s v="Cloudy"/>
    <s v="Morning"/>
    <s v="Dry"/>
    <s v="36-50"/>
    <n v="1"/>
    <s v="High"/>
    <s v="Learner"/>
    <b v="0"/>
    <n v="73"/>
    <s v="Punjab"/>
    <n v="7"/>
    <n v="2"/>
    <n v="1586"/>
    <s v="Unpaid"/>
  </r>
  <r>
    <d v="2024-08-12T00:00:00"/>
    <x v="3"/>
    <s v="Bus"/>
    <x v="4"/>
    <n v="7336"/>
    <b v="0"/>
    <s v="Foggy"/>
    <s v="Evening"/>
    <s v="Slippery"/>
    <s v="50+"/>
    <n v="1"/>
    <s v="Low"/>
    <s v="Learner"/>
    <b v="1"/>
    <n v="56"/>
    <s v="Punjab"/>
    <n v="5"/>
    <n v="2"/>
    <n v="2576"/>
    <s v="Paid"/>
  </r>
  <r>
    <d v="2024-08-13T00:00:00"/>
    <x v="8"/>
    <s v="Auto-rickshaw"/>
    <x v="4"/>
    <n v="9680"/>
    <b v="1"/>
    <s v="Cloudy"/>
    <s v="Morning"/>
    <s v="Slippery"/>
    <s v="36-50"/>
    <n v="2"/>
    <s v="High"/>
    <s v="Valid"/>
    <b v="1"/>
    <n v="78"/>
    <s v="Rajasthan"/>
    <n v="5"/>
    <n v="3"/>
    <n v="910"/>
    <s v="Unpaid"/>
  </r>
  <r>
    <d v="2024-08-13T00:00:00"/>
    <x v="5"/>
    <s v="Truck"/>
    <x v="5"/>
    <n v="6749"/>
    <b v="0"/>
    <s v="Foggy"/>
    <s v="Afternoon"/>
    <s v="Wet"/>
    <s v="50+"/>
    <n v="1"/>
    <s v="Medium"/>
    <s v="Expired"/>
    <b v="1"/>
    <n v="68"/>
    <s v="Haryana"/>
    <n v="10"/>
    <n v="2"/>
    <n v="1386"/>
    <s v="Disputed"/>
  </r>
  <r>
    <d v="2024-08-13T00:00:00"/>
    <x v="1"/>
    <s v="Bike"/>
    <x v="2"/>
    <n v="1289"/>
    <b v="0"/>
    <s v="Cloudy"/>
    <s v="Afternoon"/>
    <s v="Under Construction"/>
    <s v="18-25"/>
    <n v="2"/>
    <s v="Medium"/>
    <s v="Expired"/>
    <b v="1"/>
    <n v="38"/>
    <s v="Delhi"/>
    <n v="10"/>
    <n v="3"/>
    <n v="777"/>
    <s v="Disputed"/>
  </r>
  <r>
    <d v="2024-08-13T00:00:00"/>
    <x v="9"/>
    <s v="Bike"/>
    <x v="2"/>
    <n v="3316"/>
    <b v="1"/>
    <s v="Rainy"/>
    <s v="Afternoon"/>
    <s v="Dry"/>
    <s v="36-50"/>
    <n v="4"/>
    <s v="High"/>
    <s v="Suspended"/>
    <b v="1"/>
    <n v="30"/>
    <s v="Rajasthan"/>
    <n v="10"/>
    <n v="2"/>
    <n v="3048"/>
    <s v="Paid"/>
  </r>
  <r>
    <d v="2024-08-13T00:00:00"/>
    <x v="3"/>
    <s v="Car"/>
    <x v="1"/>
    <n v="1000"/>
    <b v="0"/>
    <s v="Cloudy"/>
    <s v="Night"/>
    <s v="Dry"/>
    <s v="26-35"/>
    <n v="4"/>
    <s v="Medium"/>
    <s v="Learner"/>
    <b v="0"/>
    <n v="96"/>
    <s v="Haryana"/>
    <n v="9"/>
    <n v="2"/>
    <n v="3102"/>
    <s v="Paid"/>
  </r>
  <r>
    <d v="2024-08-13T00:00:00"/>
    <x v="7"/>
    <s v="Truck"/>
    <x v="3"/>
    <n v="1731"/>
    <b v="0"/>
    <s v="Clear"/>
    <s v="Morning"/>
    <s v="Wet"/>
    <s v="26-35"/>
    <n v="1"/>
    <s v="Medium"/>
    <s v="Expired"/>
    <b v="1"/>
    <n v="100"/>
    <s v="Delhi"/>
    <n v="8"/>
    <n v="3"/>
    <n v="1707"/>
    <s v="Unpaid"/>
  </r>
  <r>
    <d v="2024-08-13T00:00:00"/>
    <x v="14"/>
    <s v="Car"/>
    <x v="3"/>
    <n v="4237"/>
    <b v="0"/>
    <s v="Stormy"/>
    <s v="Afternoon"/>
    <s v="Under Construction"/>
    <s v="36-50"/>
    <n v="5"/>
    <s v="High"/>
    <s v="Valid"/>
    <b v="1"/>
    <n v="79"/>
    <s v="Rajasthan"/>
    <n v="7"/>
    <n v="3"/>
    <n v="4629"/>
    <s v="Unpaid"/>
  </r>
  <r>
    <d v="2024-08-13T00:00:00"/>
    <x v="9"/>
    <s v="Bus"/>
    <x v="3"/>
    <n v="4145"/>
    <b v="0"/>
    <s v="Cloudy"/>
    <s v="Evening"/>
    <s v="Under Construction"/>
    <s v="26-35"/>
    <n v="1"/>
    <s v="High"/>
    <s v="Valid"/>
    <b v="0"/>
    <n v="45"/>
    <s v="Rajasthan"/>
    <n v="8"/>
    <n v="3"/>
    <n v="1632"/>
    <s v="Disputed"/>
  </r>
  <r>
    <d v="2024-08-14T00:00:00"/>
    <x v="11"/>
    <s v="Bus"/>
    <x v="5"/>
    <n v="5883"/>
    <b v="0"/>
    <s v="Rainy"/>
    <s v="Evening"/>
    <s v="Wet"/>
    <s v="18-25"/>
    <n v="3"/>
    <s v="Medium"/>
    <s v="Suspended"/>
    <b v="0"/>
    <n v="80"/>
    <s v="Delhi"/>
    <n v="5"/>
    <n v="1"/>
    <n v="913"/>
    <s v="Paid"/>
  </r>
  <r>
    <d v="2024-08-14T00:00:00"/>
    <x v="10"/>
    <s v="Bus"/>
    <x v="4"/>
    <n v="8225"/>
    <b v="1"/>
    <s v="Cloudy"/>
    <s v="Afternoon"/>
    <s v="Under Construction"/>
    <s v="26-35"/>
    <n v="3"/>
    <s v="High"/>
    <s v="Learner"/>
    <b v="1"/>
    <n v="25"/>
    <s v="Delhi"/>
    <n v="7"/>
    <n v="3"/>
    <n v="3575"/>
    <s v="Paid"/>
  </r>
  <r>
    <d v="2024-08-14T00:00:00"/>
    <x v="1"/>
    <s v="Truck"/>
    <x v="3"/>
    <n v="3496"/>
    <b v="0"/>
    <s v="Foggy"/>
    <s v="Evening"/>
    <s v="Under Construction"/>
    <s v="18-25"/>
    <n v="0"/>
    <s v="High"/>
    <s v="Valid"/>
    <b v="0"/>
    <n v="112"/>
    <s v="Uttar Pradesh"/>
    <n v="7"/>
    <n v="2"/>
    <n v="2334"/>
    <s v="Disputed"/>
  </r>
  <r>
    <d v="2024-08-14T00:00:00"/>
    <x v="5"/>
    <s v="Auto-rickshaw"/>
    <x v="2"/>
    <n v="4987"/>
    <b v="0"/>
    <s v="Rainy"/>
    <s v="Evening"/>
    <s v="Wet"/>
    <s v="50+"/>
    <n v="2"/>
    <s v="Low"/>
    <s v="Expired"/>
    <b v="1"/>
    <n v="78"/>
    <s v="Delhi"/>
    <n v="10"/>
    <n v="2"/>
    <n v="1716"/>
    <s v="Paid"/>
  </r>
  <r>
    <d v="2024-08-14T00:00:00"/>
    <x v="10"/>
    <s v="Auto-rickshaw"/>
    <x v="5"/>
    <n v="7088"/>
    <b v="0"/>
    <s v="Cloudy"/>
    <s v="Evening"/>
    <s v="Slippery"/>
    <s v="18-25"/>
    <n v="2"/>
    <s v="Medium"/>
    <s v="Valid"/>
    <b v="1"/>
    <n v="25"/>
    <s v="Punjab"/>
    <n v="8"/>
    <n v="1"/>
    <n v="2523"/>
    <s v="Paid"/>
  </r>
  <r>
    <d v="2024-08-14T00:00:00"/>
    <x v="14"/>
    <s v="Truck"/>
    <x v="2"/>
    <n v="3386"/>
    <b v="1"/>
    <s v="Rainy"/>
    <s v="Night"/>
    <s v="Under Construction"/>
    <s v="50+"/>
    <n v="5"/>
    <s v="Medium"/>
    <s v="Expired"/>
    <b v="0"/>
    <n v="97"/>
    <s v="Rajasthan"/>
    <n v="3"/>
    <n v="2"/>
    <n v="3319"/>
    <s v="Disputed"/>
  </r>
  <r>
    <d v="2024-08-15T00:00:00"/>
    <x v="3"/>
    <s v="Bike"/>
    <x v="3"/>
    <n v="1997"/>
    <b v="1"/>
    <s v="Cloudy"/>
    <s v="Morning"/>
    <s v="Slippery"/>
    <s v="36-50"/>
    <n v="1"/>
    <s v="Low"/>
    <s v="Valid"/>
    <b v="0"/>
    <n v="101"/>
    <s v="Haryana"/>
    <n v="3"/>
    <n v="3"/>
    <n v="4283"/>
    <s v="Unpaid"/>
  </r>
  <r>
    <d v="2024-08-15T00:00:00"/>
    <x v="3"/>
    <s v="Bus"/>
    <x v="1"/>
    <n v="1000"/>
    <b v="1"/>
    <s v="Foggy"/>
    <s v="Morning"/>
    <s v="Wet"/>
    <s v="26-35"/>
    <n v="4"/>
    <s v="High"/>
    <s v="Expired"/>
    <b v="1"/>
    <n v="18"/>
    <s v="Rajasthan"/>
    <n v="4"/>
    <n v="2"/>
    <n v="4763"/>
    <s v="Paid"/>
  </r>
  <r>
    <d v="2024-08-15T00:00:00"/>
    <x v="14"/>
    <s v="Car"/>
    <x v="5"/>
    <n v="6008"/>
    <b v="0"/>
    <s v="Rainy"/>
    <s v="Morning"/>
    <s v="Dry"/>
    <s v="26-35"/>
    <n v="3"/>
    <s v="Low"/>
    <s v="Expired"/>
    <b v="0"/>
    <n v="77"/>
    <s v="Rajasthan"/>
    <n v="8"/>
    <n v="3"/>
    <n v="2792"/>
    <s v="Paid"/>
  </r>
  <r>
    <d v="2024-08-15T00:00:00"/>
    <x v="5"/>
    <s v="Bike"/>
    <x v="3"/>
    <n v="3857"/>
    <b v="1"/>
    <s v="Clear"/>
    <s v="Evening"/>
    <s v="Slippery"/>
    <s v="26-35"/>
    <n v="2"/>
    <s v="High"/>
    <s v="Expired"/>
    <b v="0"/>
    <n v="66"/>
    <s v="Punjab"/>
    <n v="1"/>
    <n v="1"/>
    <n v="1351"/>
    <s v="Unpaid"/>
  </r>
  <r>
    <d v="2024-08-16T00:00:00"/>
    <x v="7"/>
    <s v="Bike"/>
    <x v="0"/>
    <n v="1000"/>
    <b v="0"/>
    <s v="Foggy"/>
    <s v="Afternoon"/>
    <s v="Under Construction"/>
    <s v="36-50"/>
    <n v="2"/>
    <s v="Low"/>
    <s v="Valid"/>
    <b v="0"/>
    <n v="25"/>
    <s v="Rajasthan"/>
    <n v="1"/>
    <n v="3"/>
    <n v="4988"/>
    <s v="Unpaid"/>
  </r>
  <r>
    <d v="2024-08-16T00:00:00"/>
    <x v="4"/>
    <s v="Bike"/>
    <x v="5"/>
    <n v="7732"/>
    <b v="1"/>
    <s v="Clear"/>
    <s v="Morning"/>
    <s v="Slippery"/>
    <s v="36-50"/>
    <n v="2"/>
    <s v="Medium"/>
    <s v="Valid"/>
    <b v="0"/>
    <n v="9"/>
    <s v="Rajasthan"/>
    <n v="7"/>
    <n v="1"/>
    <n v="1814"/>
    <s v="Paid"/>
  </r>
  <r>
    <d v="2024-08-16T00:00:00"/>
    <x v="8"/>
    <s v="Car"/>
    <x v="1"/>
    <n v="1000"/>
    <b v="1"/>
    <s v="Foggy"/>
    <s v="Morning"/>
    <s v="Dry"/>
    <s v="36-50"/>
    <n v="4"/>
    <s v="Medium"/>
    <s v="Learner"/>
    <b v="1"/>
    <n v="105"/>
    <s v="Uttar Pradesh"/>
    <n v="9"/>
    <n v="3"/>
    <n v="1823"/>
    <s v="Disputed"/>
  </r>
  <r>
    <d v="2024-08-17T00:00:00"/>
    <x v="10"/>
    <s v="Car"/>
    <x v="5"/>
    <n v="4196"/>
    <b v="1"/>
    <s v="Stormy"/>
    <s v="Afternoon"/>
    <s v="Dry"/>
    <s v="36-50"/>
    <n v="1"/>
    <s v="High"/>
    <s v="Suspended"/>
    <b v="1"/>
    <n v="91"/>
    <s v="Uttar Pradesh"/>
    <n v="9"/>
    <n v="1"/>
    <n v="3277"/>
    <s v="Paid"/>
  </r>
  <r>
    <d v="2024-08-18T00:00:00"/>
    <x v="11"/>
    <s v="Truck"/>
    <x v="5"/>
    <n v="7476"/>
    <b v="1"/>
    <s v="Foggy"/>
    <s v="Night"/>
    <s v="Slippery"/>
    <s v="50+"/>
    <n v="3"/>
    <s v="Medium"/>
    <s v="Valid"/>
    <b v="1"/>
    <n v="3"/>
    <s v="Haryana"/>
    <n v="9"/>
    <n v="1"/>
    <n v="2542"/>
    <s v="Paid"/>
  </r>
  <r>
    <d v="2024-08-18T00:00:00"/>
    <x v="10"/>
    <s v="Car"/>
    <x v="4"/>
    <n v="8481"/>
    <b v="0"/>
    <s v="Foggy"/>
    <s v="Night"/>
    <s v="Slippery"/>
    <s v="18-25"/>
    <n v="4"/>
    <s v="Medium"/>
    <s v="Suspended"/>
    <b v="0"/>
    <n v="45"/>
    <s v="Haryana"/>
    <n v="4"/>
    <n v="2"/>
    <n v="4833"/>
    <s v="Disputed"/>
  </r>
  <r>
    <d v="2024-08-18T00:00:00"/>
    <x v="2"/>
    <s v="Auto-rickshaw"/>
    <x v="1"/>
    <n v="1000"/>
    <b v="0"/>
    <s v="Cloudy"/>
    <s v="Afternoon"/>
    <s v="Wet"/>
    <s v="18-25"/>
    <n v="5"/>
    <s v="High"/>
    <s v="Expired"/>
    <b v="0"/>
    <n v="19"/>
    <s v="Uttar Pradesh"/>
    <n v="1"/>
    <n v="2"/>
    <n v="3718"/>
    <s v="Paid"/>
  </r>
  <r>
    <d v="2024-08-18T00:00:00"/>
    <x v="13"/>
    <s v="Bike"/>
    <x v="5"/>
    <n v="5427"/>
    <b v="0"/>
    <s v="Foggy"/>
    <s v="Afternoon"/>
    <s v="Wet"/>
    <s v="50+"/>
    <n v="0"/>
    <s v="High"/>
    <s v="Expired"/>
    <b v="0"/>
    <n v="73"/>
    <s v="Haryana"/>
    <n v="3"/>
    <n v="3"/>
    <n v="2836"/>
    <s v="Paid"/>
  </r>
  <r>
    <d v="2024-08-18T00:00:00"/>
    <x v="3"/>
    <s v="Bike"/>
    <x v="4"/>
    <n v="7914"/>
    <b v="0"/>
    <s v="Cloudy"/>
    <s v="Evening"/>
    <s v="Wet"/>
    <s v="50+"/>
    <n v="1"/>
    <s v="Medium"/>
    <s v="Expired"/>
    <b v="0"/>
    <n v="49"/>
    <s v="Haryana"/>
    <n v="1"/>
    <n v="3"/>
    <n v="3971"/>
    <s v="Disputed"/>
  </r>
  <r>
    <d v="2024-08-18T00:00:00"/>
    <x v="5"/>
    <s v="Bike"/>
    <x v="2"/>
    <n v="3038"/>
    <b v="0"/>
    <s v="Foggy"/>
    <s v="Evening"/>
    <s v="Under Construction"/>
    <s v="36-50"/>
    <n v="0"/>
    <s v="Low"/>
    <s v="Valid"/>
    <b v="0"/>
    <n v="98"/>
    <s v="Uttar Pradesh"/>
    <n v="9"/>
    <n v="3"/>
    <n v="2347"/>
    <s v="Disputed"/>
  </r>
  <r>
    <d v="2024-08-19T00:00:00"/>
    <x v="9"/>
    <s v="Bike"/>
    <x v="5"/>
    <n v="2310"/>
    <b v="1"/>
    <s v="Cloudy"/>
    <s v="Afternoon"/>
    <s v="Dry"/>
    <s v="26-35"/>
    <n v="1"/>
    <s v="High"/>
    <s v="Learner"/>
    <b v="0"/>
    <n v="48"/>
    <s v="Uttar Pradesh"/>
    <n v="2"/>
    <n v="3"/>
    <n v="2028"/>
    <s v="Paid"/>
  </r>
  <r>
    <d v="2024-08-19T00:00:00"/>
    <x v="1"/>
    <s v="Auto-rickshaw"/>
    <x v="5"/>
    <n v="6564"/>
    <b v="1"/>
    <s v="Clear"/>
    <s v="Evening"/>
    <s v="Dry"/>
    <s v="18-25"/>
    <n v="1"/>
    <s v="High"/>
    <s v="Expired"/>
    <b v="0"/>
    <n v="73"/>
    <s v="Punjab"/>
    <n v="8"/>
    <n v="2"/>
    <n v="4688"/>
    <s v="Unpaid"/>
  </r>
  <r>
    <d v="2024-08-19T00:00:00"/>
    <x v="4"/>
    <s v="Bus"/>
    <x v="2"/>
    <n v="2046"/>
    <b v="0"/>
    <s v="Stormy"/>
    <s v="Morning"/>
    <s v="Under Construction"/>
    <s v="36-50"/>
    <n v="2"/>
    <s v="Medium"/>
    <s v="Valid"/>
    <b v="0"/>
    <n v="34"/>
    <s v="Delhi"/>
    <n v="5"/>
    <n v="2"/>
    <n v="578"/>
    <s v="Disputed"/>
  </r>
  <r>
    <d v="2024-08-19T00:00:00"/>
    <x v="0"/>
    <s v="Car"/>
    <x v="3"/>
    <n v="4860"/>
    <b v="1"/>
    <s v="Stormy"/>
    <s v="Evening"/>
    <s v="Wet"/>
    <s v="26-35"/>
    <n v="0"/>
    <s v="High"/>
    <s v="Suspended"/>
    <b v="0"/>
    <n v="99"/>
    <s v="Delhi"/>
    <n v="3"/>
    <n v="1"/>
    <n v="4296"/>
    <s v="Paid"/>
  </r>
  <r>
    <d v="2024-08-19T00:00:00"/>
    <x v="9"/>
    <s v="Bus"/>
    <x v="5"/>
    <n v="3804"/>
    <b v="1"/>
    <s v="Rainy"/>
    <s v="Morning"/>
    <s v="Wet"/>
    <s v="50+"/>
    <n v="3"/>
    <s v="High"/>
    <s v="Valid"/>
    <b v="0"/>
    <n v="94"/>
    <s v="Haryana"/>
    <n v="8"/>
    <n v="1"/>
    <n v="1418"/>
    <s v="Paid"/>
  </r>
  <r>
    <d v="2024-08-20T00:00:00"/>
    <x v="8"/>
    <s v="Car"/>
    <x v="3"/>
    <n v="2787"/>
    <b v="0"/>
    <s v="Rainy"/>
    <s v="Morning"/>
    <s v="Dry"/>
    <s v="18-25"/>
    <n v="3"/>
    <s v="Low"/>
    <s v="Valid"/>
    <b v="0"/>
    <n v="43"/>
    <s v="Punjab"/>
    <n v="1"/>
    <n v="3"/>
    <n v="3981"/>
    <s v="Paid"/>
  </r>
  <r>
    <d v="2024-08-21T00:00:00"/>
    <x v="7"/>
    <s v="Car"/>
    <x v="5"/>
    <n v="5249"/>
    <b v="1"/>
    <s v="Rainy"/>
    <s v="Afternoon"/>
    <s v="Under Construction"/>
    <s v="50+"/>
    <n v="0"/>
    <s v="Low"/>
    <s v="Suspended"/>
    <b v="1"/>
    <n v="15"/>
    <s v="Punjab"/>
    <n v="6"/>
    <n v="2"/>
    <n v="2071"/>
    <s v="Disputed"/>
  </r>
  <r>
    <d v="2024-08-21T00:00:00"/>
    <x v="1"/>
    <s v="Bus"/>
    <x v="5"/>
    <n v="7400"/>
    <b v="0"/>
    <s v="Rainy"/>
    <s v="Morning"/>
    <s v="Under Construction"/>
    <s v="50+"/>
    <n v="4"/>
    <s v="Medium"/>
    <s v="Valid"/>
    <b v="0"/>
    <n v="117"/>
    <s v="Delhi"/>
    <n v="7"/>
    <n v="1"/>
    <n v="3905"/>
    <s v="Unpaid"/>
  </r>
  <r>
    <d v="2024-08-22T00:00:00"/>
    <x v="0"/>
    <s v="Bike"/>
    <x v="4"/>
    <n v="6310"/>
    <b v="0"/>
    <s v="Rainy"/>
    <s v="Night"/>
    <s v="Slippery"/>
    <s v="26-35"/>
    <n v="3"/>
    <s v="High"/>
    <s v="Suspended"/>
    <b v="1"/>
    <n v="96"/>
    <s v="Delhi"/>
    <n v="1"/>
    <n v="3"/>
    <n v="1531"/>
    <s v="Paid"/>
  </r>
  <r>
    <d v="2024-08-22T00:00:00"/>
    <x v="14"/>
    <s v="Auto-rickshaw"/>
    <x v="4"/>
    <n v="5364"/>
    <b v="0"/>
    <s v="Cloudy"/>
    <s v="Night"/>
    <s v="Wet"/>
    <s v="36-50"/>
    <n v="5"/>
    <s v="Low"/>
    <s v="Expired"/>
    <b v="0"/>
    <n v="117"/>
    <s v="Uttar Pradesh"/>
    <n v="2"/>
    <n v="3"/>
    <n v="1275"/>
    <s v="Disputed"/>
  </r>
  <r>
    <d v="2024-08-22T00:00:00"/>
    <x v="11"/>
    <s v="Bike"/>
    <x v="2"/>
    <n v="2681"/>
    <b v="0"/>
    <s v="Clear"/>
    <s v="Afternoon"/>
    <s v="Under Construction"/>
    <s v="26-35"/>
    <n v="0"/>
    <s v="Medium"/>
    <s v="Valid"/>
    <b v="0"/>
    <n v="73"/>
    <s v="Haryana"/>
    <n v="7"/>
    <n v="3"/>
    <n v="3080"/>
    <s v="Unpaid"/>
  </r>
  <r>
    <d v="2024-08-22T00:00:00"/>
    <x v="8"/>
    <s v="Auto-rickshaw"/>
    <x v="3"/>
    <n v="3835"/>
    <b v="0"/>
    <s v="Clear"/>
    <s v="Morning"/>
    <s v="Dry"/>
    <s v="36-50"/>
    <n v="2"/>
    <s v="High"/>
    <s v="Valid"/>
    <b v="0"/>
    <n v="54"/>
    <s v="Punjab"/>
    <n v="1"/>
    <n v="2"/>
    <n v="4284"/>
    <s v="Unpaid"/>
  </r>
  <r>
    <d v="2024-08-23T00:00:00"/>
    <x v="5"/>
    <s v="Truck"/>
    <x v="4"/>
    <n v="5954"/>
    <b v="0"/>
    <s v="Stormy"/>
    <s v="Morning"/>
    <s v="Wet"/>
    <s v="18-25"/>
    <n v="4"/>
    <s v="High"/>
    <s v="Suspended"/>
    <b v="0"/>
    <n v="53"/>
    <s v="Uttar Pradesh"/>
    <n v="3"/>
    <n v="2"/>
    <n v="2679"/>
    <s v="Paid"/>
  </r>
  <r>
    <d v="2024-08-23T00:00:00"/>
    <x v="10"/>
    <s v="Car"/>
    <x v="5"/>
    <n v="4790"/>
    <b v="0"/>
    <s v="Rainy"/>
    <s v="Morning"/>
    <s v="Slippery"/>
    <s v="36-50"/>
    <n v="0"/>
    <s v="Low"/>
    <s v="Expired"/>
    <b v="1"/>
    <n v="17"/>
    <s v="Punjab"/>
    <n v="10"/>
    <n v="2"/>
    <n v="2478"/>
    <s v="Unpaid"/>
  </r>
  <r>
    <d v="2024-08-23T00:00:00"/>
    <x v="12"/>
    <s v="Bike"/>
    <x v="0"/>
    <n v="1000"/>
    <b v="1"/>
    <s v="Foggy"/>
    <s v="Evening"/>
    <s v="Slippery"/>
    <s v="36-50"/>
    <n v="2"/>
    <s v="Low"/>
    <s v="Valid"/>
    <b v="1"/>
    <n v="56"/>
    <s v="Uttar Pradesh"/>
    <n v="3"/>
    <n v="1"/>
    <n v="4960"/>
    <s v="Disputed"/>
  </r>
  <r>
    <d v="2024-08-24T00:00:00"/>
    <x v="1"/>
    <s v="Car"/>
    <x v="1"/>
    <n v="1000"/>
    <b v="1"/>
    <s v="Stormy"/>
    <s v="Morning"/>
    <s v="Slippery"/>
    <s v="18-25"/>
    <n v="4"/>
    <s v="Medium"/>
    <s v="Suspended"/>
    <b v="1"/>
    <n v="28"/>
    <s v="Uttar Pradesh"/>
    <n v="7"/>
    <n v="2"/>
    <n v="4805"/>
    <s v="Disputed"/>
  </r>
  <r>
    <d v="2024-08-24T00:00:00"/>
    <x v="6"/>
    <s v="Bus"/>
    <x v="4"/>
    <n v="9709"/>
    <b v="0"/>
    <s v="Foggy"/>
    <s v="Evening"/>
    <s v="Wet"/>
    <s v="26-35"/>
    <n v="4"/>
    <s v="Low"/>
    <s v="Expired"/>
    <b v="1"/>
    <n v="37"/>
    <s v="Delhi"/>
    <n v="5"/>
    <n v="1"/>
    <n v="2401"/>
    <s v="Disputed"/>
  </r>
  <r>
    <d v="2024-08-24T00:00:00"/>
    <x v="8"/>
    <s v="Auto-rickshaw"/>
    <x v="3"/>
    <n v="3421"/>
    <b v="0"/>
    <s v="Foggy"/>
    <s v="Night"/>
    <s v="Wet"/>
    <s v="50+"/>
    <n v="0"/>
    <s v="Low"/>
    <s v="Suspended"/>
    <b v="0"/>
    <n v="76"/>
    <s v="Uttar Pradesh"/>
    <n v="3"/>
    <n v="1"/>
    <n v="1525"/>
    <s v="Paid"/>
  </r>
  <r>
    <d v="2024-08-25T00:00:00"/>
    <x v="14"/>
    <s v="Bus"/>
    <x v="2"/>
    <n v="2829"/>
    <b v="1"/>
    <s v="Rainy"/>
    <s v="Morning"/>
    <s v="Slippery"/>
    <s v="18-25"/>
    <n v="1"/>
    <s v="High"/>
    <s v="Expired"/>
    <b v="1"/>
    <n v="80"/>
    <s v="Rajasthan"/>
    <n v="10"/>
    <n v="3"/>
    <n v="1847"/>
    <s v="Unpaid"/>
  </r>
  <r>
    <d v="2024-08-25T00:00:00"/>
    <x v="8"/>
    <s v="Bus"/>
    <x v="5"/>
    <n v="6029"/>
    <b v="1"/>
    <s v="Cloudy"/>
    <s v="Morning"/>
    <s v="Under Construction"/>
    <s v="50+"/>
    <n v="0"/>
    <s v="High"/>
    <s v="Expired"/>
    <b v="0"/>
    <n v="79"/>
    <s v="Rajasthan"/>
    <n v="9"/>
    <n v="2"/>
    <n v="2066"/>
    <s v="Disputed"/>
  </r>
  <r>
    <d v="2024-08-25T00:00:00"/>
    <x v="7"/>
    <s v="Truck"/>
    <x v="3"/>
    <n v="2782"/>
    <b v="0"/>
    <s v="Cloudy"/>
    <s v="Night"/>
    <s v="Under Construction"/>
    <s v="36-50"/>
    <n v="3"/>
    <s v="Medium"/>
    <s v="Learner"/>
    <b v="1"/>
    <n v="120"/>
    <s v="Delhi"/>
    <n v="6"/>
    <n v="2"/>
    <n v="3927"/>
    <s v="Disputed"/>
  </r>
  <r>
    <d v="2024-08-25T00:00:00"/>
    <x v="12"/>
    <s v="Truck"/>
    <x v="1"/>
    <n v="1000"/>
    <b v="1"/>
    <s v="Stormy"/>
    <s v="Night"/>
    <s v="Under Construction"/>
    <s v="36-50"/>
    <n v="4"/>
    <s v="Medium"/>
    <s v="Learner"/>
    <b v="1"/>
    <n v="56"/>
    <s v="Haryana"/>
    <n v="7"/>
    <n v="1"/>
    <n v="3804"/>
    <s v="Unpaid"/>
  </r>
  <r>
    <d v="2024-08-26T00:00:00"/>
    <x v="5"/>
    <s v="Truck"/>
    <x v="4"/>
    <n v="5725"/>
    <b v="0"/>
    <s v="Stormy"/>
    <s v="Morning"/>
    <s v="Dry"/>
    <s v="36-50"/>
    <n v="5"/>
    <s v="Medium"/>
    <s v="Suspended"/>
    <b v="0"/>
    <n v="37"/>
    <s v="Uttar Pradesh"/>
    <n v="7"/>
    <n v="2"/>
    <n v="2482"/>
    <s v="Paid"/>
  </r>
  <r>
    <d v="2024-08-26T00:00:00"/>
    <x v="13"/>
    <s v="Bus"/>
    <x v="4"/>
    <n v="8706"/>
    <b v="1"/>
    <s v="Cloudy"/>
    <s v="Evening"/>
    <s v="Under Construction"/>
    <s v="36-50"/>
    <n v="6"/>
    <s v="Medium"/>
    <s v="Valid"/>
    <b v="0"/>
    <n v="117"/>
    <s v="Haryana"/>
    <n v="6"/>
    <n v="3"/>
    <n v="3613"/>
    <s v="Disputed"/>
  </r>
  <r>
    <d v="2024-08-26T00:00:00"/>
    <x v="3"/>
    <s v="Car"/>
    <x v="3"/>
    <n v="3811"/>
    <b v="0"/>
    <s v="Clear"/>
    <s v="Afternoon"/>
    <s v="Slippery"/>
    <s v="26-35"/>
    <n v="1"/>
    <s v="Medium"/>
    <s v="Expired"/>
    <b v="1"/>
    <n v="9"/>
    <s v="Uttar Pradesh"/>
    <n v="8"/>
    <n v="1"/>
    <n v="2593"/>
    <s v="Paid"/>
  </r>
  <r>
    <d v="2024-08-27T00:00:00"/>
    <x v="14"/>
    <s v="Auto-rickshaw"/>
    <x v="4"/>
    <n v="8878"/>
    <b v="0"/>
    <s v="Rainy"/>
    <s v="Morning"/>
    <s v="Dry"/>
    <s v="50+"/>
    <n v="1"/>
    <s v="Low"/>
    <s v="Suspended"/>
    <b v="0"/>
    <n v="36"/>
    <s v="Punjab"/>
    <n v="3"/>
    <n v="3"/>
    <n v="3456"/>
    <s v="Disputed"/>
  </r>
  <r>
    <d v="2024-08-27T00:00:00"/>
    <x v="7"/>
    <s v="Car"/>
    <x v="4"/>
    <n v="9535"/>
    <b v="1"/>
    <s v="Cloudy"/>
    <s v="Night"/>
    <s v="Under Construction"/>
    <s v="26-35"/>
    <n v="3"/>
    <s v="Low"/>
    <s v="Expired"/>
    <b v="1"/>
    <n v="2"/>
    <s v="Uttar Pradesh"/>
    <n v="10"/>
    <n v="2"/>
    <n v="1265"/>
    <s v="Disputed"/>
  </r>
  <r>
    <d v="2024-08-27T00:00:00"/>
    <x v="1"/>
    <s v="Bike"/>
    <x v="2"/>
    <n v="1442"/>
    <b v="0"/>
    <s v="Stormy"/>
    <s v="Night"/>
    <s v="Wet"/>
    <s v="36-50"/>
    <n v="1"/>
    <s v="Medium"/>
    <s v="Valid"/>
    <b v="0"/>
    <n v="44"/>
    <s v="Uttar Pradesh"/>
    <n v="6"/>
    <n v="2"/>
    <n v="2889"/>
    <s v="Disputed"/>
  </r>
  <r>
    <d v="2024-08-27T00:00:00"/>
    <x v="0"/>
    <s v="Bike"/>
    <x v="0"/>
    <n v="1000"/>
    <b v="0"/>
    <s v="Stormy"/>
    <s v="Evening"/>
    <s v="Under Construction"/>
    <s v="18-25"/>
    <n v="2"/>
    <s v="High"/>
    <s v="Learner"/>
    <b v="0"/>
    <n v="15"/>
    <s v="Punjab"/>
    <n v="6"/>
    <n v="1"/>
    <n v="1136"/>
    <s v="Paid"/>
  </r>
  <r>
    <d v="2024-08-28T00:00:00"/>
    <x v="14"/>
    <s v="Truck"/>
    <x v="3"/>
    <n v="2668"/>
    <b v="1"/>
    <s v="Stormy"/>
    <s v="Evening"/>
    <s v="Under Construction"/>
    <s v="50+"/>
    <n v="1"/>
    <s v="Low"/>
    <s v="Expired"/>
    <b v="0"/>
    <n v="65"/>
    <s v="Delhi"/>
    <n v="7"/>
    <n v="1"/>
    <n v="4002"/>
    <s v="Unpaid"/>
  </r>
  <r>
    <d v="2024-08-28T00:00:00"/>
    <x v="6"/>
    <s v="Bus"/>
    <x v="1"/>
    <n v="1000"/>
    <b v="0"/>
    <s v="Stormy"/>
    <s v="Morning"/>
    <s v="Dry"/>
    <s v="36-50"/>
    <n v="1"/>
    <s v="High"/>
    <s v="Expired"/>
    <b v="1"/>
    <n v="97"/>
    <s v="Punjab"/>
    <n v="7"/>
    <n v="3"/>
    <n v="2259"/>
    <s v="Paid"/>
  </r>
  <r>
    <d v="2024-09-01T00:00:00"/>
    <x v="3"/>
    <s v="Bike"/>
    <x v="0"/>
    <n v="1000"/>
    <b v="1"/>
    <s v="Clear"/>
    <s v="Afternoon"/>
    <s v="Dry"/>
    <s v="50+"/>
    <n v="1"/>
    <s v="Medium"/>
    <s v="Valid"/>
    <b v="1"/>
    <n v="47"/>
    <s v="Delhi"/>
    <n v="3"/>
    <n v="1"/>
    <n v="3215"/>
    <s v="Paid"/>
  </r>
  <r>
    <d v="2024-09-01T00:00:00"/>
    <x v="9"/>
    <s v="Auto-rickshaw"/>
    <x v="3"/>
    <n v="2271"/>
    <b v="0"/>
    <s v="Cloudy"/>
    <s v="Morning"/>
    <s v="Dry"/>
    <s v="50+"/>
    <n v="0"/>
    <s v="Medium"/>
    <s v="Learner"/>
    <b v="0"/>
    <n v="103"/>
    <s v="Haryana"/>
    <n v="7"/>
    <n v="2"/>
    <n v="1459"/>
    <s v="Unpaid"/>
  </r>
  <r>
    <d v="2024-09-01T00:00:00"/>
    <x v="8"/>
    <s v="Bike"/>
    <x v="0"/>
    <n v="1000"/>
    <b v="1"/>
    <s v="Foggy"/>
    <s v="Afternoon"/>
    <s v="Dry"/>
    <s v="50+"/>
    <n v="2"/>
    <s v="High"/>
    <s v="Suspended"/>
    <b v="1"/>
    <n v="101"/>
    <s v="Delhi"/>
    <n v="7"/>
    <n v="1"/>
    <n v="704"/>
    <s v="Disputed"/>
  </r>
  <r>
    <d v="2024-09-02T00:00:00"/>
    <x v="13"/>
    <s v="Car"/>
    <x v="2"/>
    <n v="4677"/>
    <b v="0"/>
    <s v="Stormy"/>
    <s v="Evening"/>
    <s v="Under Construction"/>
    <s v="26-35"/>
    <n v="4"/>
    <s v="High"/>
    <s v="Expired"/>
    <b v="0"/>
    <n v="65"/>
    <s v="Punjab"/>
    <n v="4"/>
    <n v="2"/>
    <n v="4249"/>
    <s v="Paid"/>
  </r>
  <r>
    <d v="2024-09-03T00:00:00"/>
    <x v="0"/>
    <s v="Auto-rickshaw"/>
    <x v="4"/>
    <n v="5501"/>
    <b v="0"/>
    <s v="Stormy"/>
    <s v="Night"/>
    <s v="Under Construction"/>
    <s v="50+"/>
    <n v="0"/>
    <s v="High"/>
    <s v="Learner"/>
    <b v="1"/>
    <n v="98"/>
    <s v="Delhi"/>
    <n v="4"/>
    <n v="2"/>
    <n v="3634"/>
    <s v="Disputed"/>
  </r>
  <r>
    <d v="2024-09-05T00:00:00"/>
    <x v="7"/>
    <s v="Bus"/>
    <x v="1"/>
    <n v="1000"/>
    <b v="0"/>
    <s v="Foggy"/>
    <s v="Morning"/>
    <s v="Slippery"/>
    <s v="50+"/>
    <n v="5"/>
    <s v="High"/>
    <s v="Suspended"/>
    <b v="1"/>
    <n v="60"/>
    <s v="Punjab"/>
    <n v="4"/>
    <n v="2"/>
    <n v="2841"/>
    <s v="Disputed"/>
  </r>
  <r>
    <d v="2024-09-05T00:00:00"/>
    <x v="8"/>
    <s v="Car"/>
    <x v="1"/>
    <n v="1000"/>
    <b v="0"/>
    <s v="Stormy"/>
    <s v="Morning"/>
    <s v="Dry"/>
    <s v="18-25"/>
    <n v="2"/>
    <s v="Medium"/>
    <s v="Valid"/>
    <b v="1"/>
    <n v="50"/>
    <s v="Uttar Pradesh"/>
    <n v="5"/>
    <n v="3"/>
    <n v="576"/>
    <s v="Unpaid"/>
  </r>
  <r>
    <d v="2024-09-06T00:00:00"/>
    <x v="2"/>
    <s v="Bus"/>
    <x v="1"/>
    <n v="1000"/>
    <b v="0"/>
    <s v="Stormy"/>
    <s v="Night"/>
    <s v="Dry"/>
    <s v="18-25"/>
    <n v="5"/>
    <s v="Medium"/>
    <s v="Valid"/>
    <b v="0"/>
    <n v="23"/>
    <s v="Punjab"/>
    <n v="5"/>
    <n v="2"/>
    <n v="4578"/>
    <s v="Disputed"/>
  </r>
  <r>
    <d v="2024-09-06T00:00:00"/>
    <x v="11"/>
    <s v="Truck"/>
    <x v="2"/>
    <n v="1863"/>
    <b v="0"/>
    <s v="Cloudy"/>
    <s v="Morning"/>
    <s v="Under Construction"/>
    <s v="26-35"/>
    <n v="3"/>
    <s v="Low"/>
    <s v="Suspended"/>
    <b v="0"/>
    <n v="94"/>
    <s v="Uttar Pradesh"/>
    <n v="3"/>
    <n v="1"/>
    <n v="675"/>
    <s v="Paid"/>
  </r>
  <r>
    <d v="2024-09-06T00:00:00"/>
    <x v="12"/>
    <s v="Bus"/>
    <x v="5"/>
    <n v="6988"/>
    <b v="0"/>
    <s v="Clear"/>
    <s v="Night"/>
    <s v="Slippery"/>
    <s v="18-25"/>
    <n v="5"/>
    <s v="Medium"/>
    <s v="Expired"/>
    <b v="1"/>
    <n v="32"/>
    <s v="Uttar Pradesh"/>
    <n v="9"/>
    <n v="2"/>
    <n v="3279"/>
    <s v="Disputed"/>
  </r>
  <r>
    <d v="2024-09-07T00:00:00"/>
    <x v="4"/>
    <s v="Bike"/>
    <x v="0"/>
    <n v="1000"/>
    <b v="0"/>
    <s v="Foggy"/>
    <s v="Morning"/>
    <s v="Wet"/>
    <s v="50+"/>
    <n v="3"/>
    <s v="High"/>
    <s v="Learner"/>
    <b v="1"/>
    <n v="31"/>
    <s v="Delhi"/>
    <n v="10"/>
    <n v="1"/>
    <n v="1223"/>
    <s v="Disputed"/>
  </r>
  <r>
    <d v="2024-09-07T00:00:00"/>
    <x v="1"/>
    <s v="Car"/>
    <x v="1"/>
    <n v="1000"/>
    <b v="0"/>
    <s v="Foggy"/>
    <s v="Morning"/>
    <s v="Wet"/>
    <s v="18-25"/>
    <n v="3"/>
    <s v="Medium"/>
    <s v="Expired"/>
    <b v="1"/>
    <n v="101"/>
    <s v="Uttar Pradesh"/>
    <n v="7"/>
    <n v="2"/>
    <n v="4506"/>
    <s v="Paid"/>
  </r>
  <r>
    <d v="2024-09-07T00:00:00"/>
    <x v="7"/>
    <s v="Auto-rickshaw"/>
    <x v="2"/>
    <n v="2177"/>
    <b v="0"/>
    <s v="Cloudy"/>
    <s v="Night"/>
    <s v="Under Construction"/>
    <s v="36-50"/>
    <n v="4"/>
    <s v="Low"/>
    <s v="Learner"/>
    <b v="0"/>
    <n v="70"/>
    <s v="Punjab"/>
    <n v="6"/>
    <n v="1"/>
    <n v="3295"/>
    <s v="Paid"/>
  </r>
  <r>
    <d v="2024-09-07T00:00:00"/>
    <x v="1"/>
    <s v="Truck"/>
    <x v="4"/>
    <n v="6186"/>
    <b v="1"/>
    <s v="Cloudy"/>
    <s v="Night"/>
    <s v="Dry"/>
    <s v="36-50"/>
    <n v="4"/>
    <s v="High"/>
    <s v="Suspended"/>
    <b v="0"/>
    <n v="91"/>
    <s v="Haryana"/>
    <n v="1"/>
    <n v="1"/>
    <n v="1230"/>
    <s v="Unpaid"/>
  </r>
  <r>
    <d v="2024-09-07T00:00:00"/>
    <x v="6"/>
    <s v="Bus"/>
    <x v="1"/>
    <n v="1000"/>
    <b v="0"/>
    <s v="Clear"/>
    <s v="Night"/>
    <s v="Slippery"/>
    <s v="36-50"/>
    <n v="1"/>
    <s v="Low"/>
    <s v="Learner"/>
    <b v="0"/>
    <n v="104"/>
    <s v="Uttar Pradesh"/>
    <n v="5"/>
    <n v="1"/>
    <n v="4767"/>
    <s v="Unpaid"/>
  </r>
  <r>
    <d v="2024-09-07T00:00:00"/>
    <x v="1"/>
    <s v="Auto-rickshaw"/>
    <x v="3"/>
    <n v="3215"/>
    <b v="0"/>
    <s v="Stormy"/>
    <s v="Evening"/>
    <s v="Slippery"/>
    <s v="26-35"/>
    <n v="0"/>
    <s v="Low"/>
    <s v="Learner"/>
    <b v="0"/>
    <n v="89"/>
    <s v="Haryana"/>
    <n v="6"/>
    <n v="2"/>
    <n v="4129"/>
    <s v="Paid"/>
  </r>
  <r>
    <d v="2024-09-07T00:00:00"/>
    <x v="7"/>
    <s v="Bus"/>
    <x v="3"/>
    <n v="2201"/>
    <b v="0"/>
    <s v="Stormy"/>
    <s v="Night"/>
    <s v="Wet"/>
    <s v="26-35"/>
    <n v="4"/>
    <s v="Low"/>
    <s v="Expired"/>
    <b v="0"/>
    <n v="42"/>
    <s v="Rajasthan"/>
    <n v="10"/>
    <n v="1"/>
    <n v="1154"/>
    <s v="Paid"/>
  </r>
  <r>
    <d v="2024-09-07T00:00:00"/>
    <x v="5"/>
    <s v="Bike"/>
    <x v="2"/>
    <n v="4337"/>
    <b v="0"/>
    <s v="Stormy"/>
    <s v="Morning"/>
    <s v="Under Construction"/>
    <s v="26-35"/>
    <n v="4"/>
    <s v="Medium"/>
    <s v="Learner"/>
    <b v="1"/>
    <n v="57"/>
    <s v="Punjab"/>
    <n v="8"/>
    <n v="1"/>
    <n v="4162"/>
    <s v="Unpaid"/>
  </r>
  <r>
    <d v="2024-09-08T00:00:00"/>
    <x v="8"/>
    <s v="Auto-rickshaw"/>
    <x v="1"/>
    <n v="1000"/>
    <b v="1"/>
    <s v="Stormy"/>
    <s v="Morning"/>
    <s v="Wet"/>
    <s v="36-50"/>
    <n v="4"/>
    <s v="High"/>
    <s v="Suspended"/>
    <b v="1"/>
    <n v="101"/>
    <s v="Haryana"/>
    <n v="1"/>
    <n v="3"/>
    <n v="2076"/>
    <s v="Unpaid"/>
  </r>
  <r>
    <d v="2024-09-08T00:00:00"/>
    <x v="5"/>
    <s v="Auto-rickshaw"/>
    <x v="1"/>
    <n v="1000"/>
    <b v="0"/>
    <s v="Stormy"/>
    <s v="Night"/>
    <s v="Dry"/>
    <s v="26-35"/>
    <n v="1"/>
    <s v="Medium"/>
    <s v="Expired"/>
    <b v="0"/>
    <n v="103"/>
    <s v="Rajasthan"/>
    <n v="4"/>
    <n v="2"/>
    <n v="2884"/>
    <s v="Paid"/>
  </r>
  <r>
    <d v="2024-09-08T00:00:00"/>
    <x v="1"/>
    <s v="Auto-rickshaw"/>
    <x v="5"/>
    <n v="2907"/>
    <b v="0"/>
    <s v="Rainy"/>
    <s v="Afternoon"/>
    <s v="Dry"/>
    <s v="50+"/>
    <n v="0"/>
    <s v="Low"/>
    <s v="Learner"/>
    <b v="1"/>
    <n v="6"/>
    <s v="Haryana"/>
    <n v="9"/>
    <n v="1"/>
    <n v="4702"/>
    <s v="Unpaid"/>
  </r>
  <r>
    <d v="2024-09-09T00:00:00"/>
    <x v="4"/>
    <s v="Car"/>
    <x v="1"/>
    <n v="1000"/>
    <b v="0"/>
    <s v="Cloudy"/>
    <s v="Night"/>
    <s v="Wet"/>
    <s v="18-25"/>
    <n v="1"/>
    <s v="High"/>
    <s v="Suspended"/>
    <b v="0"/>
    <n v="1"/>
    <s v="Haryana"/>
    <n v="1"/>
    <n v="3"/>
    <n v="1203"/>
    <s v="Paid"/>
  </r>
  <r>
    <d v="2024-09-10T00:00:00"/>
    <x v="9"/>
    <s v="Auto-rickshaw"/>
    <x v="1"/>
    <n v="1000"/>
    <b v="0"/>
    <s v="Stormy"/>
    <s v="Evening"/>
    <s v="Dry"/>
    <s v="18-25"/>
    <n v="3"/>
    <s v="Low"/>
    <s v="Valid"/>
    <b v="0"/>
    <n v="86"/>
    <s v="Punjab"/>
    <n v="8"/>
    <n v="2"/>
    <n v="768"/>
    <s v="Paid"/>
  </r>
  <r>
    <d v="2024-09-10T00:00:00"/>
    <x v="13"/>
    <s v="Truck"/>
    <x v="3"/>
    <n v="4765"/>
    <b v="0"/>
    <s v="Rainy"/>
    <s v="Morning"/>
    <s v="Wet"/>
    <s v="18-25"/>
    <n v="0"/>
    <s v="High"/>
    <s v="Learner"/>
    <b v="1"/>
    <n v="97"/>
    <s v="Delhi"/>
    <n v="9"/>
    <n v="2"/>
    <n v="2067"/>
    <s v="Unpaid"/>
  </r>
  <r>
    <d v="2024-09-10T00:00:00"/>
    <x v="7"/>
    <s v="Car"/>
    <x v="5"/>
    <n v="2417"/>
    <b v="1"/>
    <s v="Rainy"/>
    <s v="Evening"/>
    <s v="Slippery"/>
    <s v="26-35"/>
    <n v="2"/>
    <s v="Low"/>
    <s v="Expired"/>
    <b v="0"/>
    <n v="49"/>
    <s v="Rajasthan"/>
    <n v="3"/>
    <n v="2"/>
    <n v="3996"/>
    <s v="Paid"/>
  </r>
  <r>
    <d v="2024-09-10T00:00:00"/>
    <x v="8"/>
    <s v="Car"/>
    <x v="3"/>
    <n v="4283"/>
    <b v="0"/>
    <s v="Rainy"/>
    <s v="Night"/>
    <s v="Slippery"/>
    <s v="50+"/>
    <n v="1"/>
    <s v="Low"/>
    <s v="Learner"/>
    <b v="1"/>
    <n v="31"/>
    <s v="Haryana"/>
    <n v="1"/>
    <n v="1"/>
    <n v="2591"/>
    <s v="Paid"/>
  </r>
  <r>
    <d v="2024-09-11T00:00:00"/>
    <x v="8"/>
    <s v="Truck"/>
    <x v="5"/>
    <n v="4414"/>
    <b v="1"/>
    <s v="Foggy"/>
    <s v="Morning"/>
    <s v="Under Construction"/>
    <s v="26-35"/>
    <n v="1"/>
    <s v="Low"/>
    <s v="Learner"/>
    <b v="0"/>
    <n v="95"/>
    <s v="Delhi"/>
    <n v="2"/>
    <n v="3"/>
    <n v="2160"/>
    <s v="Paid"/>
  </r>
  <r>
    <d v="2024-09-11T00:00:00"/>
    <x v="4"/>
    <s v="Auto-rickshaw"/>
    <x v="5"/>
    <n v="5187"/>
    <b v="1"/>
    <s v="Stormy"/>
    <s v="Afternoon"/>
    <s v="Dry"/>
    <s v="50+"/>
    <n v="1"/>
    <s v="Low"/>
    <s v="Learner"/>
    <b v="0"/>
    <n v="16"/>
    <s v="Uttar Pradesh"/>
    <n v="10"/>
    <n v="2"/>
    <n v="2997"/>
    <s v="Unpaid"/>
  </r>
  <r>
    <d v="2024-09-11T00:00:00"/>
    <x v="10"/>
    <s v="Truck"/>
    <x v="1"/>
    <n v="1000"/>
    <b v="0"/>
    <s v="Stormy"/>
    <s v="Evening"/>
    <s v="Under Construction"/>
    <s v="50+"/>
    <n v="2"/>
    <s v="Low"/>
    <s v="Suspended"/>
    <b v="0"/>
    <n v="90"/>
    <s v="Punjab"/>
    <n v="2"/>
    <n v="3"/>
    <n v="2885"/>
    <s v="Paid"/>
  </r>
  <r>
    <d v="2024-09-11T00:00:00"/>
    <x v="9"/>
    <s v="Auto-rickshaw"/>
    <x v="2"/>
    <n v="4807"/>
    <b v="0"/>
    <s v="Stormy"/>
    <s v="Morning"/>
    <s v="Under Construction"/>
    <s v="26-35"/>
    <n v="0"/>
    <s v="Medium"/>
    <s v="Suspended"/>
    <b v="0"/>
    <n v="18"/>
    <s v="Rajasthan"/>
    <n v="8"/>
    <n v="1"/>
    <n v="2140"/>
    <s v="Disputed"/>
  </r>
  <r>
    <d v="2024-09-12T00:00:00"/>
    <x v="3"/>
    <s v="Car"/>
    <x v="1"/>
    <n v="1000"/>
    <b v="0"/>
    <s v="Cloudy"/>
    <s v="Morning"/>
    <s v="Wet"/>
    <s v="50+"/>
    <n v="1"/>
    <s v="High"/>
    <s v="Suspended"/>
    <b v="1"/>
    <n v="114"/>
    <s v="Punjab"/>
    <n v="6"/>
    <n v="3"/>
    <n v="1618"/>
    <s v="Unpaid"/>
  </r>
  <r>
    <d v="2024-09-13T00:00:00"/>
    <x v="11"/>
    <s v="Bus"/>
    <x v="4"/>
    <n v="8530"/>
    <b v="0"/>
    <s v="Clear"/>
    <s v="Morning"/>
    <s v="Under Construction"/>
    <s v="36-50"/>
    <n v="1"/>
    <s v="Medium"/>
    <s v="Learner"/>
    <b v="1"/>
    <n v="28"/>
    <s v="Haryana"/>
    <n v="9"/>
    <n v="2"/>
    <n v="4643"/>
    <s v="Unpaid"/>
  </r>
  <r>
    <d v="2024-09-14T00:00:00"/>
    <x v="14"/>
    <s v="Bike"/>
    <x v="2"/>
    <n v="4089"/>
    <b v="0"/>
    <s v="Cloudy"/>
    <s v="Morning"/>
    <s v="Slippery"/>
    <s v="18-25"/>
    <n v="3"/>
    <s v="Medium"/>
    <s v="Valid"/>
    <b v="1"/>
    <n v="52"/>
    <s v="Haryana"/>
    <n v="10"/>
    <n v="3"/>
    <n v="2843"/>
    <s v="Paid"/>
  </r>
  <r>
    <d v="2024-09-14T00:00:00"/>
    <x v="6"/>
    <s v="Bus"/>
    <x v="4"/>
    <n v="7762"/>
    <b v="0"/>
    <s v="Foggy"/>
    <s v="Morning"/>
    <s v="Slippery"/>
    <s v="26-35"/>
    <n v="2"/>
    <s v="Low"/>
    <s v="Learner"/>
    <b v="0"/>
    <n v="34"/>
    <s v="Punjab"/>
    <n v="5"/>
    <n v="2"/>
    <n v="2581"/>
    <s v="Unpaid"/>
  </r>
  <r>
    <d v="2024-09-14T00:00:00"/>
    <x v="14"/>
    <s v="Auto-rickshaw"/>
    <x v="4"/>
    <n v="9017"/>
    <b v="1"/>
    <s v="Stormy"/>
    <s v="Night"/>
    <s v="Dry"/>
    <s v="50+"/>
    <n v="4"/>
    <s v="Medium"/>
    <s v="Learner"/>
    <b v="1"/>
    <n v="66"/>
    <s v="Delhi"/>
    <n v="1"/>
    <n v="2"/>
    <n v="3410"/>
    <s v="Paid"/>
  </r>
  <r>
    <d v="2024-09-14T00:00:00"/>
    <x v="3"/>
    <s v="Truck"/>
    <x v="5"/>
    <n v="6926"/>
    <b v="0"/>
    <s v="Foggy"/>
    <s v="Evening"/>
    <s v="Under Construction"/>
    <s v="36-50"/>
    <n v="3"/>
    <s v="Low"/>
    <s v="Expired"/>
    <b v="0"/>
    <n v="9"/>
    <s v="Haryana"/>
    <n v="5"/>
    <n v="1"/>
    <n v="4008"/>
    <s v="Unpaid"/>
  </r>
  <r>
    <d v="2024-09-14T00:00:00"/>
    <x v="6"/>
    <s v="Car"/>
    <x v="1"/>
    <n v="1000"/>
    <b v="0"/>
    <s v="Clear"/>
    <s v="Morning"/>
    <s v="Wet"/>
    <s v="26-35"/>
    <n v="1"/>
    <s v="High"/>
    <s v="Valid"/>
    <b v="0"/>
    <n v="120"/>
    <s v="Haryana"/>
    <n v="1"/>
    <n v="3"/>
    <n v="1797"/>
    <s v="Unpaid"/>
  </r>
  <r>
    <d v="2024-09-14T00:00:00"/>
    <x v="9"/>
    <s v="Truck"/>
    <x v="3"/>
    <n v="3477"/>
    <b v="0"/>
    <s v="Cloudy"/>
    <s v="Evening"/>
    <s v="Under Construction"/>
    <s v="36-50"/>
    <n v="4"/>
    <s v="High"/>
    <s v="Expired"/>
    <b v="1"/>
    <n v="43"/>
    <s v="Uttar Pradesh"/>
    <n v="8"/>
    <n v="1"/>
    <n v="2887"/>
    <s v="Disputed"/>
  </r>
  <r>
    <d v="2024-09-15T00:00:00"/>
    <x v="4"/>
    <s v="Bike"/>
    <x v="3"/>
    <n v="4298"/>
    <b v="0"/>
    <s v="Cloudy"/>
    <s v="Evening"/>
    <s v="Wet"/>
    <s v="36-50"/>
    <n v="1"/>
    <s v="Medium"/>
    <s v="Suspended"/>
    <b v="1"/>
    <n v="55"/>
    <s v="Delhi"/>
    <n v="10"/>
    <n v="3"/>
    <n v="2028"/>
    <s v="Disputed"/>
  </r>
  <r>
    <d v="2024-09-15T00:00:00"/>
    <x v="13"/>
    <s v="Auto-rickshaw"/>
    <x v="1"/>
    <n v="1000"/>
    <b v="0"/>
    <s v="Rainy"/>
    <s v="Night"/>
    <s v="Slippery"/>
    <s v="18-25"/>
    <n v="5"/>
    <s v="High"/>
    <s v="Valid"/>
    <b v="0"/>
    <n v="77"/>
    <s v="Haryana"/>
    <n v="8"/>
    <n v="3"/>
    <n v="886"/>
    <s v="Unpaid"/>
  </r>
  <r>
    <d v="2024-09-15T00:00:00"/>
    <x v="1"/>
    <s v="Bike"/>
    <x v="0"/>
    <n v="1000"/>
    <b v="0"/>
    <s v="Stormy"/>
    <s v="Evening"/>
    <s v="Wet"/>
    <s v="50+"/>
    <n v="2"/>
    <s v="Low"/>
    <s v="Learner"/>
    <b v="0"/>
    <n v="14"/>
    <s v="Punjab"/>
    <n v="6"/>
    <n v="3"/>
    <n v="4150"/>
    <s v="Unpaid"/>
  </r>
  <r>
    <d v="2024-09-15T00:00:00"/>
    <x v="2"/>
    <s v="Bike"/>
    <x v="0"/>
    <n v="1000"/>
    <b v="1"/>
    <s v="Cloudy"/>
    <s v="Night"/>
    <s v="Wet"/>
    <s v="26-35"/>
    <n v="1"/>
    <s v="Low"/>
    <s v="Expired"/>
    <b v="1"/>
    <n v="26"/>
    <s v="Rajasthan"/>
    <n v="5"/>
    <n v="2"/>
    <n v="2807"/>
    <s v="Paid"/>
  </r>
  <r>
    <d v="2024-09-16T00:00:00"/>
    <x v="6"/>
    <s v="Car"/>
    <x v="2"/>
    <n v="3556"/>
    <b v="0"/>
    <s v="Stormy"/>
    <s v="Afternoon"/>
    <s v="Slippery"/>
    <s v="18-25"/>
    <n v="1"/>
    <s v="Medium"/>
    <s v="Valid"/>
    <b v="1"/>
    <n v="27"/>
    <s v="Haryana"/>
    <n v="1"/>
    <n v="3"/>
    <n v="1123"/>
    <s v="Paid"/>
  </r>
  <r>
    <d v="2024-09-17T00:00:00"/>
    <x v="3"/>
    <s v="Truck"/>
    <x v="4"/>
    <n v="7930"/>
    <b v="1"/>
    <s v="Clear"/>
    <s v="Evening"/>
    <s v="Dry"/>
    <s v="18-25"/>
    <n v="2"/>
    <s v="Medium"/>
    <s v="Suspended"/>
    <b v="0"/>
    <n v="72"/>
    <s v="Punjab"/>
    <n v="5"/>
    <n v="1"/>
    <n v="3870"/>
    <s v="Paid"/>
  </r>
  <r>
    <d v="2024-09-17T00:00:00"/>
    <x v="0"/>
    <s v="Truck"/>
    <x v="5"/>
    <n v="6029"/>
    <b v="0"/>
    <s v="Foggy"/>
    <s v="Morning"/>
    <s v="Wet"/>
    <s v="18-25"/>
    <n v="5"/>
    <s v="High"/>
    <s v="Learner"/>
    <b v="1"/>
    <n v="3"/>
    <s v="Haryana"/>
    <n v="8"/>
    <n v="3"/>
    <n v="4799"/>
    <s v="Unpaid"/>
  </r>
  <r>
    <d v="2024-09-18T00:00:00"/>
    <x v="8"/>
    <s v="Bus"/>
    <x v="1"/>
    <n v="1000"/>
    <b v="1"/>
    <s v="Foggy"/>
    <s v="Night"/>
    <s v="Under Construction"/>
    <s v="26-35"/>
    <n v="5"/>
    <s v="Medium"/>
    <s v="Valid"/>
    <b v="0"/>
    <n v="72"/>
    <s v="Delhi"/>
    <n v="7"/>
    <n v="1"/>
    <n v="3378"/>
    <s v="Disputed"/>
  </r>
  <r>
    <d v="2024-09-18T00:00:00"/>
    <x v="14"/>
    <s v="Auto-rickshaw"/>
    <x v="5"/>
    <n v="2234"/>
    <b v="0"/>
    <s v="Cloudy"/>
    <s v="Evening"/>
    <s v="Wet"/>
    <s v="18-25"/>
    <n v="5"/>
    <s v="Medium"/>
    <s v="Suspended"/>
    <b v="1"/>
    <n v="110"/>
    <s v="Delhi"/>
    <n v="1"/>
    <n v="2"/>
    <n v="3984"/>
    <s v="Disputed"/>
  </r>
  <r>
    <d v="2024-09-18T00:00:00"/>
    <x v="13"/>
    <s v="Bike"/>
    <x v="0"/>
    <n v="1000"/>
    <b v="0"/>
    <s v="Rainy"/>
    <s v="Morning"/>
    <s v="Dry"/>
    <s v="26-35"/>
    <n v="1"/>
    <s v="High"/>
    <s v="Valid"/>
    <b v="0"/>
    <n v="73"/>
    <s v="Delhi"/>
    <n v="1"/>
    <n v="3"/>
    <n v="912"/>
    <s v="Paid"/>
  </r>
  <r>
    <d v="2024-09-20T00:00:00"/>
    <x v="11"/>
    <s v="Bike"/>
    <x v="5"/>
    <n v="4983"/>
    <b v="1"/>
    <s v="Clear"/>
    <s v="Night"/>
    <s v="Dry"/>
    <s v="50+"/>
    <n v="1"/>
    <s v="Low"/>
    <s v="Valid"/>
    <b v="0"/>
    <n v="34"/>
    <s v="Punjab"/>
    <n v="10"/>
    <n v="3"/>
    <n v="1021"/>
    <s v="Disputed"/>
  </r>
  <r>
    <d v="2024-09-20T00:00:00"/>
    <x v="6"/>
    <s v="Bus"/>
    <x v="3"/>
    <n v="4873"/>
    <b v="0"/>
    <s v="Clear"/>
    <s v="Night"/>
    <s v="Slippery"/>
    <s v="18-25"/>
    <n v="12"/>
    <s v="Low"/>
    <s v="Valid"/>
    <b v="1"/>
    <n v="42"/>
    <s v="Uttar Pradesh"/>
    <n v="2"/>
    <n v="2"/>
    <n v="3044"/>
    <s v="Disputed"/>
  </r>
  <r>
    <d v="2024-09-20T00:00:00"/>
    <x v="13"/>
    <s v="Bus"/>
    <x v="1"/>
    <n v="1000"/>
    <b v="0"/>
    <s v="Rainy"/>
    <s v="Afternoon"/>
    <s v="Slippery"/>
    <s v="50+"/>
    <n v="5"/>
    <s v="Medium"/>
    <s v="Suspended"/>
    <b v="1"/>
    <n v="43"/>
    <s v="Uttar Pradesh"/>
    <n v="5"/>
    <n v="1"/>
    <n v="1659"/>
    <s v="Unpaid"/>
  </r>
  <r>
    <d v="2024-09-20T00:00:00"/>
    <x v="12"/>
    <s v="Bus"/>
    <x v="4"/>
    <n v="29000"/>
    <b v="1"/>
    <s v="Rainy"/>
    <s v="Evening"/>
    <s v="Dry"/>
    <s v="26-35"/>
    <n v="3"/>
    <s v="Medium"/>
    <s v="Expired"/>
    <b v="0"/>
    <n v="10"/>
    <s v="Rajasthan"/>
    <n v="3"/>
    <n v="3"/>
    <n v="3491"/>
    <s v="Unpaid"/>
  </r>
  <r>
    <d v="2024-09-21T00:00:00"/>
    <x v="2"/>
    <s v="Truck"/>
    <x v="1"/>
    <n v="1000"/>
    <b v="0"/>
    <s v="Cloudy"/>
    <s v="Afternoon"/>
    <s v="Wet"/>
    <s v="26-35"/>
    <n v="3"/>
    <s v="High"/>
    <s v="Expired"/>
    <b v="1"/>
    <n v="48"/>
    <s v="Uttar Pradesh"/>
    <n v="3"/>
    <n v="1"/>
    <n v="4468"/>
    <s v="Disputed"/>
  </r>
  <r>
    <d v="2024-09-21T00:00:00"/>
    <x v="11"/>
    <s v="Bus"/>
    <x v="2"/>
    <n v="2284"/>
    <b v="1"/>
    <s v="Clear"/>
    <s v="Evening"/>
    <s v="Dry"/>
    <s v="36-50"/>
    <n v="2"/>
    <s v="Low"/>
    <s v="Learner"/>
    <b v="1"/>
    <n v="100"/>
    <s v="Uttar Pradesh"/>
    <n v="3"/>
    <n v="3"/>
    <n v="2157"/>
    <s v="Disputed"/>
  </r>
  <r>
    <d v="2024-09-21T00:00:00"/>
    <x v="8"/>
    <s v="Bike"/>
    <x v="3"/>
    <n v="3490"/>
    <b v="0"/>
    <s v="Clear"/>
    <s v="Morning"/>
    <s v="Wet"/>
    <s v="50+"/>
    <n v="1"/>
    <s v="Medium"/>
    <s v="Learner"/>
    <b v="0"/>
    <n v="89"/>
    <s v="Uttar Pradesh"/>
    <n v="8"/>
    <n v="1"/>
    <n v="2396"/>
    <s v="Unpaid"/>
  </r>
  <r>
    <d v="2024-09-21T00:00:00"/>
    <x v="1"/>
    <s v="Bike"/>
    <x v="0"/>
    <n v="1000"/>
    <b v="0"/>
    <s v="Clear"/>
    <s v="Afternoon"/>
    <s v="Under Construction"/>
    <s v="50+"/>
    <n v="2"/>
    <s v="Low"/>
    <s v="Valid"/>
    <b v="1"/>
    <n v="0"/>
    <s v="Rajasthan"/>
    <n v="4"/>
    <n v="3"/>
    <n v="2647"/>
    <s v="Disputed"/>
  </r>
  <r>
    <d v="2024-09-21T00:00:00"/>
    <x v="0"/>
    <s v="Bike"/>
    <x v="0"/>
    <n v="1000"/>
    <b v="0"/>
    <s v="Rainy"/>
    <s v="Night"/>
    <s v="Under Construction"/>
    <s v="50+"/>
    <n v="1"/>
    <s v="High"/>
    <s v="Learner"/>
    <b v="0"/>
    <n v="30"/>
    <s v="Uttar Pradesh"/>
    <n v="2"/>
    <n v="2"/>
    <n v="3588"/>
    <s v="Paid"/>
  </r>
  <r>
    <d v="2024-09-21T00:00:00"/>
    <x v="12"/>
    <s v="Bus"/>
    <x v="1"/>
    <n v="1000"/>
    <b v="0"/>
    <s v="Rainy"/>
    <s v="Morning"/>
    <s v="Under Construction"/>
    <s v="50+"/>
    <n v="1"/>
    <s v="Low"/>
    <s v="Valid"/>
    <b v="0"/>
    <n v="28"/>
    <s v="Uttar Pradesh"/>
    <n v="7"/>
    <n v="1"/>
    <n v="3341"/>
    <s v="Unpaid"/>
  </r>
  <r>
    <d v="2024-09-22T00:00:00"/>
    <x v="14"/>
    <s v="Auto-rickshaw"/>
    <x v="5"/>
    <n v="6322"/>
    <b v="1"/>
    <s v="Rainy"/>
    <s v="Night"/>
    <s v="Wet"/>
    <s v="18-25"/>
    <n v="2"/>
    <s v="Low"/>
    <s v="Expired"/>
    <b v="0"/>
    <n v="86"/>
    <s v="Rajasthan"/>
    <n v="9"/>
    <n v="3"/>
    <n v="680"/>
    <s v="Disputed"/>
  </r>
  <r>
    <d v="2024-09-22T00:00:00"/>
    <x v="1"/>
    <s v="Truck"/>
    <x v="3"/>
    <n v="2362"/>
    <b v="0"/>
    <s v="Foggy"/>
    <s v="Evening"/>
    <s v="Dry"/>
    <s v="26-35"/>
    <n v="2"/>
    <s v="Low"/>
    <s v="Suspended"/>
    <b v="1"/>
    <n v="102"/>
    <s v="Uttar Pradesh"/>
    <n v="8"/>
    <n v="2"/>
    <n v="3975"/>
    <s v="Unpaid"/>
  </r>
  <r>
    <d v="2024-09-22T00:00:00"/>
    <x v="8"/>
    <s v="Bus"/>
    <x v="3"/>
    <n v="2131"/>
    <b v="1"/>
    <s v="Clear"/>
    <s v="Afternoon"/>
    <s v="Slippery"/>
    <s v="50+"/>
    <n v="4"/>
    <s v="High"/>
    <s v="Learner"/>
    <b v="1"/>
    <n v="51"/>
    <s v="Punjab"/>
    <n v="6"/>
    <n v="2"/>
    <n v="1169"/>
    <s v="Paid"/>
  </r>
  <r>
    <d v="2024-09-23T00:00:00"/>
    <x v="3"/>
    <s v="Bike"/>
    <x v="5"/>
    <n v="6324"/>
    <b v="1"/>
    <s v="Foggy"/>
    <s v="Morning"/>
    <s v="Slippery"/>
    <s v="26-35"/>
    <n v="3"/>
    <s v="Low"/>
    <s v="Expired"/>
    <b v="1"/>
    <n v="41"/>
    <s v="Punjab"/>
    <n v="6"/>
    <n v="2"/>
    <n v="995"/>
    <s v="Disputed"/>
  </r>
  <r>
    <d v="2024-09-25T00:00:00"/>
    <x v="6"/>
    <s v="Bike"/>
    <x v="0"/>
    <n v="1000"/>
    <b v="1"/>
    <s v="Foggy"/>
    <s v="Night"/>
    <s v="Slippery"/>
    <s v="18-25"/>
    <n v="2"/>
    <s v="Medium"/>
    <s v="Valid"/>
    <b v="0"/>
    <n v="28"/>
    <s v="Haryana"/>
    <n v="8"/>
    <n v="1"/>
    <n v="1978"/>
    <s v="Paid"/>
  </r>
  <r>
    <d v="2024-09-25T00:00:00"/>
    <x v="11"/>
    <s v="Bike"/>
    <x v="0"/>
    <n v="1000"/>
    <b v="1"/>
    <s v="Cloudy"/>
    <s v="Morning"/>
    <s v="Dry"/>
    <s v="26-35"/>
    <n v="2"/>
    <s v="High"/>
    <s v="Learner"/>
    <b v="1"/>
    <n v="76"/>
    <s v="Punjab"/>
    <n v="4"/>
    <n v="1"/>
    <n v="1269"/>
    <s v="Unpaid"/>
  </r>
  <r>
    <d v="2024-09-26T00:00:00"/>
    <x v="1"/>
    <s v="Auto-rickshaw"/>
    <x v="4"/>
    <n v="9449"/>
    <b v="0"/>
    <s v="Foggy"/>
    <s v="Evening"/>
    <s v="Wet"/>
    <s v="50+"/>
    <n v="3"/>
    <s v="Low"/>
    <s v="Learner"/>
    <b v="1"/>
    <n v="73"/>
    <s v="Haryana"/>
    <n v="6"/>
    <n v="3"/>
    <n v="2100"/>
    <s v="Unpaid"/>
  </r>
  <r>
    <d v="2024-09-26T00:00:00"/>
    <x v="14"/>
    <s v="Bus"/>
    <x v="2"/>
    <n v="4758"/>
    <b v="1"/>
    <s v="Stormy"/>
    <s v="Evening"/>
    <s v="Slippery"/>
    <s v="18-25"/>
    <n v="2"/>
    <s v="High"/>
    <s v="Learner"/>
    <b v="1"/>
    <n v="90"/>
    <s v="Uttar Pradesh"/>
    <n v="2"/>
    <n v="2"/>
    <n v="3450"/>
    <s v="Unpaid"/>
  </r>
  <r>
    <d v="2024-09-26T00:00:00"/>
    <x v="11"/>
    <s v="Truck"/>
    <x v="3"/>
    <n v="3024"/>
    <b v="0"/>
    <s v="Clear"/>
    <s v="Night"/>
    <s v="Slippery"/>
    <s v="26-35"/>
    <n v="0"/>
    <s v="Low"/>
    <s v="Valid"/>
    <b v="1"/>
    <n v="32"/>
    <s v="Rajasthan"/>
    <n v="4"/>
    <n v="2"/>
    <n v="3209"/>
    <s v="Disputed"/>
  </r>
  <r>
    <d v="2024-09-26T00:00:00"/>
    <x v="12"/>
    <s v="Bus"/>
    <x v="2"/>
    <n v="1488"/>
    <b v="0"/>
    <s v="Stormy"/>
    <s v="Afternoon"/>
    <s v="Under Construction"/>
    <s v="26-35"/>
    <n v="4"/>
    <s v="Low"/>
    <s v="Learner"/>
    <b v="1"/>
    <n v="21"/>
    <s v="Rajasthan"/>
    <n v="4"/>
    <n v="1"/>
    <n v="2749"/>
    <s v="Paid"/>
  </r>
  <r>
    <d v="2024-09-26T00:00:00"/>
    <x v="7"/>
    <s v="Bus"/>
    <x v="1"/>
    <n v="1000"/>
    <b v="1"/>
    <s v="Cloudy"/>
    <s v="Night"/>
    <s v="Wet"/>
    <s v="50+"/>
    <n v="4"/>
    <s v="Medium"/>
    <s v="Suspended"/>
    <b v="1"/>
    <n v="113"/>
    <s v="Haryana"/>
    <n v="4"/>
    <n v="1"/>
    <n v="1925"/>
    <s v="Disputed"/>
  </r>
  <r>
    <d v="2024-09-27T00:00:00"/>
    <x v="7"/>
    <s v="Auto-rickshaw"/>
    <x v="2"/>
    <n v="4641"/>
    <b v="0"/>
    <s v="Rainy"/>
    <s v="Morning"/>
    <s v="Slippery"/>
    <s v="18-25"/>
    <n v="0"/>
    <s v="Low"/>
    <s v="Suspended"/>
    <b v="1"/>
    <n v="96"/>
    <s v="Haryana"/>
    <n v="9"/>
    <n v="3"/>
    <n v="2121"/>
    <s v="Paid"/>
  </r>
  <r>
    <d v="2024-09-27T00:00:00"/>
    <x v="1"/>
    <s v="Bike"/>
    <x v="2"/>
    <n v="3177"/>
    <b v="0"/>
    <s v="Foggy"/>
    <s v="Afternoon"/>
    <s v="Under Construction"/>
    <s v="36-50"/>
    <n v="2"/>
    <s v="Low"/>
    <s v="Suspended"/>
    <b v="0"/>
    <n v="103"/>
    <s v="Haryana"/>
    <n v="4"/>
    <n v="2"/>
    <n v="1385"/>
    <s v="Unpaid"/>
  </r>
  <r>
    <d v="2024-09-27T00:00:00"/>
    <x v="0"/>
    <s v="Car"/>
    <x v="1"/>
    <n v="1000"/>
    <b v="0"/>
    <s v="Stormy"/>
    <s v="Night"/>
    <s v="Dry"/>
    <s v="26-35"/>
    <n v="2"/>
    <s v="Low"/>
    <s v="Learner"/>
    <b v="0"/>
    <n v="18"/>
    <s v="Haryana"/>
    <n v="10"/>
    <n v="3"/>
    <n v="1755"/>
    <s v="Disputed"/>
  </r>
  <r>
    <d v="2024-09-28T00:00:00"/>
    <x v="14"/>
    <s v="Bus"/>
    <x v="3"/>
    <n v="2395"/>
    <b v="1"/>
    <s v="Rainy"/>
    <s v="Morning"/>
    <s v="Under Construction"/>
    <s v="50+"/>
    <n v="3"/>
    <s v="Medium"/>
    <s v="Learner"/>
    <b v="1"/>
    <n v="52"/>
    <s v="Delhi"/>
    <n v="5"/>
    <n v="3"/>
    <n v="2541"/>
    <s v="Unpaid"/>
  </r>
  <r>
    <d v="2024-10-01T00:00:00"/>
    <x v="5"/>
    <s v="Auto-rickshaw"/>
    <x v="5"/>
    <n v="4594"/>
    <b v="0"/>
    <s v="Cloudy"/>
    <s v="Morning"/>
    <s v="Dry"/>
    <s v="36-50"/>
    <n v="5"/>
    <s v="Medium"/>
    <s v="Expired"/>
    <b v="0"/>
    <n v="117"/>
    <s v="Punjab"/>
    <n v="1"/>
    <n v="2"/>
    <n v="4672"/>
    <s v="Disputed"/>
  </r>
  <r>
    <d v="2024-10-01T00:00:00"/>
    <x v="1"/>
    <s v="Auto-rickshaw"/>
    <x v="2"/>
    <n v="2855"/>
    <b v="0"/>
    <s v="Clear"/>
    <s v="Evening"/>
    <s v="Slippery"/>
    <s v="26-35"/>
    <n v="5"/>
    <s v="Medium"/>
    <s v="Expired"/>
    <b v="1"/>
    <n v="76"/>
    <s v="Uttar Pradesh"/>
    <n v="6"/>
    <n v="1"/>
    <n v="1088"/>
    <s v="Disputed"/>
  </r>
  <r>
    <d v="2024-10-01T00:00:00"/>
    <x v="10"/>
    <s v="Truck"/>
    <x v="5"/>
    <n v="2570"/>
    <b v="0"/>
    <s v="Stormy"/>
    <s v="Afternoon"/>
    <s v="Under Construction"/>
    <s v="26-35"/>
    <n v="2"/>
    <s v="Medium"/>
    <s v="Expired"/>
    <b v="0"/>
    <n v="114"/>
    <s v="Delhi"/>
    <n v="3"/>
    <n v="2"/>
    <n v="4169"/>
    <s v="Paid"/>
  </r>
  <r>
    <d v="2024-10-02T00:00:00"/>
    <x v="13"/>
    <s v="Auto-rickshaw"/>
    <x v="3"/>
    <n v="1536"/>
    <b v="1"/>
    <s v="Clear"/>
    <s v="Morning"/>
    <s v="Under Construction"/>
    <s v="50+"/>
    <n v="1"/>
    <s v="Medium"/>
    <s v="Valid"/>
    <b v="0"/>
    <n v="46"/>
    <s v="Rajasthan"/>
    <n v="2"/>
    <n v="2"/>
    <n v="3610"/>
    <s v="Disputed"/>
  </r>
  <r>
    <d v="2024-10-03T00:00:00"/>
    <x v="6"/>
    <s v="Truck"/>
    <x v="2"/>
    <n v="1017"/>
    <b v="0"/>
    <s v="Clear"/>
    <s v="Morning"/>
    <s v="Slippery"/>
    <s v="26-35"/>
    <n v="1"/>
    <s v="High"/>
    <s v="Suspended"/>
    <b v="0"/>
    <n v="35"/>
    <s v="Uttar Pradesh"/>
    <n v="2"/>
    <n v="1"/>
    <n v="4876"/>
    <s v="Unpaid"/>
  </r>
  <r>
    <d v="2024-10-03T00:00:00"/>
    <x v="9"/>
    <s v="Auto-rickshaw"/>
    <x v="5"/>
    <n v="4358"/>
    <b v="0"/>
    <s v="Stormy"/>
    <s v="Morning"/>
    <s v="Slippery"/>
    <s v="36-50"/>
    <n v="3"/>
    <s v="Low"/>
    <s v="Expired"/>
    <b v="1"/>
    <n v="89"/>
    <s v="Delhi"/>
    <n v="2"/>
    <n v="2"/>
    <n v="1719"/>
    <s v="Disputed"/>
  </r>
  <r>
    <d v="2024-10-03T00:00:00"/>
    <x v="4"/>
    <s v="Truck"/>
    <x v="1"/>
    <n v="1000"/>
    <b v="0"/>
    <s v="Cloudy"/>
    <s v="Morning"/>
    <s v="Wet"/>
    <s v="36-50"/>
    <n v="4"/>
    <s v="Low"/>
    <s v="Learner"/>
    <b v="0"/>
    <n v="82"/>
    <s v="Haryana"/>
    <n v="7"/>
    <n v="1"/>
    <n v="3918"/>
    <s v="Unpaid"/>
  </r>
  <r>
    <d v="2024-10-04T00:00:00"/>
    <x v="7"/>
    <s v="Truck"/>
    <x v="2"/>
    <n v="3141"/>
    <b v="1"/>
    <s v="Stormy"/>
    <s v="Afternoon"/>
    <s v="Under Construction"/>
    <s v="50+"/>
    <n v="3"/>
    <s v="Medium"/>
    <s v="Valid"/>
    <b v="0"/>
    <n v="20"/>
    <s v="Haryana"/>
    <n v="6"/>
    <n v="2"/>
    <n v="3072"/>
    <s v="Disputed"/>
  </r>
  <r>
    <d v="2024-10-04T00:00:00"/>
    <x v="10"/>
    <s v="Bus"/>
    <x v="5"/>
    <n v="6780"/>
    <b v="0"/>
    <s v="Foggy"/>
    <s v="Evening"/>
    <s v="Dry"/>
    <s v="36-50"/>
    <n v="3"/>
    <s v="Medium"/>
    <s v="Learner"/>
    <b v="0"/>
    <n v="14"/>
    <s v="Haryana"/>
    <n v="1"/>
    <n v="2"/>
    <n v="3988"/>
    <s v="Paid"/>
  </r>
  <r>
    <d v="2024-10-04T00:00:00"/>
    <x v="1"/>
    <s v="Auto-rickshaw"/>
    <x v="2"/>
    <n v="2014"/>
    <b v="0"/>
    <s v="Clear"/>
    <s v="Afternoon"/>
    <s v="Slippery"/>
    <s v="50+"/>
    <n v="1"/>
    <s v="High"/>
    <s v="Learner"/>
    <b v="0"/>
    <n v="90"/>
    <s v="Uttar Pradesh"/>
    <n v="6"/>
    <n v="2"/>
    <n v="3989"/>
    <s v="Unpaid"/>
  </r>
  <r>
    <d v="2024-10-04T00:00:00"/>
    <x v="12"/>
    <s v="Truck"/>
    <x v="1"/>
    <n v="1000"/>
    <b v="0"/>
    <s v="Clear"/>
    <s v="Evening"/>
    <s v="Wet"/>
    <s v="26-35"/>
    <n v="2"/>
    <s v="Low"/>
    <s v="Valid"/>
    <b v="1"/>
    <n v="61"/>
    <s v="Rajasthan"/>
    <n v="5"/>
    <n v="1"/>
    <n v="1604"/>
    <s v="Unpaid"/>
  </r>
  <r>
    <d v="2024-10-05T00:00:00"/>
    <x v="11"/>
    <s v="Auto-rickshaw"/>
    <x v="2"/>
    <n v="2247"/>
    <b v="1"/>
    <s v="Foggy"/>
    <s v="Evening"/>
    <s v="Wet"/>
    <s v="50+"/>
    <n v="2"/>
    <s v="Low"/>
    <s v="Learner"/>
    <b v="0"/>
    <n v="55"/>
    <s v="Rajasthan"/>
    <n v="10"/>
    <n v="3"/>
    <n v="2422"/>
    <s v="Disputed"/>
  </r>
  <r>
    <d v="2024-10-05T00:00:00"/>
    <x v="13"/>
    <s v="Truck"/>
    <x v="5"/>
    <n v="3922"/>
    <b v="0"/>
    <s v="Cloudy"/>
    <s v="Morning"/>
    <s v="Slippery"/>
    <s v="18-25"/>
    <n v="5"/>
    <s v="High"/>
    <s v="Learner"/>
    <b v="1"/>
    <n v="42"/>
    <s v="Delhi"/>
    <n v="2"/>
    <n v="1"/>
    <n v="3077"/>
    <s v="Disputed"/>
  </r>
  <r>
    <d v="2024-10-05T00:00:00"/>
    <x v="11"/>
    <s v="Auto-rickshaw"/>
    <x v="5"/>
    <n v="4678"/>
    <b v="1"/>
    <s v="Rainy"/>
    <s v="Morning"/>
    <s v="Slippery"/>
    <s v="50+"/>
    <n v="2"/>
    <s v="Low"/>
    <s v="Expired"/>
    <b v="1"/>
    <n v="86"/>
    <s v="Delhi"/>
    <n v="4"/>
    <n v="1"/>
    <n v="1750"/>
    <s v="Paid"/>
  </r>
  <r>
    <d v="2024-10-06T00:00:00"/>
    <x v="0"/>
    <s v="Auto-rickshaw"/>
    <x v="1"/>
    <n v="1000"/>
    <b v="0"/>
    <s v="Rainy"/>
    <s v="Evening"/>
    <s v="Under Construction"/>
    <s v="50+"/>
    <n v="2"/>
    <s v="Medium"/>
    <s v="Learner"/>
    <b v="0"/>
    <n v="101"/>
    <s v="Punjab"/>
    <n v="6"/>
    <n v="3"/>
    <n v="559"/>
    <s v="Unpaid"/>
  </r>
  <r>
    <d v="2024-10-06T00:00:00"/>
    <x v="9"/>
    <s v="Truck"/>
    <x v="1"/>
    <n v="1000"/>
    <b v="1"/>
    <s v="Clear"/>
    <s v="Evening"/>
    <s v="Under Construction"/>
    <s v="36-50"/>
    <n v="2"/>
    <s v="Medium"/>
    <s v="Expired"/>
    <b v="0"/>
    <n v="2"/>
    <s v="Haryana"/>
    <n v="7"/>
    <n v="1"/>
    <n v="756"/>
    <s v="Unpaid"/>
  </r>
  <r>
    <d v="2024-10-06T00:00:00"/>
    <x v="5"/>
    <s v="Truck"/>
    <x v="1"/>
    <n v="1000"/>
    <b v="0"/>
    <s v="Clear"/>
    <s v="Night"/>
    <s v="Dry"/>
    <s v="18-25"/>
    <n v="2"/>
    <s v="High"/>
    <s v="Expired"/>
    <b v="0"/>
    <n v="57"/>
    <s v="Rajasthan"/>
    <n v="2"/>
    <n v="2"/>
    <n v="2967"/>
    <s v="Paid"/>
  </r>
  <r>
    <d v="2024-10-06T00:00:00"/>
    <x v="2"/>
    <s v="Bike"/>
    <x v="3"/>
    <n v="2895"/>
    <b v="0"/>
    <s v="Foggy"/>
    <s v="Evening"/>
    <s v="Wet"/>
    <s v="36-50"/>
    <n v="2"/>
    <s v="High"/>
    <s v="Learner"/>
    <b v="1"/>
    <n v="60"/>
    <s v="Punjab"/>
    <n v="4"/>
    <n v="2"/>
    <n v="2829"/>
    <s v="Paid"/>
  </r>
  <r>
    <d v="2024-10-06T00:00:00"/>
    <x v="4"/>
    <s v="Car"/>
    <x v="1"/>
    <n v="1000"/>
    <b v="0"/>
    <s v="Foggy"/>
    <s v="Afternoon"/>
    <s v="Under Construction"/>
    <s v="18-25"/>
    <n v="1"/>
    <s v="High"/>
    <s v="Valid"/>
    <b v="1"/>
    <n v="72"/>
    <s v="Punjab"/>
    <n v="3"/>
    <n v="3"/>
    <n v="4272"/>
    <s v="Paid"/>
  </r>
  <r>
    <d v="2024-10-07T00:00:00"/>
    <x v="6"/>
    <s v="Bike"/>
    <x v="4"/>
    <n v="8239"/>
    <b v="1"/>
    <s v="Rainy"/>
    <s v="Afternoon"/>
    <s v="Wet"/>
    <s v="36-50"/>
    <n v="3"/>
    <s v="High"/>
    <s v="Expired"/>
    <b v="1"/>
    <n v="118"/>
    <s v="Haryana"/>
    <n v="5"/>
    <n v="2"/>
    <n v="518"/>
    <s v="Paid"/>
  </r>
  <r>
    <d v="2024-10-08T00:00:00"/>
    <x v="2"/>
    <s v="Truck"/>
    <x v="1"/>
    <n v="1000"/>
    <b v="1"/>
    <s v="Foggy"/>
    <s v="Night"/>
    <s v="Slippery"/>
    <s v="50+"/>
    <n v="1"/>
    <s v="Medium"/>
    <s v="Valid"/>
    <b v="1"/>
    <n v="5"/>
    <s v="Uttar Pradesh"/>
    <n v="6"/>
    <n v="1"/>
    <n v="3057"/>
    <s v="Unpaid"/>
  </r>
  <r>
    <d v="2024-10-08T00:00:00"/>
    <x v="7"/>
    <s v="Auto-rickshaw"/>
    <x v="5"/>
    <n v="4337"/>
    <b v="1"/>
    <s v="Rainy"/>
    <s v="Afternoon"/>
    <s v="Under Construction"/>
    <s v="18-25"/>
    <n v="3"/>
    <s v="High"/>
    <s v="Valid"/>
    <b v="0"/>
    <n v="111"/>
    <s v="Rajasthan"/>
    <n v="6"/>
    <n v="3"/>
    <n v="4851"/>
    <s v="Unpaid"/>
  </r>
  <r>
    <d v="2024-10-09T00:00:00"/>
    <x v="1"/>
    <s v="Auto-rickshaw"/>
    <x v="1"/>
    <n v="1000"/>
    <b v="0"/>
    <s v="Clear"/>
    <s v="Evening"/>
    <s v="Slippery"/>
    <s v="26-35"/>
    <n v="2"/>
    <s v="Medium"/>
    <s v="Valid"/>
    <b v="1"/>
    <n v="24"/>
    <s v="Delhi"/>
    <n v="6"/>
    <n v="1"/>
    <n v="4600"/>
    <s v="Unpaid"/>
  </r>
  <r>
    <d v="2024-10-09T00:00:00"/>
    <x v="4"/>
    <s v="Car"/>
    <x v="2"/>
    <n v="3516"/>
    <b v="1"/>
    <s v="Clear"/>
    <s v="Night"/>
    <s v="Under Construction"/>
    <s v="26-35"/>
    <n v="2"/>
    <s v="Medium"/>
    <s v="Suspended"/>
    <b v="1"/>
    <n v="10"/>
    <s v="Haryana"/>
    <n v="6"/>
    <n v="3"/>
    <n v="1623"/>
    <s v="Paid"/>
  </r>
  <r>
    <d v="2024-10-11T00:00:00"/>
    <x v="11"/>
    <s v="Bus"/>
    <x v="3"/>
    <n v="2260"/>
    <b v="0"/>
    <s v="Foggy"/>
    <s v="Evening"/>
    <s v="Wet"/>
    <s v="36-50"/>
    <n v="3"/>
    <s v="Medium"/>
    <s v="Valid"/>
    <b v="0"/>
    <n v="30"/>
    <s v="Haryana"/>
    <n v="3"/>
    <n v="2"/>
    <n v="2793"/>
    <s v="Unpaid"/>
  </r>
  <r>
    <d v="2024-10-11T00:00:00"/>
    <x v="3"/>
    <s v="Car"/>
    <x v="3"/>
    <n v="1849"/>
    <b v="1"/>
    <s v="Foggy"/>
    <s v="Night"/>
    <s v="Slippery"/>
    <s v="18-25"/>
    <n v="1"/>
    <s v="Low"/>
    <s v="Expired"/>
    <b v="1"/>
    <n v="32"/>
    <s v="Haryana"/>
    <n v="9"/>
    <n v="2"/>
    <n v="1231"/>
    <s v="Disputed"/>
  </r>
  <r>
    <d v="2024-10-11T00:00:00"/>
    <x v="11"/>
    <s v="Bike"/>
    <x v="5"/>
    <n v="2752"/>
    <b v="0"/>
    <s v="Stormy"/>
    <s v="Evening"/>
    <s v="Slippery"/>
    <s v="18-25"/>
    <n v="2"/>
    <s v="Low"/>
    <s v="Suspended"/>
    <b v="1"/>
    <n v="9"/>
    <s v="Rajasthan"/>
    <n v="7"/>
    <n v="3"/>
    <n v="3604"/>
    <s v="Paid"/>
  </r>
  <r>
    <d v="2024-10-11T00:00:00"/>
    <x v="6"/>
    <s v="Bus"/>
    <x v="5"/>
    <n v="7304"/>
    <b v="1"/>
    <s v="Clear"/>
    <s v="Night"/>
    <s v="Dry"/>
    <s v="18-25"/>
    <n v="2"/>
    <s v="High"/>
    <s v="Expired"/>
    <b v="0"/>
    <n v="60"/>
    <s v="Uttar Pradesh"/>
    <n v="7"/>
    <n v="3"/>
    <n v="2651"/>
    <s v="Unpaid"/>
  </r>
  <r>
    <d v="2024-10-12T00:00:00"/>
    <x v="4"/>
    <s v="Bus"/>
    <x v="1"/>
    <n v="1000"/>
    <b v="0"/>
    <s v="Rainy"/>
    <s v="Morning"/>
    <s v="Wet"/>
    <s v="36-50"/>
    <n v="5"/>
    <s v="Low"/>
    <s v="Valid"/>
    <b v="0"/>
    <n v="117"/>
    <s v="Haryana"/>
    <n v="9"/>
    <n v="2"/>
    <n v="2924"/>
    <s v="Disputed"/>
  </r>
  <r>
    <d v="2024-10-12T00:00:00"/>
    <x v="1"/>
    <s v="Bus"/>
    <x v="5"/>
    <n v="7488"/>
    <b v="0"/>
    <s v="Stormy"/>
    <s v="Morning"/>
    <s v="Slippery"/>
    <s v="50+"/>
    <n v="4"/>
    <s v="Low"/>
    <s v="Expired"/>
    <b v="1"/>
    <n v="56"/>
    <s v="Punjab"/>
    <n v="2"/>
    <n v="3"/>
    <n v="3838"/>
    <s v="Unpaid"/>
  </r>
  <r>
    <d v="2024-10-12T00:00:00"/>
    <x v="12"/>
    <s v="Auto-rickshaw"/>
    <x v="4"/>
    <n v="7704"/>
    <b v="0"/>
    <s v="Foggy"/>
    <s v="Night"/>
    <s v="Under Construction"/>
    <s v="50+"/>
    <n v="4"/>
    <s v="High"/>
    <s v="Learner"/>
    <b v="0"/>
    <n v="86"/>
    <s v="Uttar Pradesh"/>
    <n v="1"/>
    <n v="2"/>
    <n v="4082"/>
    <s v="Paid"/>
  </r>
  <r>
    <d v="2024-10-13T00:00:00"/>
    <x v="14"/>
    <s v="Truck"/>
    <x v="1"/>
    <n v="1000"/>
    <b v="0"/>
    <s v="Foggy"/>
    <s v="Morning"/>
    <s v="Under Construction"/>
    <s v="36-50"/>
    <n v="0"/>
    <s v="Low"/>
    <s v="Suspended"/>
    <b v="0"/>
    <n v="43"/>
    <s v="Haryana"/>
    <n v="2"/>
    <n v="1"/>
    <n v="3371"/>
    <s v="Paid"/>
  </r>
  <r>
    <d v="2024-10-13T00:00:00"/>
    <x v="9"/>
    <s v="Car"/>
    <x v="1"/>
    <n v="1000"/>
    <b v="1"/>
    <s v="Rainy"/>
    <s v="Night"/>
    <s v="Dry"/>
    <s v="50+"/>
    <n v="0"/>
    <s v="Low"/>
    <s v="Valid"/>
    <b v="0"/>
    <n v="0"/>
    <s v="Rajasthan"/>
    <n v="3"/>
    <n v="2"/>
    <n v="3554"/>
    <s v="Unpaid"/>
  </r>
  <r>
    <d v="2024-10-13T00:00:00"/>
    <x v="11"/>
    <s v="Bike"/>
    <x v="3"/>
    <n v="3982"/>
    <b v="0"/>
    <s v="Foggy"/>
    <s v="Night"/>
    <s v="Slippery"/>
    <s v="50+"/>
    <n v="0"/>
    <s v="Low"/>
    <s v="Learner"/>
    <b v="1"/>
    <n v="37"/>
    <s v="Haryana"/>
    <n v="5"/>
    <n v="1"/>
    <n v="3224"/>
    <s v="Disputed"/>
  </r>
  <r>
    <d v="2024-10-13T00:00:00"/>
    <x v="7"/>
    <s v="Bus"/>
    <x v="4"/>
    <n v="8150"/>
    <b v="0"/>
    <s v="Stormy"/>
    <s v="Night"/>
    <s v="Wet"/>
    <s v="36-50"/>
    <n v="0"/>
    <s v="Medium"/>
    <s v="Suspended"/>
    <b v="1"/>
    <n v="29"/>
    <s v="Delhi"/>
    <n v="5"/>
    <n v="1"/>
    <n v="3596"/>
    <s v="Paid"/>
  </r>
  <r>
    <d v="2024-10-13T00:00:00"/>
    <x v="0"/>
    <s v="Car"/>
    <x v="2"/>
    <n v="1417"/>
    <b v="0"/>
    <s v="Foggy"/>
    <s v="Night"/>
    <s v="Dry"/>
    <s v="36-50"/>
    <n v="2"/>
    <s v="High"/>
    <s v="Learner"/>
    <b v="0"/>
    <n v="14"/>
    <s v="Rajasthan"/>
    <n v="4"/>
    <n v="2"/>
    <n v="1817"/>
    <s v="Unpaid"/>
  </r>
  <r>
    <d v="2024-10-14T00:00:00"/>
    <x v="4"/>
    <s v="Bike"/>
    <x v="4"/>
    <n v="7993"/>
    <b v="0"/>
    <s v="Cloudy"/>
    <s v="Night"/>
    <s v="Under Construction"/>
    <s v="36-50"/>
    <n v="0"/>
    <s v="High"/>
    <s v="Learner"/>
    <b v="0"/>
    <n v="88"/>
    <s v="Rajasthan"/>
    <n v="3"/>
    <n v="1"/>
    <n v="2626"/>
    <s v="Unpaid"/>
  </r>
  <r>
    <d v="2024-10-15T00:00:00"/>
    <x v="8"/>
    <s v="Bike"/>
    <x v="3"/>
    <n v="3342"/>
    <b v="1"/>
    <s v="Rainy"/>
    <s v="Evening"/>
    <s v="Wet"/>
    <s v="26-35"/>
    <n v="3"/>
    <s v="High"/>
    <s v="Valid"/>
    <b v="0"/>
    <n v="95"/>
    <s v="Rajasthan"/>
    <n v="7"/>
    <n v="2"/>
    <n v="4857"/>
    <s v="Paid"/>
  </r>
  <r>
    <d v="2024-10-15T00:00:00"/>
    <x v="12"/>
    <s v="Truck"/>
    <x v="2"/>
    <n v="2283"/>
    <b v="0"/>
    <s v="Rainy"/>
    <s v="Afternoon"/>
    <s v="Wet"/>
    <s v="50+"/>
    <n v="1"/>
    <s v="Low"/>
    <s v="Suspended"/>
    <b v="0"/>
    <n v="79"/>
    <s v="Haryana"/>
    <n v="3"/>
    <n v="2"/>
    <n v="3849"/>
    <s v="Disputed"/>
  </r>
  <r>
    <d v="2024-10-15T00:00:00"/>
    <x v="12"/>
    <s v="Truck"/>
    <x v="3"/>
    <n v="1929"/>
    <b v="0"/>
    <s v="Stormy"/>
    <s v="Afternoon"/>
    <s v="Slippery"/>
    <s v="36-50"/>
    <n v="1"/>
    <s v="Medium"/>
    <s v="Expired"/>
    <b v="0"/>
    <n v="8"/>
    <s v="Haryana"/>
    <n v="1"/>
    <n v="1"/>
    <n v="4354"/>
    <s v="Disputed"/>
  </r>
  <r>
    <d v="2024-10-15T00:00:00"/>
    <x v="3"/>
    <s v="Bus"/>
    <x v="5"/>
    <n v="4136"/>
    <b v="0"/>
    <s v="Clear"/>
    <s v="Night"/>
    <s v="Slippery"/>
    <s v="18-25"/>
    <n v="0"/>
    <s v="High"/>
    <s v="Suspended"/>
    <b v="0"/>
    <n v="68"/>
    <s v="Delhi"/>
    <n v="8"/>
    <n v="3"/>
    <n v="3531"/>
    <s v="Disputed"/>
  </r>
  <r>
    <d v="2024-10-16T00:00:00"/>
    <x v="7"/>
    <s v="Car"/>
    <x v="1"/>
    <n v="1000"/>
    <b v="0"/>
    <s v="Foggy"/>
    <s v="Afternoon"/>
    <s v="Wet"/>
    <s v="18-25"/>
    <n v="2"/>
    <s v="Low"/>
    <s v="Learner"/>
    <b v="1"/>
    <n v="70"/>
    <s v="Rajasthan"/>
    <n v="9"/>
    <n v="2"/>
    <n v="4947"/>
    <s v="Disputed"/>
  </r>
  <r>
    <d v="2024-10-16T00:00:00"/>
    <x v="12"/>
    <s v="Auto-rickshaw"/>
    <x v="3"/>
    <n v="2950"/>
    <b v="0"/>
    <s v="Foggy"/>
    <s v="Morning"/>
    <s v="Dry"/>
    <s v="26-35"/>
    <n v="2"/>
    <s v="Medium"/>
    <s v="Suspended"/>
    <b v="0"/>
    <n v="77"/>
    <s v="Punjab"/>
    <n v="9"/>
    <n v="3"/>
    <n v="1835"/>
    <s v="Paid"/>
  </r>
  <r>
    <d v="2024-10-16T00:00:00"/>
    <x v="3"/>
    <s v="Car"/>
    <x v="1"/>
    <n v="1000"/>
    <b v="0"/>
    <s v="Stormy"/>
    <s v="Morning"/>
    <s v="Dry"/>
    <s v="18-25"/>
    <n v="0"/>
    <s v="Medium"/>
    <s v="Learner"/>
    <b v="1"/>
    <n v="19"/>
    <s v="Delhi"/>
    <n v="10"/>
    <n v="1"/>
    <n v="4795"/>
    <s v="Paid"/>
  </r>
  <r>
    <d v="2024-10-16T00:00:00"/>
    <x v="14"/>
    <s v="Bus"/>
    <x v="5"/>
    <n v="2039"/>
    <b v="0"/>
    <s v="Rainy"/>
    <s v="Morning"/>
    <s v="Under Construction"/>
    <s v="26-35"/>
    <n v="25"/>
    <s v="Medium"/>
    <s v="Suspended"/>
    <b v="0"/>
    <n v="36"/>
    <s v="Haryana"/>
    <n v="7"/>
    <n v="2"/>
    <n v="1636"/>
    <s v="Paid"/>
  </r>
  <r>
    <d v="2024-10-16T00:00:00"/>
    <x v="6"/>
    <s v="Bike"/>
    <x v="4"/>
    <n v="5980"/>
    <b v="0"/>
    <s v="Cloudy"/>
    <s v="Afternoon"/>
    <s v="Under Construction"/>
    <s v="36-50"/>
    <n v="1"/>
    <s v="Low"/>
    <s v="Expired"/>
    <b v="0"/>
    <n v="95"/>
    <s v="Delhi"/>
    <n v="9"/>
    <n v="3"/>
    <n v="2472"/>
    <s v="Paid"/>
  </r>
  <r>
    <d v="2024-10-17T00:00:00"/>
    <x v="5"/>
    <s v="Bike"/>
    <x v="4"/>
    <n v="6392"/>
    <b v="0"/>
    <s v="Foggy"/>
    <s v="Afternoon"/>
    <s v="Slippery"/>
    <s v="36-50"/>
    <n v="2"/>
    <s v="Medium"/>
    <s v="Expired"/>
    <b v="0"/>
    <n v="58"/>
    <s v="Punjab"/>
    <n v="6"/>
    <n v="2"/>
    <n v="4968"/>
    <s v="Disputed"/>
  </r>
  <r>
    <d v="2024-10-18T00:00:00"/>
    <x v="7"/>
    <s v="Bike"/>
    <x v="2"/>
    <n v="1193"/>
    <b v="0"/>
    <s v="Cloudy"/>
    <s v="Evening"/>
    <s v="Dry"/>
    <s v="26-35"/>
    <n v="0"/>
    <s v="Low"/>
    <s v="Suspended"/>
    <b v="0"/>
    <n v="43"/>
    <s v="Delhi"/>
    <n v="5"/>
    <n v="1"/>
    <n v="2063"/>
    <s v="Unpaid"/>
  </r>
  <r>
    <d v="2024-10-18T00:00:00"/>
    <x v="1"/>
    <s v="Bus"/>
    <x v="5"/>
    <n v="7471"/>
    <b v="0"/>
    <s v="Rainy"/>
    <s v="Night"/>
    <s v="Slippery"/>
    <s v="18-25"/>
    <n v="24"/>
    <s v="Low"/>
    <s v="Expired"/>
    <b v="1"/>
    <n v="70"/>
    <s v="Delhi"/>
    <n v="9"/>
    <n v="1"/>
    <n v="1329"/>
    <s v="Paid"/>
  </r>
  <r>
    <d v="2024-10-18T00:00:00"/>
    <x v="11"/>
    <s v="Auto-rickshaw"/>
    <x v="4"/>
    <n v="5054"/>
    <b v="1"/>
    <s v="Cloudy"/>
    <s v="Afternoon"/>
    <s v="Dry"/>
    <s v="36-50"/>
    <n v="3"/>
    <s v="High"/>
    <s v="Expired"/>
    <b v="1"/>
    <n v="26"/>
    <s v="Haryana"/>
    <n v="2"/>
    <n v="1"/>
    <n v="4817"/>
    <s v="Paid"/>
  </r>
  <r>
    <d v="2024-10-18T00:00:00"/>
    <x v="2"/>
    <s v="Car"/>
    <x v="2"/>
    <n v="4309"/>
    <b v="0"/>
    <s v="Rainy"/>
    <s v="Afternoon"/>
    <s v="Under Construction"/>
    <s v="36-50"/>
    <n v="2"/>
    <s v="Low"/>
    <s v="Valid"/>
    <b v="1"/>
    <n v="14"/>
    <s v="Haryana"/>
    <n v="1"/>
    <n v="1"/>
    <n v="4586"/>
    <s v="Paid"/>
  </r>
  <r>
    <d v="2024-10-18T00:00:00"/>
    <x v="7"/>
    <s v="Truck"/>
    <x v="2"/>
    <n v="1192"/>
    <b v="0"/>
    <s v="Rainy"/>
    <s v="Afternoon"/>
    <s v="Slippery"/>
    <s v="26-35"/>
    <n v="1"/>
    <s v="Medium"/>
    <s v="Expired"/>
    <b v="1"/>
    <n v="72"/>
    <s v="Rajasthan"/>
    <n v="2"/>
    <n v="2"/>
    <n v="2897"/>
    <s v="Unpaid"/>
  </r>
  <r>
    <d v="2024-10-19T00:00:00"/>
    <x v="12"/>
    <s v="Truck"/>
    <x v="4"/>
    <n v="5558"/>
    <b v="1"/>
    <s v="Foggy"/>
    <s v="Afternoon"/>
    <s v="Dry"/>
    <s v="50+"/>
    <n v="3"/>
    <s v="Low"/>
    <s v="Learner"/>
    <b v="1"/>
    <n v="97"/>
    <s v="Punjab"/>
    <n v="1"/>
    <n v="3"/>
    <n v="2770"/>
    <s v="Disputed"/>
  </r>
  <r>
    <d v="2024-10-20T00:00:00"/>
    <x v="10"/>
    <s v="Car"/>
    <x v="5"/>
    <n v="2284"/>
    <b v="0"/>
    <s v="Rainy"/>
    <s v="Night"/>
    <s v="Wet"/>
    <s v="26-35"/>
    <n v="5"/>
    <s v="Medium"/>
    <s v="Valid"/>
    <b v="1"/>
    <n v="110"/>
    <s v="Rajasthan"/>
    <n v="2"/>
    <n v="1"/>
    <n v="2145"/>
    <s v="Paid"/>
  </r>
  <r>
    <d v="2024-10-21T00:00:00"/>
    <x v="7"/>
    <s v="Bike"/>
    <x v="3"/>
    <n v="4854"/>
    <b v="0"/>
    <s v="Clear"/>
    <s v="Morning"/>
    <s v="Slippery"/>
    <s v="18-25"/>
    <n v="3"/>
    <s v="Low"/>
    <s v="Expired"/>
    <b v="0"/>
    <n v="62"/>
    <s v="Haryana"/>
    <n v="4"/>
    <n v="2"/>
    <n v="1219"/>
    <s v="Paid"/>
  </r>
  <r>
    <d v="2024-10-21T00:00:00"/>
    <x v="5"/>
    <s v="Auto-rickshaw"/>
    <x v="3"/>
    <n v="3504"/>
    <b v="0"/>
    <s v="Stormy"/>
    <s v="Afternoon"/>
    <s v="Slippery"/>
    <s v="36-50"/>
    <n v="5"/>
    <s v="High"/>
    <s v="Learner"/>
    <b v="0"/>
    <n v="28"/>
    <s v="Punjab"/>
    <n v="5"/>
    <n v="2"/>
    <n v="2470"/>
    <s v="Paid"/>
  </r>
  <r>
    <d v="2024-10-21T00:00:00"/>
    <x v="8"/>
    <s v="Auto-rickshaw"/>
    <x v="4"/>
    <n v="5357"/>
    <b v="0"/>
    <s v="Clear"/>
    <s v="Afternoon"/>
    <s v="Wet"/>
    <s v="26-35"/>
    <n v="3"/>
    <s v="High"/>
    <s v="Valid"/>
    <b v="0"/>
    <n v="56"/>
    <s v="Haryana"/>
    <n v="2"/>
    <n v="2"/>
    <n v="889"/>
    <s v="Paid"/>
  </r>
  <r>
    <d v="2024-10-22T00:00:00"/>
    <x v="12"/>
    <s v="Car"/>
    <x v="5"/>
    <n v="4865"/>
    <b v="1"/>
    <s v="Cloudy"/>
    <s v="Morning"/>
    <s v="Dry"/>
    <s v="36-50"/>
    <n v="2"/>
    <s v="Medium"/>
    <s v="Suspended"/>
    <b v="1"/>
    <n v="80"/>
    <s v="Rajasthan"/>
    <n v="7"/>
    <n v="2"/>
    <n v="3601"/>
    <s v="Disputed"/>
  </r>
  <r>
    <d v="2024-10-22T00:00:00"/>
    <x v="11"/>
    <s v="Bus"/>
    <x v="2"/>
    <n v="2402"/>
    <b v="1"/>
    <s v="Rainy"/>
    <s v="Morning"/>
    <s v="Slippery"/>
    <s v="50+"/>
    <n v="2"/>
    <s v="Medium"/>
    <s v="Valid"/>
    <b v="1"/>
    <n v="71"/>
    <s v="Uttar Pradesh"/>
    <n v="5"/>
    <n v="2"/>
    <n v="2027"/>
    <s v="Unpaid"/>
  </r>
  <r>
    <d v="2024-10-22T00:00:00"/>
    <x v="4"/>
    <s v="Bus"/>
    <x v="3"/>
    <n v="2720"/>
    <b v="0"/>
    <s v="Cloudy"/>
    <s v="Morning"/>
    <s v="Wet"/>
    <s v="26-35"/>
    <n v="5"/>
    <s v="High"/>
    <s v="Suspended"/>
    <b v="1"/>
    <n v="40"/>
    <s v="Haryana"/>
    <n v="5"/>
    <n v="2"/>
    <n v="2340"/>
    <s v="Disputed"/>
  </r>
  <r>
    <d v="2024-10-22T00:00:00"/>
    <x v="5"/>
    <s v="Car"/>
    <x v="1"/>
    <n v="1000"/>
    <b v="1"/>
    <s v="Stormy"/>
    <s v="Evening"/>
    <s v="Under Construction"/>
    <s v="18-25"/>
    <n v="4"/>
    <s v="Medium"/>
    <s v="Valid"/>
    <b v="1"/>
    <n v="44"/>
    <s v="Delhi"/>
    <n v="5"/>
    <n v="2"/>
    <n v="702"/>
    <s v="Disputed"/>
  </r>
  <r>
    <d v="2024-10-24T00:00:00"/>
    <x v="11"/>
    <s v="Bike"/>
    <x v="3"/>
    <n v="2479"/>
    <b v="0"/>
    <s v="Rainy"/>
    <s v="Evening"/>
    <s v="Slippery"/>
    <s v="26-35"/>
    <n v="2"/>
    <s v="High"/>
    <s v="Expired"/>
    <b v="1"/>
    <n v="9"/>
    <s v="Punjab"/>
    <n v="7"/>
    <n v="3"/>
    <n v="3011"/>
    <s v="Disputed"/>
  </r>
  <r>
    <d v="2024-10-24T00:00:00"/>
    <x v="7"/>
    <s v="Auto-rickshaw"/>
    <x v="5"/>
    <n v="5605"/>
    <b v="1"/>
    <s v="Cloudy"/>
    <s v="Morning"/>
    <s v="Dry"/>
    <s v="18-25"/>
    <n v="2"/>
    <s v="Low"/>
    <s v="Learner"/>
    <b v="0"/>
    <n v="80"/>
    <s v="Delhi"/>
    <n v="2"/>
    <n v="3"/>
    <n v="4150"/>
    <s v="Paid"/>
  </r>
  <r>
    <d v="2024-10-25T00:00:00"/>
    <x v="9"/>
    <s v="Auto-rickshaw"/>
    <x v="5"/>
    <n v="5904"/>
    <b v="1"/>
    <s v="Rainy"/>
    <s v="Evening"/>
    <s v="Wet"/>
    <s v="26-35"/>
    <n v="1"/>
    <s v="High"/>
    <s v="Expired"/>
    <b v="0"/>
    <n v="17"/>
    <s v="Punjab"/>
    <n v="7"/>
    <n v="1"/>
    <n v="1259"/>
    <s v="Paid"/>
  </r>
  <r>
    <d v="2024-10-26T00:00:00"/>
    <x v="1"/>
    <s v="Bike"/>
    <x v="0"/>
    <n v="1000"/>
    <b v="1"/>
    <s v="Rainy"/>
    <s v="Afternoon"/>
    <s v="Under Construction"/>
    <s v="50+"/>
    <n v="2"/>
    <s v="Medium"/>
    <s v="Suspended"/>
    <b v="0"/>
    <n v="21"/>
    <s v="Haryana"/>
    <n v="5"/>
    <n v="2"/>
    <n v="1806"/>
    <s v="Unpaid"/>
  </r>
  <r>
    <d v="2024-10-27T00:00:00"/>
    <x v="12"/>
    <s v="Bike"/>
    <x v="0"/>
    <n v="1000"/>
    <b v="1"/>
    <s v="Clear"/>
    <s v="Evening"/>
    <s v="Dry"/>
    <s v="18-25"/>
    <n v="2"/>
    <s v="High"/>
    <s v="Expired"/>
    <b v="1"/>
    <n v="43"/>
    <s v="Haryana"/>
    <n v="10"/>
    <n v="2"/>
    <n v="1396"/>
    <s v="Unpaid"/>
  </r>
  <r>
    <d v="2024-10-27T00:00:00"/>
    <x v="8"/>
    <s v="Bike"/>
    <x v="0"/>
    <n v="1000"/>
    <b v="1"/>
    <s v="Foggy"/>
    <s v="Morning"/>
    <s v="Dry"/>
    <s v="26-35"/>
    <n v="1"/>
    <s v="Low"/>
    <s v="Suspended"/>
    <b v="0"/>
    <n v="62"/>
    <s v="Delhi"/>
    <n v="5"/>
    <n v="3"/>
    <n v="4693"/>
    <s v="Unpaid"/>
  </r>
  <r>
    <d v="2024-10-27T00:00:00"/>
    <x v="13"/>
    <s v="Truck"/>
    <x v="3"/>
    <n v="3699"/>
    <b v="0"/>
    <s v="Foggy"/>
    <s v="Night"/>
    <s v="Under Construction"/>
    <s v="26-35"/>
    <n v="3"/>
    <s v="Low"/>
    <s v="Valid"/>
    <b v="1"/>
    <n v="93"/>
    <s v="Uttar Pradesh"/>
    <n v="4"/>
    <n v="1"/>
    <n v="3301"/>
    <s v="Disputed"/>
  </r>
  <r>
    <d v="2024-10-27T00:00:00"/>
    <x v="2"/>
    <s v="Auto-rickshaw"/>
    <x v="5"/>
    <n v="3705"/>
    <b v="1"/>
    <s v="Stormy"/>
    <s v="Evening"/>
    <s v="Under Construction"/>
    <s v="50+"/>
    <n v="1"/>
    <s v="Low"/>
    <s v="Learner"/>
    <b v="0"/>
    <n v="112"/>
    <s v="Punjab"/>
    <n v="4"/>
    <n v="2"/>
    <n v="4181"/>
    <s v="Paid"/>
  </r>
  <r>
    <d v="2024-10-28T00:00:00"/>
    <x v="13"/>
    <s v="Bike"/>
    <x v="4"/>
    <n v="8997"/>
    <b v="1"/>
    <s v="Rainy"/>
    <s v="Night"/>
    <s v="Slippery"/>
    <s v="50+"/>
    <n v="1"/>
    <s v="Low"/>
    <s v="Learner"/>
    <b v="1"/>
    <n v="23"/>
    <s v="Delhi"/>
    <n v="5"/>
    <n v="3"/>
    <n v="897"/>
    <s v="Unpaid"/>
  </r>
  <r>
    <d v="2024-10-28T00:00:00"/>
    <x v="8"/>
    <s v="Auto-rickshaw"/>
    <x v="1"/>
    <n v="1000"/>
    <b v="1"/>
    <s v="Foggy"/>
    <s v="Afternoon"/>
    <s v="Slippery"/>
    <s v="18-25"/>
    <n v="0"/>
    <s v="High"/>
    <s v="Valid"/>
    <b v="1"/>
    <n v="113"/>
    <s v="Haryana"/>
    <n v="4"/>
    <n v="2"/>
    <n v="4324"/>
    <s v="Unpaid"/>
  </r>
  <r>
    <d v="2024-11-01T00:00:00"/>
    <x v="2"/>
    <s v="Car"/>
    <x v="5"/>
    <n v="7633"/>
    <b v="0"/>
    <s v="Rainy"/>
    <s v="Morning"/>
    <s v="Dry"/>
    <s v="18-25"/>
    <n v="0"/>
    <s v="Medium"/>
    <s v="Expired"/>
    <b v="1"/>
    <n v="100"/>
    <s v="Rajasthan"/>
    <n v="3"/>
    <n v="2"/>
    <n v="3036"/>
    <s v="Disputed"/>
  </r>
  <r>
    <d v="2024-11-01T00:00:00"/>
    <x v="13"/>
    <s v="Bus"/>
    <x v="5"/>
    <n v="7579"/>
    <b v="0"/>
    <s v="Stormy"/>
    <s v="Night"/>
    <s v="Slippery"/>
    <s v="36-50"/>
    <n v="5"/>
    <s v="Low"/>
    <s v="Suspended"/>
    <b v="0"/>
    <n v="33"/>
    <s v="Haryana"/>
    <n v="1"/>
    <n v="1"/>
    <n v="724"/>
    <s v="Paid"/>
  </r>
  <r>
    <d v="2024-11-01T00:00:00"/>
    <x v="7"/>
    <s v="Bike"/>
    <x v="0"/>
    <n v="1000"/>
    <b v="0"/>
    <s v="Rainy"/>
    <s v="Afternoon"/>
    <s v="Dry"/>
    <s v="50+"/>
    <n v="2"/>
    <s v="Low"/>
    <s v="Learner"/>
    <b v="0"/>
    <n v="79"/>
    <s v="Punjab"/>
    <n v="10"/>
    <n v="3"/>
    <n v="1992"/>
    <s v="Paid"/>
  </r>
  <r>
    <d v="2024-11-01T00:00:00"/>
    <x v="7"/>
    <s v="Bus"/>
    <x v="1"/>
    <n v="1000"/>
    <b v="0"/>
    <s v="Cloudy"/>
    <s v="Morning"/>
    <s v="Slippery"/>
    <s v="36-50"/>
    <n v="1"/>
    <s v="High"/>
    <s v="Valid"/>
    <b v="0"/>
    <n v="32"/>
    <s v="Uttar Pradesh"/>
    <n v="1"/>
    <n v="2"/>
    <n v="964"/>
    <s v="Disputed"/>
  </r>
  <r>
    <d v="2024-11-01T00:00:00"/>
    <x v="14"/>
    <s v="Bus"/>
    <x v="5"/>
    <n v="2319"/>
    <b v="0"/>
    <s v="Stormy"/>
    <s v="Morning"/>
    <s v="Under Construction"/>
    <s v="18-25"/>
    <n v="4"/>
    <s v="Low"/>
    <s v="Learner"/>
    <b v="1"/>
    <n v="108"/>
    <s v="Uttar Pradesh"/>
    <n v="2"/>
    <n v="1"/>
    <n v="3970"/>
    <s v="Unpaid"/>
  </r>
  <r>
    <d v="2024-11-01T00:00:00"/>
    <x v="1"/>
    <s v="Truck"/>
    <x v="1"/>
    <n v="1000"/>
    <b v="1"/>
    <s v="Cloudy"/>
    <s v="Evening"/>
    <s v="Dry"/>
    <s v="26-35"/>
    <n v="2"/>
    <s v="Medium"/>
    <s v="Learner"/>
    <b v="0"/>
    <n v="112"/>
    <s v="Punjab"/>
    <n v="9"/>
    <n v="1"/>
    <n v="1107"/>
    <s v="Paid"/>
  </r>
  <r>
    <d v="2024-11-02T00:00:00"/>
    <x v="14"/>
    <s v="Bus"/>
    <x v="3"/>
    <n v="4396"/>
    <b v="0"/>
    <s v="Cloudy"/>
    <s v="Afternoon"/>
    <s v="Wet"/>
    <s v="26-35"/>
    <n v="5"/>
    <s v="Medium"/>
    <s v="Learner"/>
    <b v="1"/>
    <n v="103"/>
    <s v="Rajasthan"/>
    <n v="9"/>
    <n v="2"/>
    <n v="1597"/>
    <s v="Disputed"/>
  </r>
  <r>
    <d v="2024-11-02T00:00:00"/>
    <x v="5"/>
    <s v="Car"/>
    <x v="2"/>
    <n v="4863"/>
    <b v="0"/>
    <s v="Stormy"/>
    <s v="Evening"/>
    <s v="Slippery"/>
    <s v="26-35"/>
    <n v="4"/>
    <s v="Low"/>
    <s v="Learner"/>
    <b v="0"/>
    <n v="99"/>
    <s v="Haryana"/>
    <n v="10"/>
    <n v="1"/>
    <n v="2512"/>
    <s v="Disputed"/>
  </r>
  <r>
    <d v="2024-11-02T00:00:00"/>
    <x v="13"/>
    <s v="Bike"/>
    <x v="3"/>
    <n v="7885"/>
    <b v="0"/>
    <s v="Foggy"/>
    <s v="Evening"/>
    <s v="Under Construction"/>
    <s v="18-25"/>
    <n v="3"/>
    <s v="Low"/>
    <s v="Learner"/>
    <b v="1"/>
    <n v="9"/>
    <s v="Uttar Pradesh"/>
    <n v="3"/>
    <n v="1"/>
    <n v="3815"/>
    <s v="Disputed"/>
  </r>
  <r>
    <d v="2024-11-02T00:00:00"/>
    <x v="14"/>
    <s v="Auto-rickshaw"/>
    <x v="4"/>
    <n v="9440"/>
    <b v="0"/>
    <s v="Rainy"/>
    <s v="Evening"/>
    <s v="Wet"/>
    <s v="50+"/>
    <n v="5"/>
    <s v="Medium"/>
    <s v="Suspended"/>
    <b v="1"/>
    <n v="8"/>
    <s v="Uttar Pradesh"/>
    <n v="2"/>
    <n v="3"/>
    <n v="2227"/>
    <s v="Paid"/>
  </r>
  <r>
    <d v="2024-11-02T00:00:00"/>
    <x v="1"/>
    <s v="Bus"/>
    <x v="1"/>
    <n v="1000"/>
    <b v="0"/>
    <s v="Clear"/>
    <s v="Evening"/>
    <s v="Slippery"/>
    <s v="36-50"/>
    <n v="5"/>
    <s v="Low"/>
    <s v="Suspended"/>
    <b v="0"/>
    <n v="88"/>
    <s v="Uttar Pradesh"/>
    <n v="5"/>
    <n v="2"/>
    <n v="3002"/>
    <s v="Disputed"/>
  </r>
  <r>
    <d v="2024-11-02T00:00:00"/>
    <x v="3"/>
    <s v="Auto-rickshaw"/>
    <x v="5"/>
    <n v="7081"/>
    <b v="0"/>
    <s v="Foggy"/>
    <s v="Morning"/>
    <s v="Under Construction"/>
    <s v="36-50"/>
    <n v="5"/>
    <s v="Low"/>
    <s v="Suspended"/>
    <b v="0"/>
    <n v="88"/>
    <s v="Haryana"/>
    <n v="4"/>
    <n v="2"/>
    <n v="4374"/>
    <s v="Disputed"/>
  </r>
  <r>
    <d v="2024-11-03T00:00:00"/>
    <x v="2"/>
    <s v="Bus"/>
    <x v="2"/>
    <n v="4235"/>
    <b v="1"/>
    <s v="Stormy"/>
    <s v="Morning"/>
    <s v="Under Construction"/>
    <s v="50+"/>
    <n v="4"/>
    <s v="Medium"/>
    <s v="Learner"/>
    <b v="1"/>
    <n v="26"/>
    <s v="Uttar Pradesh"/>
    <n v="8"/>
    <n v="3"/>
    <n v="4687"/>
    <s v="Unpaid"/>
  </r>
  <r>
    <d v="2024-11-03T00:00:00"/>
    <x v="1"/>
    <s v="Truck"/>
    <x v="4"/>
    <n v="8375"/>
    <b v="0"/>
    <s v="Rainy"/>
    <s v="Afternoon"/>
    <s v="Dry"/>
    <s v="26-35"/>
    <n v="3"/>
    <s v="Medium"/>
    <s v="Learner"/>
    <b v="1"/>
    <n v="101"/>
    <s v="Uttar Pradesh"/>
    <n v="2"/>
    <n v="1"/>
    <n v="4050"/>
    <s v="Disputed"/>
  </r>
  <r>
    <d v="2024-11-04T00:00:00"/>
    <x v="3"/>
    <s v="Auto-rickshaw"/>
    <x v="5"/>
    <n v="4996"/>
    <b v="0"/>
    <s v="Clear"/>
    <s v="Afternoon"/>
    <s v="Dry"/>
    <s v="50+"/>
    <n v="0"/>
    <s v="Low"/>
    <s v="Learner"/>
    <b v="0"/>
    <n v="71"/>
    <s v="Delhi"/>
    <n v="1"/>
    <n v="1"/>
    <n v="2586"/>
    <s v="Disputed"/>
  </r>
  <r>
    <d v="2024-11-05T00:00:00"/>
    <x v="11"/>
    <s v="Truck"/>
    <x v="2"/>
    <n v="4908"/>
    <b v="0"/>
    <s v="Cloudy"/>
    <s v="Evening"/>
    <s v="Wet"/>
    <s v="26-35"/>
    <n v="0"/>
    <s v="Low"/>
    <s v="Learner"/>
    <b v="1"/>
    <n v="81"/>
    <s v="Uttar Pradesh"/>
    <n v="1"/>
    <n v="2"/>
    <n v="1123"/>
    <s v="Disputed"/>
  </r>
  <r>
    <d v="2024-11-05T00:00:00"/>
    <x v="10"/>
    <s v="Truck"/>
    <x v="5"/>
    <n v="4547"/>
    <b v="0"/>
    <s v="Clear"/>
    <s v="Night"/>
    <s v="Under Construction"/>
    <s v="26-35"/>
    <n v="2"/>
    <s v="High"/>
    <s v="Valid"/>
    <b v="1"/>
    <n v="103"/>
    <s v="Uttar Pradesh"/>
    <n v="5"/>
    <n v="3"/>
    <n v="4024"/>
    <s v="Unpaid"/>
  </r>
  <r>
    <d v="2024-11-05T00:00:00"/>
    <x v="9"/>
    <s v="Bike"/>
    <x v="0"/>
    <n v="1000"/>
    <b v="0"/>
    <s v="Stormy"/>
    <s v="Afternoon"/>
    <s v="Slippery"/>
    <s v="26-35"/>
    <n v="3"/>
    <s v="Low"/>
    <s v="Learner"/>
    <b v="0"/>
    <n v="108"/>
    <s v="Delhi"/>
    <n v="3"/>
    <n v="3"/>
    <n v="4827"/>
    <s v="Disputed"/>
  </r>
  <r>
    <d v="2024-11-06T00:00:00"/>
    <x v="13"/>
    <s v="Bus"/>
    <x v="4"/>
    <n v="9801"/>
    <b v="0"/>
    <s v="Stormy"/>
    <s v="Afternoon"/>
    <s v="Wet"/>
    <s v="18-25"/>
    <n v="1"/>
    <s v="High"/>
    <s v="Valid"/>
    <b v="0"/>
    <n v="83"/>
    <s v="Uttar Pradesh"/>
    <n v="6"/>
    <n v="1"/>
    <n v="972"/>
    <s v="Paid"/>
  </r>
  <r>
    <d v="2024-11-06T00:00:00"/>
    <x v="0"/>
    <s v="Truck"/>
    <x v="5"/>
    <n v="4134"/>
    <b v="1"/>
    <s v="Clear"/>
    <s v="Evening"/>
    <s v="Under Construction"/>
    <s v="50+"/>
    <n v="0"/>
    <s v="Low"/>
    <s v="Learner"/>
    <b v="1"/>
    <n v="57"/>
    <s v="Rajasthan"/>
    <n v="3"/>
    <n v="3"/>
    <n v="3923"/>
    <s v="Disputed"/>
  </r>
  <r>
    <d v="2024-11-06T00:00:00"/>
    <x v="9"/>
    <s v="Car"/>
    <x v="4"/>
    <n v="6574"/>
    <b v="0"/>
    <s v="Rainy"/>
    <s v="Night"/>
    <s v="Under Construction"/>
    <s v="50+"/>
    <n v="1"/>
    <s v="Low"/>
    <s v="Learner"/>
    <b v="1"/>
    <n v="23"/>
    <s v="Rajasthan"/>
    <n v="6"/>
    <n v="2"/>
    <n v="3078"/>
    <s v="Unpaid"/>
  </r>
  <r>
    <d v="2024-11-07T00:00:00"/>
    <x v="13"/>
    <s v="Bus"/>
    <x v="5"/>
    <n v="2935"/>
    <b v="1"/>
    <s v="Rainy"/>
    <s v="Afternoon"/>
    <s v="Dry"/>
    <s v="26-35"/>
    <n v="3"/>
    <s v="High"/>
    <s v="Valid"/>
    <b v="0"/>
    <n v="44"/>
    <s v="Uttar Pradesh"/>
    <n v="6"/>
    <n v="2"/>
    <n v="4946"/>
    <s v="Unpaid"/>
  </r>
  <r>
    <d v="2024-11-07T00:00:00"/>
    <x v="4"/>
    <s v="Bike"/>
    <x v="3"/>
    <n v="4733"/>
    <b v="0"/>
    <s v="Stormy"/>
    <s v="Afternoon"/>
    <s v="Slippery"/>
    <s v="36-50"/>
    <n v="3"/>
    <s v="High"/>
    <s v="Suspended"/>
    <b v="0"/>
    <n v="68"/>
    <s v="Rajasthan"/>
    <n v="10"/>
    <n v="1"/>
    <n v="4449"/>
    <s v="Disputed"/>
  </r>
  <r>
    <d v="2024-11-08T00:00:00"/>
    <x v="5"/>
    <s v="Truck"/>
    <x v="1"/>
    <n v="1000"/>
    <b v="1"/>
    <s v="Cloudy"/>
    <s v="Evening"/>
    <s v="Slippery"/>
    <s v="26-35"/>
    <n v="5"/>
    <s v="Low"/>
    <s v="Valid"/>
    <b v="0"/>
    <n v="1"/>
    <s v="Uttar Pradesh"/>
    <n v="8"/>
    <n v="3"/>
    <n v="1990"/>
    <s v="Paid"/>
  </r>
  <r>
    <d v="2024-11-09T00:00:00"/>
    <x v="12"/>
    <s v="Car"/>
    <x v="1"/>
    <n v="1000"/>
    <b v="1"/>
    <s v="Stormy"/>
    <s v="Night"/>
    <s v="Wet"/>
    <s v="18-25"/>
    <n v="5"/>
    <s v="Medium"/>
    <s v="Expired"/>
    <b v="1"/>
    <n v="53"/>
    <s v="Uttar Pradesh"/>
    <n v="3"/>
    <n v="1"/>
    <n v="3680"/>
    <s v="Disputed"/>
  </r>
  <r>
    <d v="2024-11-09T00:00:00"/>
    <x v="4"/>
    <s v="Car"/>
    <x v="4"/>
    <n v="8665"/>
    <b v="0"/>
    <s v="Foggy"/>
    <s v="Night"/>
    <s v="Under Construction"/>
    <s v="36-50"/>
    <n v="0"/>
    <s v="High"/>
    <s v="Suspended"/>
    <b v="0"/>
    <n v="77"/>
    <s v="Uttar Pradesh"/>
    <n v="9"/>
    <n v="2"/>
    <n v="2751"/>
    <s v="Disputed"/>
  </r>
  <r>
    <d v="2024-11-09T00:00:00"/>
    <x v="2"/>
    <s v="Bike"/>
    <x v="3"/>
    <n v="4658"/>
    <b v="0"/>
    <s v="Clear"/>
    <s v="Afternoon"/>
    <s v="Under Construction"/>
    <s v="50+"/>
    <n v="2"/>
    <s v="Low"/>
    <s v="Expired"/>
    <b v="1"/>
    <n v="99"/>
    <s v="Rajasthan"/>
    <n v="10"/>
    <n v="3"/>
    <n v="4072"/>
    <s v="Paid"/>
  </r>
  <r>
    <d v="2024-11-09T00:00:00"/>
    <x v="0"/>
    <s v="Truck"/>
    <x v="1"/>
    <n v="1000"/>
    <b v="1"/>
    <s v="Stormy"/>
    <s v="Afternoon"/>
    <s v="Wet"/>
    <s v="18-25"/>
    <n v="5"/>
    <s v="Low"/>
    <s v="Learner"/>
    <b v="0"/>
    <n v="29"/>
    <s v="Delhi"/>
    <n v="3"/>
    <n v="3"/>
    <n v="828"/>
    <s v="Unpaid"/>
  </r>
  <r>
    <d v="2024-11-09T00:00:00"/>
    <x v="4"/>
    <s v="Auto-rickshaw"/>
    <x v="1"/>
    <n v="1000"/>
    <b v="0"/>
    <s v="Cloudy"/>
    <s v="Night"/>
    <s v="Dry"/>
    <s v="36-50"/>
    <n v="2"/>
    <s v="High"/>
    <s v="Suspended"/>
    <b v="0"/>
    <n v="104"/>
    <s v="Punjab"/>
    <n v="9"/>
    <n v="3"/>
    <n v="2667"/>
    <s v="Paid"/>
  </r>
  <r>
    <d v="2024-11-09T00:00:00"/>
    <x v="13"/>
    <s v="Bus"/>
    <x v="3"/>
    <n v="1597"/>
    <b v="0"/>
    <s v="Stormy"/>
    <s v="Afternoon"/>
    <s v="Slippery"/>
    <s v="50+"/>
    <n v="4"/>
    <s v="Medium"/>
    <s v="Learner"/>
    <b v="0"/>
    <n v="113"/>
    <s v="Rajasthan"/>
    <n v="6"/>
    <n v="3"/>
    <n v="2710"/>
    <s v="Paid"/>
  </r>
  <r>
    <d v="2024-11-10T00:00:00"/>
    <x v="9"/>
    <s v="Bus"/>
    <x v="5"/>
    <n v="2695"/>
    <b v="0"/>
    <s v="Foggy"/>
    <s v="Evening"/>
    <s v="Slippery"/>
    <s v="36-50"/>
    <n v="5"/>
    <s v="High"/>
    <s v="Learner"/>
    <b v="1"/>
    <n v="38"/>
    <s v="Punjab"/>
    <n v="2"/>
    <n v="3"/>
    <n v="3305"/>
    <s v="Disputed"/>
  </r>
  <r>
    <d v="2024-11-10T00:00:00"/>
    <x v="13"/>
    <s v="Bus"/>
    <x v="3"/>
    <n v="1596"/>
    <b v="1"/>
    <s v="Clear"/>
    <s v="Afternoon"/>
    <s v="Under Construction"/>
    <s v="50+"/>
    <n v="5"/>
    <s v="Medium"/>
    <s v="Suspended"/>
    <b v="1"/>
    <n v="9"/>
    <s v="Rajasthan"/>
    <n v="8"/>
    <n v="3"/>
    <n v="610"/>
    <s v="Disputed"/>
  </r>
  <r>
    <d v="2024-11-10T00:00:00"/>
    <x v="4"/>
    <s v="Truck"/>
    <x v="1"/>
    <n v="1000"/>
    <b v="1"/>
    <s v="Rainy"/>
    <s v="Evening"/>
    <s v="Slippery"/>
    <s v="26-35"/>
    <n v="4"/>
    <s v="Low"/>
    <s v="Expired"/>
    <b v="1"/>
    <n v="69"/>
    <s v="Uttar Pradesh"/>
    <n v="3"/>
    <n v="2"/>
    <n v="4337"/>
    <s v="Disputed"/>
  </r>
  <r>
    <d v="2024-11-10T00:00:00"/>
    <x v="5"/>
    <s v="Car"/>
    <x v="3"/>
    <n v="3645"/>
    <b v="0"/>
    <s v="Rainy"/>
    <s v="Afternoon"/>
    <s v="Dry"/>
    <s v="26-35"/>
    <n v="4"/>
    <s v="Low"/>
    <s v="Learner"/>
    <b v="0"/>
    <n v="118"/>
    <s v="Rajasthan"/>
    <n v="4"/>
    <n v="3"/>
    <n v="4577"/>
    <s v="Unpaid"/>
  </r>
  <r>
    <d v="2024-11-10T00:00:00"/>
    <x v="9"/>
    <s v="Car"/>
    <x v="1"/>
    <n v="1000"/>
    <b v="0"/>
    <s v="Stormy"/>
    <s v="Morning"/>
    <s v="Dry"/>
    <s v="18-25"/>
    <n v="4"/>
    <s v="Low"/>
    <s v="Valid"/>
    <b v="1"/>
    <n v="90"/>
    <s v="Rajasthan"/>
    <n v="3"/>
    <n v="1"/>
    <n v="2886"/>
    <s v="Disputed"/>
  </r>
  <r>
    <d v="2024-11-11T00:00:00"/>
    <x v="7"/>
    <s v="Truck"/>
    <x v="3"/>
    <n v="2493"/>
    <b v="0"/>
    <s v="Clear"/>
    <s v="Evening"/>
    <s v="Dry"/>
    <s v="36-50"/>
    <n v="3"/>
    <s v="Low"/>
    <s v="Valid"/>
    <b v="1"/>
    <n v="22"/>
    <s v="Haryana"/>
    <n v="9"/>
    <n v="3"/>
    <n v="2517"/>
    <s v="Paid"/>
  </r>
  <r>
    <d v="2024-11-11T00:00:00"/>
    <x v="7"/>
    <s v="Auto-rickshaw"/>
    <x v="4"/>
    <n v="7463"/>
    <b v="1"/>
    <s v="Rainy"/>
    <s v="Night"/>
    <s v="Wet"/>
    <s v="50+"/>
    <n v="5"/>
    <s v="High"/>
    <s v="Learner"/>
    <b v="0"/>
    <n v="120"/>
    <s v="Haryana"/>
    <n v="2"/>
    <n v="3"/>
    <n v="1633"/>
    <s v="Paid"/>
  </r>
  <r>
    <d v="2024-11-11T00:00:00"/>
    <x v="4"/>
    <s v="Car"/>
    <x v="5"/>
    <n v="6843"/>
    <b v="1"/>
    <s v="Clear"/>
    <s v="Night"/>
    <s v="Under Construction"/>
    <s v="36-50"/>
    <n v="4"/>
    <s v="High"/>
    <s v="Expired"/>
    <b v="1"/>
    <n v="57"/>
    <s v="Uttar Pradesh"/>
    <n v="10"/>
    <n v="2"/>
    <n v="2865"/>
    <s v="Paid"/>
  </r>
  <r>
    <d v="2024-11-11T00:00:00"/>
    <x v="12"/>
    <s v="Truck"/>
    <x v="2"/>
    <n v="4152"/>
    <b v="0"/>
    <s v="Clear"/>
    <s v="Night"/>
    <s v="Under Construction"/>
    <s v="36-50"/>
    <n v="3"/>
    <s v="Low"/>
    <s v="Valid"/>
    <b v="1"/>
    <n v="70"/>
    <s v="Uttar Pradesh"/>
    <n v="2"/>
    <n v="1"/>
    <n v="4509"/>
    <s v="Paid"/>
  </r>
  <r>
    <d v="2024-11-11T00:00:00"/>
    <x v="3"/>
    <s v="Bike"/>
    <x v="0"/>
    <n v="1000"/>
    <b v="1"/>
    <s v="Foggy"/>
    <s v="Evening"/>
    <s v="Under Construction"/>
    <s v="36-50"/>
    <n v="1"/>
    <s v="Medium"/>
    <s v="Suspended"/>
    <b v="0"/>
    <n v="40"/>
    <s v="Haryana"/>
    <n v="5"/>
    <n v="3"/>
    <n v="2416"/>
    <s v="Paid"/>
  </r>
  <r>
    <d v="2024-11-12T00:00:00"/>
    <x v="8"/>
    <s v="Car"/>
    <x v="1"/>
    <n v="1000"/>
    <b v="0"/>
    <s v="Rainy"/>
    <s v="Night"/>
    <s v="Under Construction"/>
    <s v="36-50"/>
    <n v="3"/>
    <s v="High"/>
    <s v="Suspended"/>
    <b v="1"/>
    <n v="92"/>
    <s v="Punjab"/>
    <n v="4"/>
    <n v="3"/>
    <n v="1902"/>
    <s v="Disputed"/>
  </r>
  <r>
    <d v="2024-11-13T00:00:00"/>
    <x v="10"/>
    <s v="Car"/>
    <x v="3"/>
    <n v="4380"/>
    <b v="0"/>
    <s v="Rainy"/>
    <s v="Evening"/>
    <s v="Wet"/>
    <s v="26-35"/>
    <n v="3"/>
    <s v="Medium"/>
    <s v="Valid"/>
    <b v="0"/>
    <n v="4"/>
    <s v="Haryana"/>
    <n v="2"/>
    <n v="3"/>
    <n v="2013"/>
    <s v="Paid"/>
  </r>
  <r>
    <d v="2024-11-13T00:00:00"/>
    <x v="13"/>
    <s v="Auto-rickshaw"/>
    <x v="3"/>
    <n v="3647"/>
    <b v="1"/>
    <s v="Cloudy"/>
    <s v="Morning"/>
    <s v="Dry"/>
    <s v="18-25"/>
    <n v="3"/>
    <s v="High"/>
    <s v="Expired"/>
    <b v="0"/>
    <n v="64"/>
    <s v="Delhi"/>
    <n v="7"/>
    <n v="1"/>
    <n v="1072"/>
    <s v="Paid"/>
  </r>
  <r>
    <d v="2024-11-13T00:00:00"/>
    <x v="7"/>
    <s v="Bus"/>
    <x v="4"/>
    <n v="8691"/>
    <b v="1"/>
    <s v="Stormy"/>
    <s v="Night"/>
    <s v="Wet"/>
    <s v="50+"/>
    <n v="5"/>
    <s v="High"/>
    <s v="Learner"/>
    <b v="1"/>
    <n v="35"/>
    <s v="Delhi"/>
    <n v="6"/>
    <n v="2"/>
    <n v="2976"/>
    <s v="Paid"/>
  </r>
  <r>
    <d v="2024-11-13T00:00:00"/>
    <x v="14"/>
    <s v="Bike"/>
    <x v="2"/>
    <n v="3130"/>
    <b v="0"/>
    <s v="Foggy"/>
    <s v="Afternoon"/>
    <s v="Under Construction"/>
    <s v="18-25"/>
    <n v="0"/>
    <s v="Medium"/>
    <s v="Learner"/>
    <b v="1"/>
    <n v="105"/>
    <s v="Delhi"/>
    <n v="10"/>
    <n v="1"/>
    <n v="681"/>
    <s v="Paid"/>
  </r>
  <r>
    <d v="2024-11-13T00:00:00"/>
    <x v="13"/>
    <s v="Bike"/>
    <x v="4"/>
    <n v="5589"/>
    <b v="1"/>
    <s v="Stormy"/>
    <s v="Evening"/>
    <s v="Slippery"/>
    <s v="50+"/>
    <n v="0"/>
    <s v="High"/>
    <s v="Suspended"/>
    <b v="1"/>
    <n v="18"/>
    <s v="Haryana"/>
    <n v="9"/>
    <n v="1"/>
    <n v="1341"/>
    <s v="Paid"/>
  </r>
  <r>
    <d v="2024-11-13T00:00:00"/>
    <x v="7"/>
    <s v="Truck"/>
    <x v="5"/>
    <n v="5996"/>
    <b v="1"/>
    <s v="Foggy"/>
    <s v="Afternoon"/>
    <s v="Slippery"/>
    <s v="36-50"/>
    <n v="5"/>
    <s v="Low"/>
    <s v="Suspended"/>
    <b v="0"/>
    <n v="36"/>
    <s v="Haryana"/>
    <n v="10"/>
    <n v="1"/>
    <n v="3192"/>
    <s v="Disputed"/>
  </r>
  <r>
    <d v="2024-11-14T00:00:00"/>
    <x v="13"/>
    <s v="Bus"/>
    <x v="1"/>
    <n v="1000"/>
    <b v="0"/>
    <s v="Foggy"/>
    <s v="Afternoon"/>
    <s v="Slippery"/>
    <s v="50+"/>
    <n v="1"/>
    <s v="High"/>
    <s v="Learner"/>
    <b v="1"/>
    <n v="20"/>
    <s v="Uttar Pradesh"/>
    <n v="9"/>
    <n v="1"/>
    <n v="2046"/>
    <s v="Paid"/>
  </r>
  <r>
    <d v="2024-11-14T00:00:00"/>
    <x v="11"/>
    <s v="Car"/>
    <x v="5"/>
    <n v="5718"/>
    <b v="0"/>
    <s v="Stormy"/>
    <s v="Afternoon"/>
    <s v="Under Construction"/>
    <s v="36-50"/>
    <n v="4"/>
    <s v="High"/>
    <s v="Valid"/>
    <b v="1"/>
    <n v="35"/>
    <s v="Delhi"/>
    <n v="10"/>
    <n v="2"/>
    <n v="3013"/>
    <s v="Unpaid"/>
  </r>
  <r>
    <d v="2024-11-14T00:00:00"/>
    <x v="9"/>
    <s v="Bus"/>
    <x v="4"/>
    <n v="5353"/>
    <b v="0"/>
    <s v="Foggy"/>
    <s v="Evening"/>
    <s v="Under Construction"/>
    <s v="26-35"/>
    <n v="9"/>
    <s v="Low"/>
    <s v="Suspended"/>
    <b v="1"/>
    <n v="46"/>
    <s v="Haryana"/>
    <n v="8"/>
    <n v="3"/>
    <n v="2210"/>
    <s v="Disputed"/>
  </r>
  <r>
    <d v="2024-11-15T00:00:00"/>
    <x v="10"/>
    <s v="Truck"/>
    <x v="5"/>
    <n v="6405"/>
    <b v="0"/>
    <s v="Foggy"/>
    <s v="Evening"/>
    <s v="Slippery"/>
    <s v="26-35"/>
    <n v="5"/>
    <s v="High"/>
    <s v="Expired"/>
    <b v="1"/>
    <n v="92"/>
    <s v="Delhi"/>
    <n v="2"/>
    <n v="1"/>
    <n v="3865"/>
    <s v="Disputed"/>
  </r>
  <r>
    <d v="2024-11-15T00:00:00"/>
    <x v="5"/>
    <s v="Bike"/>
    <x v="4"/>
    <n v="8363"/>
    <b v="0"/>
    <s v="Foggy"/>
    <s v="Night"/>
    <s v="Wet"/>
    <s v="36-50"/>
    <n v="1"/>
    <s v="High"/>
    <s v="Suspended"/>
    <b v="0"/>
    <n v="70"/>
    <s v="Delhi"/>
    <n v="7"/>
    <n v="3"/>
    <n v="1381"/>
    <s v="Paid"/>
  </r>
  <r>
    <d v="2024-11-16T00:00:00"/>
    <x v="2"/>
    <s v="Car"/>
    <x v="2"/>
    <n v="4872"/>
    <b v="0"/>
    <s v="Rainy"/>
    <s v="Morning"/>
    <s v="Wet"/>
    <s v="18-25"/>
    <n v="1"/>
    <s v="Low"/>
    <s v="Valid"/>
    <b v="0"/>
    <n v="19"/>
    <s v="Uttar Pradesh"/>
    <n v="5"/>
    <n v="1"/>
    <n v="4258"/>
    <s v="Paid"/>
  </r>
  <r>
    <d v="2024-11-16T00:00:00"/>
    <x v="2"/>
    <s v="Bus"/>
    <x v="3"/>
    <n v="4488"/>
    <b v="0"/>
    <s v="Foggy"/>
    <s v="Morning"/>
    <s v="Dry"/>
    <s v="18-25"/>
    <n v="4"/>
    <s v="High"/>
    <s v="Expired"/>
    <b v="1"/>
    <n v="92"/>
    <s v="Delhi"/>
    <n v="1"/>
    <n v="1"/>
    <n v="2315"/>
    <s v="Unpaid"/>
  </r>
  <r>
    <d v="2024-11-16T00:00:00"/>
    <x v="10"/>
    <s v="Car"/>
    <x v="4"/>
    <n v="6036"/>
    <b v="0"/>
    <s v="Rainy"/>
    <s v="Night"/>
    <s v="Dry"/>
    <s v="18-25"/>
    <n v="5"/>
    <s v="Low"/>
    <s v="Valid"/>
    <b v="0"/>
    <n v="34"/>
    <s v="Uttar Pradesh"/>
    <n v="6"/>
    <n v="3"/>
    <n v="4248"/>
    <s v="Unpaid"/>
  </r>
  <r>
    <d v="2024-11-16T00:00:00"/>
    <x v="14"/>
    <s v="Car"/>
    <x v="2"/>
    <n v="2227"/>
    <b v="1"/>
    <s v="Stormy"/>
    <s v="Afternoon"/>
    <s v="Wet"/>
    <s v="36-50"/>
    <n v="2"/>
    <s v="Low"/>
    <s v="Expired"/>
    <b v="0"/>
    <n v="97"/>
    <s v="Punjab"/>
    <n v="2"/>
    <n v="3"/>
    <n v="1620"/>
    <s v="Unpaid"/>
  </r>
  <r>
    <d v="2024-11-17T00:00:00"/>
    <x v="13"/>
    <s v="Bike"/>
    <x v="3"/>
    <n v="3096"/>
    <b v="0"/>
    <s v="Cloudy"/>
    <s v="Night"/>
    <s v="Wet"/>
    <s v="26-35"/>
    <n v="1"/>
    <s v="Low"/>
    <s v="Learner"/>
    <b v="1"/>
    <n v="95"/>
    <s v="Punjab"/>
    <n v="8"/>
    <n v="2"/>
    <n v="2341"/>
    <s v="Unpaid"/>
  </r>
  <r>
    <d v="2024-11-17T00:00:00"/>
    <x v="7"/>
    <s v="Truck"/>
    <x v="4"/>
    <n v="8321"/>
    <b v="1"/>
    <s v="Stormy"/>
    <s v="Evening"/>
    <s v="Wet"/>
    <s v="26-35"/>
    <n v="4"/>
    <s v="Medium"/>
    <s v="Learner"/>
    <b v="1"/>
    <n v="22"/>
    <s v="Rajasthan"/>
    <n v="4"/>
    <n v="3"/>
    <n v="1889"/>
    <s v="Disputed"/>
  </r>
  <r>
    <d v="2024-11-17T00:00:00"/>
    <x v="11"/>
    <s v="Truck"/>
    <x v="3"/>
    <n v="2220"/>
    <b v="1"/>
    <s v="Clear"/>
    <s v="Evening"/>
    <s v="Dry"/>
    <s v="36-50"/>
    <n v="1"/>
    <s v="Medium"/>
    <s v="Suspended"/>
    <b v="0"/>
    <n v="91"/>
    <s v="Haryana"/>
    <n v="5"/>
    <n v="3"/>
    <n v="2753"/>
    <s v="Disputed"/>
  </r>
  <r>
    <d v="2024-11-18T00:00:00"/>
    <x v="3"/>
    <s v="Bus"/>
    <x v="3"/>
    <n v="4018"/>
    <b v="1"/>
    <s v="Foggy"/>
    <s v="Night"/>
    <s v="Wet"/>
    <s v="18-25"/>
    <n v="11"/>
    <s v="Medium"/>
    <s v="Expired"/>
    <b v="0"/>
    <n v="102"/>
    <s v="Haryana"/>
    <n v="5"/>
    <n v="1"/>
    <n v="865"/>
    <s v="Disputed"/>
  </r>
  <r>
    <d v="2024-11-18T00:00:00"/>
    <x v="0"/>
    <s v="Bike"/>
    <x v="2"/>
    <n v="2914"/>
    <b v="0"/>
    <s v="Rainy"/>
    <s v="Evening"/>
    <s v="Dry"/>
    <s v="36-50"/>
    <n v="0"/>
    <s v="High"/>
    <s v="Valid"/>
    <b v="1"/>
    <n v="113"/>
    <s v="Haryana"/>
    <n v="4"/>
    <n v="1"/>
    <n v="3495"/>
    <s v="Paid"/>
  </r>
  <r>
    <d v="2024-11-18T00:00:00"/>
    <x v="1"/>
    <s v="Truck"/>
    <x v="5"/>
    <n v="5674"/>
    <b v="1"/>
    <s v="Cloudy"/>
    <s v="Evening"/>
    <s v="Dry"/>
    <s v="18-25"/>
    <n v="4"/>
    <s v="Medium"/>
    <s v="Learner"/>
    <b v="0"/>
    <n v="95"/>
    <s v="Rajasthan"/>
    <n v="7"/>
    <n v="2"/>
    <n v="2143"/>
    <s v="Disputed"/>
  </r>
  <r>
    <d v="2024-11-18T00:00:00"/>
    <x v="5"/>
    <s v="Truck"/>
    <x v="1"/>
    <n v="1000"/>
    <b v="1"/>
    <s v="Cloudy"/>
    <s v="Afternoon"/>
    <s v="Slippery"/>
    <s v="50+"/>
    <n v="3"/>
    <s v="High"/>
    <s v="Learner"/>
    <b v="1"/>
    <n v="63"/>
    <s v="Rajasthan"/>
    <n v="5"/>
    <n v="1"/>
    <n v="4415"/>
    <s v="Paid"/>
  </r>
  <r>
    <d v="2024-11-19T00:00:00"/>
    <x v="1"/>
    <s v="Auto-rickshaw"/>
    <x v="2"/>
    <n v="1206"/>
    <b v="0"/>
    <s v="Rainy"/>
    <s v="Afternoon"/>
    <s v="Under Construction"/>
    <s v="18-25"/>
    <n v="2"/>
    <s v="Medium"/>
    <s v="Valid"/>
    <b v="1"/>
    <n v="115"/>
    <s v="Punjab"/>
    <n v="5"/>
    <n v="3"/>
    <n v="3071"/>
    <s v="Unpaid"/>
  </r>
  <r>
    <d v="2024-11-19T00:00:00"/>
    <x v="8"/>
    <s v="Car"/>
    <x v="5"/>
    <n v="5191"/>
    <b v="1"/>
    <s v="Clear"/>
    <s v="Evening"/>
    <s v="Dry"/>
    <s v="50+"/>
    <n v="0"/>
    <s v="Low"/>
    <s v="Expired"/>
    <b v="0"/>
    <n v="99"/>
    <s v="Rajasthan"/>
    <n v="2"/>
    <n v="1"/>
    <n v="2629"/>
    <s v="Disputed"/>
  </r>
  <r>
    <d v="2024-11-20T00:00:00"/>
    <x v="0"/>
    <s v="Truck"/>
    <x v="4"/>
    <n v="6050"/>
    <b v="0"/>
    <s v="Cloudy"/>
    <s v="Night"/>
    <s v="Dry"/>
    <s v="26-35"/>
    <n v="4"/>
    <s v="Medium"/>
    <s v="Expired"/>
    <b v="0"/>
    <n v="28"/>
    <s v="Punjab"/>
    <n v="3"/>
    <n v="3"/>
    <n v="1774"/>
    <s v="Disputed"/>
  </r>
  <r>
    <d v="2024-11-20T00:00:00"/>
    <x v="10"/>
    <s v="Bike"/>
    <x v="5"/>
    <n v="5652"/>
    <b v="0"/>
    <s v="Rainy"/>
    <s v="Evening"/>
    <s v="Dry"/>
    <s v="36-50"/>
    <n v="2"/>
    <s v="High"/>
    <s v="Learner"/>
    <b v="1"/>
    <n v="43"/>
    <s v="Punjab"/>
    <n v="10"/>
    <n v="3"/>
    <n v="4820"/>
    <s v="Disputed"/>
  </r>
  <r>
    <d v="2024-11-21T00:00:00"/>
    <x v="7"/>
    <s v="Bike"/>
    <x v="0"/>
    <n v="1000"/>
    <b v="1"/>
    <s v="Clear"/>
    <s v="Evening"/>
    <s v="Dry"/>
    <s v="50+"/>
    <n v="0"/>
    <s v="High"/>
    <s v="Expired"/>
    <b v="1"/>
    <n v="41"/>
    <s v="Rajasthan"/>
    <n v="5"/>
    <n v="3"/>
    <n v="3941"/>
    <s v="Paid"/>
  </r>
  <r>
    <d v="2024-11-22T00:00:00"/>
    <x v="12"/>
    <s v="Auto-rickshaw"/>
    <x v="3"/>
    <n v="2288"/>
    <b v="0"/>
    <s v="Foggy"/>
    <s v="Afternoon"/>
    <s v="Dry"/>
    <s v="50+"/>
    <n v="4"/>
    <s v="Low"/>
    <s v="Valid"/>
    <b v="0"/>
    <n v="8"/>
    <s v="Rajasthan"/>
    <n v="4"/>
    <n v="2"/>
    <n v="4452"/>
    <s v="Disputed"/>
  </r>
  <r>
    <d v="2024-11-22T00:00:00"/>
    <x v="10"/>
    <s v="Truck"/>
    <x v="4"/>
    <n v="7672"/>
    <b v="0"/>
    <s v="Clear"/>
    <s v="Evening"/>
    <s v="Under Construction"/>
    <s v="50+"/>
    <n v="5"/>
    <s v="Medium"/>
    <s v="Learner"/>
    <b v="0"/>
    <n v="99"/>
    <s v="Rajasthan"/>
    <n v="10"/>
    <n v="3"/>
    <n v="4053"/>
    <s v="Unpaid"/>
  </r>
  <r>
    <d v="2024-11-22T00:00:00"/>
    <x v="2"/>
    <s v="Bus"/>
    <x v="5"/>
    <n v="4245"/>
    <b v="0"/>
    <s v="Foggy"/>
    <s v="Night"/>
    <s v="Wet"/>
    <s v="36-50"/>
    <n v="2"/>
    <s v="Low"/>
    <s v="Suspended"/>
    <b v="1"/>
    <n v="33"/>
    <s v="Haryana"/>
    <n v="3"/>
    <n v="2"/>
    <n v="3377"/>
    <s v="Unpaid"/>
  </r>
  <r>
    <d v="2024-11-23T00:00:00"/>
    <x v="14"/>
    <s v="Auto-rickshaw"/>
    <x v="2"/>
    <n v="2478"/>
    <b v="1"/>
    <s v="Rainy"/>
    <s v="Afternoon"/>
    <s v="Slippery"/>
    <s v="36-50"/>
    <n v="5"/>
    <s v="High"/>
    <s v="Valid"/>
    <b v="0"/>
    <n v="111"/>
    <s v="Haryana"/>
    <n v="10"/>
    <n v="3"/>
    <n v="3168"/>
    <s v="Unpaid"/>
  </r>
  <r>
    <d v="2024-11-23T00:00:00"/>
    <x v="10"/>
    <s v="Truck"/>
    <x v="2"/>
    <n v="4287"/>
    <b v="0"/>
    <s v="Cloudy"/>
    <s v="Afternoon"/>
    <s v="Under Construction"/>
    <s v="50+"/>
    <n v="3"/>
    <s v="High"/>
    <s v="Expired"/>
    <b v="0"/>
    <n v="61"/>
    <s v="Delhi"/>
    <n v="8"/>
    <n v="1"/>
    <n v="3860"/>
    <s v="Paid"/>
  </r>
  <r>
    <d v="2024-11-23T00:00:00"/>
    <x v="3"/>
    <s v="Car"/>
    <x v="5"/>
    <n v="4822"/>
    <b v="0"/>
    <s v="Rainy"/>
    <s v="Afternoon"/>
    <s v="Wet"/>
    <s v="26-35"/>
    <n v="2"/>
    <s v="Low"/>
    <s v="Valid"/>
    <b v="1"/>
    <n v="52"/>
    <s v="Uttar Pradesh"/>
    <n v="6"/>
    <n v="2"/>
    <n v="4469"/>
    <s v="Paid"/>
  </r>
  <r>
    <d v="2024-11-24T00:00:00"/>
    <x v="10"/>
    <s v="Bike"/>
    <x v="0"/>
    <n v="1000"/>
    <b v="0"/>
    <s v="Foggy"/>
    <s v="Night"/>
    <s v="Under Construction"/>
    <s v="50+"/>
    <n v="3"/>
    <s v="Low"/>
    <s v="Valid"/>
    <b v="1"/>
    <n v="54"/>
    <s v="Rajasthan"/>
    <n v="4"/>
    <n v="1"/>
    <n v="1855"/>
    <s v="Unpaid"/>
  </r>
  <r>
    <d v="2024-11-24T00:00:00"/>
    <x v="8"/>
    <s v="Car"/>
    <x v="1"/>
    <n v="1000"/>
    <b v="0"/>
    <s v="Foggy"/>
    <s v="Afternoon"/>
    <s v="Wet"/>
    <s v="26-35"/>
    <n v="5"/>
    <s v="Medium"/>
    <s v="Valid"/>
    <b v="1"/>
    <n v="20"/>
    <s v="Rajasthan"/>
    <n v="9"/>
    <n v="2"/>
    <n v="1856"/>
    <s v="Unpaid"/>
  </r>
  <r>
    <d v="2024-11-24T00:00:00"/>
    <x v="8"/>
    <s v="Bike"/>
    <x v="0"/>
    <n v="1000"/>
    <b v="0"/>
    <s v="Rainy"/>
    <s v="Afternoon"/>
    <s v="Dry"/>
    <s v="18-25"/>
    <n v="2"/>
    <s v="Medium"/>
    <s v="Learner"/>
    <b v="0"/>
    <n v="52"/>
    <s v="Rajasthan"/>
    <n v="6"/>
    <n v="1"/>
    <n v="1152"/>
    <s v="Disputed"/>
  </r>
  <r>
    <d v="2024-11-24T00:00:00"/>
    <x v="10"/>
    <s v="Bike"/>
    <x v="4"/>
    <n v="8096"/>
    <b v="0"/>
    <s v="Clear"/>
    <s v="Morning"/>
    <s v="Under Construction"/>
    <s v="36-50"/>
    <n v="2"/>
    <s v="High"/>
    <s v="Suspended"/>
    <b v="1"/>
    <n v="77"/>
    <s v="Delhi"/>
    <n v="8"/>
    <n v="3"/>
    <n v="879"/>
    <s v="Paid"/>
  </r>
  <r>
    <d v="2024-11-25T00:00:00"/>
    <x v="5"/>
    <s v="Car"/>
    <x v="5"/>
    <n v="3362"/>
    <b v="0"/>
    <s v="Rainy"/>
    <s v="Morning"/>
    <s v="Slippery"/>
    <s v="50+"/>
    <n v="4"/>
    <s v="Medium"/>
    <s v="Expired"/>
    <b v="0"/>
    <n v="119"/>
    <s v="Uttar Pradesh"/>
    <n v="3"/>
    <n v="3"/>
    <n v="4043"/>
    <s v="Unpaid"/>
  </r>
  <r>
    <d v="2024-11-25T00:00:00"/>
    <x v="5"/>
    <s v="Auto-rickshaw"/>
    <x v="5"/>
    <n v="6423"/>
    <b v="0"/>
    <s v="Rainy"/>
    <s v="Afternoon"/>
    <s v="Slippery"/>
    <s v="26-35"/>
    <n v="5"/>
    <s v="Low"/>
    <s v="Suspended"/>
    <b v="0"/>
    <n v="40"/>
    <s v="Punjab"/>
    <n v="10"/>
    <n v="2"/>
    <n v="4407"/>
    <s v="Paid"/>
  </r>
  <r>
    <d v="2024-11-25T00:00:00"/>
    <x v="0"/>
    <s v="Truck"/>
    <x v="3"/>
    <n v="3624"/>
    <b v="1"/>
    <s v="Rainy"/>
    <s v="Morning"/>
    <s v="Under Construction"/>
    <s v="18-25"/>
    <n v="5"/>
    <s v="Low"/>
    <s v="Expired"/>
    <b v="1"/>
    <n v="57"/>
    <s v="Uttar Pradesh"/>
    <n v="8"/>
    <n v="1"/>
    <n v="3802"/>
    <s v="Unpaid"/>
  </r>
  <r>
    <d v="2024-11-25T00:00:00"/>
    <x v="12"/>
    <s v="Truck"/>
    <x v="2"/>
    <n v="1962"/>
    <b v="1"/>
    <s v="Foggy"/>
    <s v="Afternoon"/>
    <s v="Under Construction"/>
    <s v="50+"/>
    <n v="3"/>
    <s v="High"/>
    <s v="Valid"/>
    <b v="1"/>
    <n v="77"/>
    <s v="Delhi"/>
    <n v="8"/>
    <n v="1"/>
    <n v="1825"/>
    <s v="Unpaid"/>
  </r>
  <r>
    <d v="2024-11-27T00:00:00"/>
    <x v="2"/>
    <s v="Bus"/>
    <x v="3"/>
    <n v="2202"/>
    <b v="0"/>
    <s v="Clear"/>
    <s v="Morning"/>
    <s v="Wet"/>
    <s v="36-50"/>
    <n v="5"/>
    <s v="Low"/>
    <s v="Valid"/>
    <b v="1"/>
    <n v="26"/>
    <s v="Uttar Pradesh"/>
    <n v="6"/>
    <n v="2"/>
    <n v="2456"/>
    <s v="Paid"/>
  </r>
  <r>
    <d v="2024-11-27T00:00:00"/>
    <x v="5"/>
    <s v="Bike"/>
    <x v="4"/>
    <n v="8717"/>
    <b v="0"/>
    <s v="Cloudy"/>
    <s v="Night"/>
    <s v="Wet"/>
    <s v="50+"/>
    <n v="4"/>
    <s v="Medium"/>
    <s v="Learner"/>
    <b v="1"/>
    <n v="3"/>
    <s v="Rajasthan"/>
    <n v="3"/>
    <n v="2"/>
    <n v="1803"/>
    <s v="Unpaid"/>
  </r>
  <r>
    <d v="2024-11-28T00:00:00"/>
    <x v="0"/>
    <s v="Car"/>
    <x v="1"/>
    <n v="1000"/>
    <b v="0"/>
    <s v="Cloudy"/>
    <s v="Night"/>
    <s v="Wet"/>
    <s v="26-35"/>
    <n v="4"/>
    <s v="Low"/>
    <s v="Suspended"/>
    <b v="1"/>
    <n v="71"/>
    <s v="Delhi"/>
    <n v="9"/>
    <n v="3"/>
    <n v="2025"/>
    <s v="Paid"/>
  </r>
  <r>
    <d v="2024-11-28T00:00:00"/>
    <x v="0"/>
    <s v="Auto-rickshaw"/>
    <x v="3"/>
    <n v="3077"/>
    <b v="1"/>
    <s v="Foggy"/>
    <s v="Afternoon"/>
    <s v="Slippery"/>
    <s v="26-35"/>
    <n v="1"/>
    <s v="High"/>
    <s v="Learner"/>
    <b v="1"/>
    <n v="105"/>
    <s v="Punjab"/>
    <n v="3"/>
    <n v="2"/>
    <n v="3961"/>
    <s v="Unpaid"/>
  </r>
  <r>
    <d v="2024-12-01T00:00:00"/>
    <x v="11"/>
    <s v="Bike"/>
    <x v="2"/>
    <n v="1111"/>
    <b v="1"/>
    <s v="Rainy"/>
    <s v="Night"/>
    <s v="Dry"/>
    <s v="18-25"/>
    <n v="0"/>
    <s v="High"/>
    <s v="Learner"/>
    <b v="0"/>
    <n v="10"/>
    <s v="Punjab"/>
    <n v="1"/>
    <n v="1"/>
    <n v="1384"/>
    <s v="Paid"/>
  </r>
  <r>
    <d v="2024-12-01T00:00:00"/>
    <x v="5"/>
    <s v="Bike"/>
    <x v="0"/>
    <n v="1000"/>
    <b v="0"/>
    <s v="Rainy"/>
    <s v="Afternoon"/>
    <s v="Wet"/>
    <s v="50+"/>
    <n v="1"/>
    <s v="Medium"/>
    <s v="Expired"/>
    <b v="1"/>
    <n v="106"/>
    <s v="Delhi"/>
    <n v="7"/>
    <n v="2"/>
    <n v="4496"/>
    <s v="Paid"/>
  </r>
  <r>
    <d v="2024-12-01T00:00:00"/>
    <x v="10"/>
    <s v="Truck"/>
    <x v="1"/>
    <n v="1000"/>
    <b v="1"/>
    <s v="Foggy"/>
    <s v="Afternoon"/>
    <s v="Dry"/>
    <s v="18-25"/>
    <n v="3"/>
    <s v="Low"/>
    <s v="Expired"/>
    <b v="1"/>
    <n v="36"/>
    <s v="Uttar Pradesh"/>
    <n v="6"/>
    <n v="1"/>
    <n v="579"/>
    <s v="Paid"/>
  </r>
  <r>
    <d v="2024-12-01T00:00:00"/>
    <x v="8"/>
    <s v="Car"/>
    <x v="5"/>
    <n v="2592"/>
    <b v="0"/>
    <s v="Stormy"/>
    <s v="Afternoon"/>
    <s v="Under Construction"/>
    <s v="18-25"/>
    <n v="1"/>
    <s v="High"/>
    <s v="Learner"/>
    <b v="0"/>
    <n v="59"/>
    <s v="Punjab"/>
    <n v="8"/>
    <n v="3"/>
    <n v="2059"/>
    <s v="Paid"/>
  </r>
  <r>
    <d v="2024-12-01T00:00:00"/>
    <x v="1"/>
    <s v="Auto-rickshaw"/>
    <x v="1"/>
    <n v="1000"/>
    <b v="0"/>
    <s v="Clear"/>
    <s v="Evening"/>
    <s v="Slippery"/>
    <s v="50+"/>
    <n v="4"/>
    <s v="Medium"/>
    <s v="Valid"/>
    <b v="0"/>
    <n v="96"/>
    <s v="Uttar Pradesh"/>
    <n v="4"/>
    <n v="3"/>
    <n v="1261"/>
    <s v="Disputed"/>
  </r>
  <r>
    <d v="2024-12-01T00:00:00"/>
    <x v="13"/>
    <s v="Bus"/>
    <x v="1"/>
    <n v="1000"/>
    <b v="0"/>
    <s v="Stormy"/>
    <s v="Night"/>
    <s v="Under Construction"/>
    <s v="26-35"/>
    <n v="1"/>
    <s v="Medium"/>
    <s v="Suspended"/>
    <b v="1"/>
    <n v="39"/>
    <s v="Punjab"/>
    <n v="2"/>
    <n v="3"/>
    <n v="1441"/>
    <s v="Unpaid"/>
  </r>
  <r>
    <d v="2024-12-02T00:00:00"/>
    <x v="9"/>
    <s v="Bus"/>
    <x v="1"/>
    <n v="1000"/>
    <b v="1"/>
    <s v="Foggy"/>
    <s v="Afternoon"/>
    <s v="Dry"/>
    <s v="18-25"/>
    <n v="2"/>
    <s v="Medium"/>
    <s v="Suspended"/>
    <b v="1"/>
    <n v="44"/>
    <s v="Rajasthan"/>
    <n v="3"/>
    <n v="2"/>
    <n v="3250"/>
    <s v="Paid"/>
  </r>
  <r>
    <d v="2024-12-02T00:00:00"/>
    <x v="4"/>
    <s v="Auto-rickshaw"/>
    <x v="2"/>
    <n v="3365"/>
    <b v="1"/>
    <s v="Rainy"/>
    <s v="Afternoon"/>
    <s v="Slippery"/>
    <s v="18-25"/>
    <n v="4"/>
    <s v="Medium"/>
    <s v="Valid"/>
    <b v="1"/>
    <n v="66"/>
    <s v="Rajasthan"/>
    <n v="4"/>
    <n v="2"/>
    <n v="2088"/>
    <s v="Paid"/>
  </r>
  <r>
    <d v="2024-12-03T00:00:00"/>
    <x v="2"/>
    <s v="Bike"/>
    <x v="5"/>
    <n v="2138"/>
    <b v="1"/>
    <s v="Stormy"/>
    <s v="Morning"/>
    <s v="Dry"/>
    <s v="50+"/>
    <n v="3"/>
    <s v="Medium"/>
    <s v="Expired"/>
    <b v="1"/>
    <n v="98"/>
    <s v="Haryana"/>
    <n v="3"/>
    <n v="1"/>
    <n v="4493"/>
    <s v="Disputed"/>
  </r>
  <r>
    <d v="2024-12-03T00:00:00"/>
    <x v="14"/>
    <s v="Car"/>
    <x v="1"/>
    <n v="1000"/>
    <b v="0"/>
    <s v="Rainy"/>
    <s v="Evening"/>
    <s v="Slippery"/>
    <s v="18-25"/>
    <n v="2"/>
    <s v="High"/>
    <s v="Suspended"/>
    <b v="1"/>
    <n v="88"/>
    <s v="Uttar Pradesh"/>
    <n v="1"/>
    <n v="2"/>
    <n v="781"/>
    <s v="Unpaid"/>
  </r>
  <r>
    <d v="2024-12-04T00:00:00"/>
    <x v="2"/>
    <s v="Car"/>
    <x v="3"/>
    <n v="1506"/>
    <b v="0"/>
    <s v="Cloudy"/>
    <s v="Morning"/>
    <s v="Under Construction"/>
    <s v="26-35"/>
    <n v="2"/>
    <s v="Low"/>
    <s v="Suspended"/>
    <b v="1"/>
    <n v="3"/>
    <s v="Haryana"/>
    <n v="9"/>
    <n v="1"/>
    <n v="2808"/>
    <s v="Unpaid"/>
  </r>
  <r>
    <d v="2024-12-04T00:00:00"/>
    <x v="2"/>
    <s v="Bike"/>
    <x v="0"/>
    <n v="1000"/>
    <b v="1"/>
    <s v="Cloudy"/>
    <s v="Afternoon"/>
    <s v="Under Construction"/>
    <s v="18-25"/>
    <n v="1"/>
    <s v="Low"/>
    <s v="Valid"/>
    <b v="1"/>
    <n v="111"/>
    <s v="Haryana"/>
    <n v="6"/>
    <n v="2"/>
    <n v="2377"/>
    <s v="Paid"/>
  </r>
  <r>
    <d v="2024-12-05T00:00:00"/>
    <x v="10"/>
    <s v="Bike"/>
    <x v="4"/>
    <n v="5318"/>
    <b v="1"/>
    <s v="Clear"/>
    <s v="Night"/>
    <s v="Dry"/>
    <s v="26-35"/>
    <n v="3"/>
    <s v="Low"/>
    <s v="Learner"/>
    <b v="1"/>
    <n v="94"/>
    <s v="Rajasthan"/>
    <n v="9"/>
    <n v="3"/>
    <n v="2268"/>
    <s v="Unpaid"/>
  </r>
  <r>
    <d v="2024-12-06T00:00:00"/>
    <x v="4"/>
    <s v="Bike"/>
    <x v="4"/>
    <n v="7929"/>
    <b v="0"/>
    <s v="Stormy"/>
    <s v="Night"/>
    <s v="Slippery"/>
    <s v="18-25"/>
    <n v="3"/>
    <s v="Medium"/>
    <s v="Expired"/>
    <b v="0"/>
    <n v="79"/>
    <s v="Rajasthan"/>
    <n v="4"/>
    <n v="1"/>
    <n v="1114"/>
    <s v="Unpaid"/>
  </r>
  <r>
    <d v="2024-12-06T00:00:00"/>
    <x v="2"/>
    <s v="Bus"/>
    <x v="2"/>
    <n v="1701"/>
    <b v="1"/>
    <s v="Stormy"/>
    <s v="Evening"/>
    <s v="Wet"/>
    <s v="26-35"/>
    <n v="2"/>
    <s v="High"/>
    <s v="Valid"/>
    <b v="1"/>
    <n v="73"/>
    <s v="Rajasthan"/>
    <n v="8"/>
    <n v="1"/>
    <n v="1523"/>
    <s v="Unpaid"/>
  </r>
  <r>
    <d v="2024-12-07T00:00:00"/>
    <x v="1"/>
    <s v="Car"/>
    <x v="1"/>
    <n v="1000"/>
    <b v="0"/>
    <s v="Cloudy"/>
    <s v="Night"/>
    <s v="Slippery"/>
    <s v="50+"/>
    <n v="3"/>
    <s v="Medium"/>
    <s v="Suspended"/>
    <b v="1"/>
    <n v="79"/>
    <s v="Uttar Pradesh"/>
    <n v="8"/>
    <n v="1"/>
    <n v="1619"/>
    <s v="Disputed"/>
  </r>
  <r>
    <d v="2024-12-07T00:00:00"/>
    <x v="12"/>
    <s v="Bus"/>
    <x v="2"/>
    <n v="2548"/>
    <b v="1"/>
    <s v="Rainy"/>
    <s v="Afternoon"/>
    <s v="Slippery"/>
    <s v="36-50"/>
    <n v="4"/>
    <s v="High"/>
    <s v="Expired"/>
    <b v="0"/>
    <n v="52"/>
    <s v="Delhi"/>
    <n v="7"/>
    <n v="2"/>
    <n v="4141"/>
    <s v="Unpaid"/>
  </r>
  <r>
    <d v="2024-12-07T00:00:00"/>
    <x v="2"/>
    <s v="Truck"/>
    <x v="1"/>
    <n v="1000"/>
    <b v="0"/>
    <s v="Clear"/>
    <s v="Morning"/>
    <s v="Dry"/>
    <s v="50+"/>
    <n v="2"/>
    <s v="High"/>
    <s v="Expired"/>
    <b v="1"/>
    <n v="33"/>
    <s v="Delhi"/>
    <n v="3"/>
    <n v="1"/>
    <n v="1477"/>
    <s v="Paid"/>
  </r>
  <r>
    <d v="2024-12-07T00:00:00"/>
    <x v="13"/>
    <s v="Car"/>
    <x v="2"/>
    <n v="1295"/>
    <b v="0"/>
    <s v="Rainy"/>
    <s v="Morning"/>
    <s v="Slippery"/>
    <s v="36-50"/>
    <n v="2"/>
    <s v="Medium"/>
    <s v="Learner"/>
    <b v="0"/>
    <n v="51"/>
    <s v="Uttar Pradesh"/>
    <n v="6"/>
    <n v="2"/>
    <n v="3416"/>
    <s v="Paid"/>
  </r>
  <r>
    <d v="2024-12-07T00:00:00"/>
    <x v="9"/>
    <s v="Truck"/>
    <x v="3"/>
    <n v="4381"/>
    <b v="0"/>
    <s v="Rainy"/>
    <s v="Afternoon"/>
    <s v="Dry"/>
    <s v="18-25"/>
    <n v="2"/>
    <s v="Medium"/>
    <s v="Suspended"/>
    <b v="1"/>
    <n v="7"/>
    <s v="Uttar Pradesh"/>
    <n v="9"/>
    <n v="2"/>
    <n v="2920"/>
    <s v="Paid"/>
  </r>
  <r>
    <d v="2024-12-08T00:00:00"/>
    <x v="8"/>
    <s v="Car"/>
    <x v="3"/>
    <n v="4179"/>
    <b v="0"/>
    <s v="Rainy"/>
    <s v="Afternoon"/>
    <s v="Slippery"/>
    <s v="18-25"/>
    <n v="5"/>
    <s v="High"/>
    <s v="Learner"/>
    <b v="1"/>
    <n v="82"/>
    <s v="Delhi"/>
    <n v="9"/>
    <n v="3"/>
    <n v="3407"/>
    <s v="Disputed"/>
  </r>
  <r>
    <d v="2024-12-08T00:00:00"/>
    <x v="1"/>
    <s v="Bus"/>
    <x v="4"/>
    <n v="7285"/>
    <b v="0"/>
    <s v="Foggy"/>
    <s v="Night"/>
    <s v="Dry"/>
    <s v="18-25"/>
    <n v="0"/>
    <s v="Low"/>
    <s v="Expired"/>
    <b v="0"/>
    <n v="36"/>
    <s v="Haryana"/>
    <n v="6"/>
    <n v="2"/>
    <n v="1130"/>
    <s v="Paid"/>
  </r>
  <r>
    <d v="2024-12-09T00:00:00"/>
    <x v="12"/>
    <s v="Bus"/>
    <x v="3"/>
    <n v="3870"/>
    <b v="1"/>
    <s v="Foggy"/>
    <s v="Morning"/>
    <s v="Slippery"/>
    <s v="50+"/>
    <n v="1"/>
    <s v="Low"/>
    <s v="Suspended"/>
    <b v="1"/>
    <n v="8"/>
    <s v="Delhi"/>
    <n v="1"/>
    <n v="2"/>
    <n v="1043"/>
    <s v="Disputed"/>
  </r>
  <r>
    <d v="2024-12-09T00:00:00"/>
    <x v="14"/>
    <s v="Car"/>
    <x v="2"/>
    <n v="2618"/>
    <b v="0"/>
    <s v="Foggy"/>
    <s v="Evening"/>
    <s v="Slippery"/>
    <s v="26-35"/>
    <n v="4"/>
    <s v="Low"/>
    <s v="Suspended"/>
    <b v="1"/>
    <n v="59"/>
    <s v="Delhi"/>
    <n v="1"/>
    <n v="1"/>
    <n v="2453"/>
    <s v="Paid"/>
  </r>
  <r>
    <d v="2024-12-10T00:00:00"/>
    <x v="0"/>
    <s v="Bus"/>
    <x v="2"/>
    <n v="3054"/>
    <b v="0"/>
    <s v="Clear"/>
    <s v="Evening"/>
    <s v="Wet"/>
    <s v="26-35"/>
    <n v="1"/>
    <s v="High"/>
    <s v="Expired"/>
    <b v="0"/>
    <n v="94"/>
    <s v="Delhi"/>
    <n v="8"/>
    <n v="3"/>
    <n v="3060"/>
    <s v="Disputed"/>
  </r>
  <r>
    <d v="2024-12-10T00:00:00"/>
    <x v="3"/>
    <s v="Car"/>
    <x v="3"/>
    <n v="4549"/>
    <b v="0"/>
    <s v="Foggy"/>
    <s v="Afternoon"/>
    <s v="Slippery"/>
    <s v="26-35"/>
    <n v="0"/>
    <s v="Low"/>
    <s v="Suspended"/>
    <b v="1"/>
    <n v="2"/>
    <s v="Punjab"/>
    <n v="9"/>
    <n v="1"/>
    <n v="2918"/>
    <s v="Disputed"/>
  </r>
  <r>
    <d v="2024-12-11T00:00:00"/>
    <x v="4"/>
    <s v="Truck"/>
    <x v="1"/>
    <n v="1000"/>
    <b v="0"/>
    <s v="Cloudy"/>
    <s v="Afternoon"/>
    <s v="Wet"/>
    <s v="18-25"/>
    <n v="0"/>
    <s v="Low"/>
    <s v="Expired"/>
    <b v="0"/>
    <n v="89"/>
    <s v="Punjab"/>
    <n v="5"/>
    <n v="2"/>
    <n v="4749"/>
    <s v="Unpaid"/>
  </r>
  <r>
    <d v="2024-12-11T00:00:00"/>
    <x v="7"/>
    <s v="Car"/>
    <x v="2"/>
    <n v="3172"/>
    <b v="0"/>
    <s v="Rainy"/>
    <s v="Evening"/>
    <s v="Wet"/>
    <s v="26-35"/>
    <n v="5"/>
    <s v="Low"/>
    <s v="Valid"/>
    <b v="0"/>
    <n v="19"/>
    <s v="Delhi"/>
    <n v="3"/>
    <n v="2"/>
    <n v="2519"/>
    <s v="Disputed"/>
  </r>
  <r>
    <d v="2024-12-12T00:00:00"/>
    <x v="11"/>
    <s v="Truck"/>
    <x v="2"/>
    <n v="3645"/>
    <b v="0"/>
    <s v="Clear"/>
    <s v="Morning"/>
    <s v="Under Construction"/>
    <s v="50+"/>
    <n v="1"/>
    <s v="High"/>
    <s v="Valid"/>
    <b v="0"/>
    <n v="109"/>
    <s v="Uttar Pradesh"/>
    <n v="1"/>
    <n v="1"/>
    <n v="933"/>
    <s v="Unpaid"/>
  </r>
  <r>
    <d v="2024-12-12T00:00:00"/>
    <x v="7"/>
    <s v="Truck"/>
    <x v="4"/>
    <n v="8918"/>
    <b v="0"/>
    <s v="Rainy"/>
    <s v="Evening"/>
    <s v="Under Construction"/>
    <s v="18-25"/>
    <n v="5"/>
    <s v="Medium"/>
    <s v="Suspended"/>
    <b v="0"/>
    <n v="55"/>
    <s v="Haryana"/>
    <n v="2"/>
    <n v="3"/>
    <n v="4562"/>
    <s v="Disputed"/>
  </r>
  <r>
    <d v="2024-12-12T00:00:00"/>
    <x v="1"/>
    <s v="Car"/>
    <x v="1"/>
    <n v="1000"/>
    <b v="1"/>
    <s v="Stormy"/>
    <s v="Afternoon"/>
    <s v="Slippery"/>
    <s v="50+"/>
    <n v="4"/>
    <s v="Medium"/>
    <s v="Suspended"/>
    <b v="1"/>
    <n v="108"/>
    <s v="Punjab"/>
    <n v="7"/>
    <n v="3"/>
    <n v="2271"/>
    <s v="Paid"/>
  </r>
  <r>
    <d v="2024-12-13T00:00:00"/>
    <x v="10"/>
    <s v="Car"/>
    <x v="3"/>
    <n v="3508"/>
    <b v="0"/>
    <s v="Stormy"/>
    <s v="Night"/>
    <s v="Slippery"/>
    <s v="26-35"/>
    <n v="3"/>
    <s v="Medium"/>
    <s v="Suspended"/>
    <b v="0"/>
    <n v="1"/>
    <s v="Punjab"/>
    <n v="8"/>
    <n v="2"/>
    <n v="3733"/>
    <s v="Disputed"/>
  </r>
  <r>
    <d v="2024-12-14T00:00:00"/>
    <x v="3"/>
    <s v="Bus"/>
    <x v="5"/>
    <n v="4311"/>
    <b v="1"/>
    <s v="Foggy"/>
    <s v="Morning"/>
    <s v="Wet"/>
    <s v="26-35"/>
    <n v="4"/>
    <s v="Medium"/>
    <s v="Expired"/>
    <b v="1"/>
    <n v="83"/>
    <s v="Haryana"/>
    <n v="3"/>
    <n v="2"/>
    <n v="1138"/>
    <s v="Unpaid"/>
  </r>
  <r>
    <d v="2024-12-14T00:00:00"/>
    <x v="0"/>
    <s v="Car"/>
    <x v="2"/>
    <n v="4776"/>
    <b v="0"/>
    <s v="Cloudy"/>
    <s v="Morning"/>
    <s v="Dry"/>
    <s v="50+"/>
    <n v="4"/>
    <s v="Medium"/>
    <s v="Suspended"/>
    <b v="0"/>
    <n v="64"/>
    <s v="Delhi"/>
    <n v="10"/>
    <n v="1"/>
    <n v="4540"/>
    <s v="Unpaid"/>
  </r>
  <r>
    <d v="2024-12-14T00:00:00"/>
    <x v="11"/>
    <s v="Bike"/>
    <x v="0"/>
    <n v="1000"/>
    <b v="0"/>
    <s v="Rainy"/>
    <s v="Afternoon"/>
    <s v="Dry"/>
    <s v="18-25"/>
    <n v="2"/>
    <s v="Medium"/>
    <s v="Learner"/>
    <b v="0"/>
    <n v="61"/>
    <s v="Haryana"/>
    <n v="1"/>
    <n v="1"/>
    <n v="2262"/>
    <s v="Paid"/>
  </r>
  <r>
    <d v="2024-12-14T00:00:00"/>
    <x v="7"/>
    <s v="Car"/>
    <x v="5"/>
    <n v="7612"/>
    <b v="0"/>
    <s v="Stormy"/>
    <s v="Morning"/>
    <s v="Slippery"/>
    <s v="50+"/>
    <n v="4"/>
    <s v="Medium"/>
    <s v="Learner"/>
    <b v="1"/>
    <n v="105"/>
    <s v="Delhi"/>
    <n v="3"/>
    <n v="3"/>
    <n v="3517"/>
    <s v="Unpaid"/>
  </r>
  <r>
    <d v="2024-12-14T00:00:00"/>
    <x v="7"/>
    <s v="Bike"/>
    <x v="2"/>
    <n v="1509"/>
    <b v="0"/>
    <s v="Cloudy"/>
    <s v="Morning"/>
    <s v="Under Construction"/>
    <s v="50+"/>
    <n v="1"/>
    <s v="High"/>
    <s v="Suspended"/>
    <b v="0"/>
    <n v="78"/>
    <s v="Uttar Pradesh"/>
    <n v="7"/>
    <n v="3"/>
    <n v="2090"/>
    <s v="Disputed"/>
  </r>
  <r>
    <d v="2024-12-14T00:00:00"/>
    <x v="4"/>
    <s v="Bike"/>
    <x v="3"/>
    <n v="3166"/>
    <b v="0"/>
    <s v="Rainy"/>
    <s v="Evening"/>
    <s v="Under Construction"/>
    <s v="26-35"/>
    <n v="2"/>
    <s v="Low"/>
    <s v="Learner"/>
    <b v="1"/>
    <n v="120"/>
    <s v="Haryana"/>
    <n v="8"/>
    <n v="2"/>
    <n v="4858"/>
    <s v="Unpaid"/>
  </r>
  <r>
    <d v="2024-12-14T00:00:00"/>
    <x v="9"/>
    <s v="Auto-rickshaw"/>
    <x v="1"/>
    <n v="1000"/>
    <b v="0"/>
    <s v="Rainy"/>
    <s v="Evening"/>
    <s v="Wet"/>
    <s v="18-25"/>
    <n v="4"/>
    <s v="Medium"/>
    <s v="Suspended"/>
    <b v="1"/>
    <n v="18"/>
    <s v="Punjab"/>
    <n v="2"/>
    <n v="3"/>
    <n v="1157"/>
    <s v="Unpaid"/>
  </r>
  <r>
    <d v="2024-12-14T00:00:00"/>
    <x v="8"/>
    <s v="Truck"/>
    <x v="3"/>
    <n v="2848"/>
    <b v="0"/>
    <s v="Clear"/>
    <s v="Afternoon"/>
    <s v="Slippery"/>
    <s v="18-25"/>
    <n v="0"/>
    <s v="Low"/>
    <s v="Expired"/>
    <b v="1"/>
    <n v="113"/>
    <s v="Punjab"/>
    <n v="8"/>
    <n v="2"/>
    <n v="2983"/>
    <s v="Unpaid"/>
  </r>
  <r>
    <d v="2024-12-15T00:00:00"/>
    <x v="0"/>
    <s v="Bus"/>
    <x v="4"/>
    <n v="9777"/>
    <b v="0"/>
    <s v="Stormy"/>
    <s v="Night"/>
    <s v="Wet"/>
    <s v="18-25"/>
    <n v="5"/>
    <s v="Medium"/>
    <s v="Valid"/>
    <b v="1"/>
    <n v="99"/>
    <s v="Haryana"/>
    <n v="3"/>
    <n v="3"/>
    <n v="4191"/>
    <s v="Disputed"/>
  </r>
  <r>
    <d v="2024-12-16T00:00:00"/>
    <x v="1"/>
    <s v="Bike"/>
    <x v="0"/>
    <n v="1000"/>
    <b v="0"/>
    <s v="Rainy"/>
    <s v="Afternoon"/>
    <s v="Wet"/>
    <s v="26-35"/>
    <n v="3"/>
    <s v="Low"/>
    <s v="Suspended"/>
    <b v="0"/>
    <n v="107"/>
    <s v="Delhi"/>
    <n v="7"/>
    <n v="3"/>
    <n v="2747"/>
    <s v="Unpaid"/>
  </r>
  <r>
    <d v="2024-12-16T00:00:00"/>
    <x v="7"/>
    <s v="Truck"/>
    <x v="2"/>
    <n v="2682"/>
    <b v="0"/>
    <s v="Stormy"/>
    <s v="Evening"/>
    <s v="Wet"/>
    <s v="18-25"/>
    <n v="5"/>
    <s v="High"/>
    <s v="Valid"/>
    <b v="0"/>
    <n v="91"/>
    <s v="Uttar Pradesh"/>
    <n v="10"/>
    <n v="1"/>
    <n v="4847"/>
    <s v="Disputed"/>
  </r>
  <r>
    <d v="2024-12-16T00:00:00"/>
    <x v="5"/>
    <s v="Car"/>
    <x v="4"/>
    <n v="7609"/>
    <b v="0"/>
    <s v="Cloudy"/>
    <s v="Morning"/>
    <s v="Dry"/>
    <s v="36-50"/>
    <n v="1"/>
    <s v="Low"/>
    <s v="Valid"/>
    <b v="0"/>
    <n v="83"/>
    <s v="Uttar Pradesh"/>
    <n v="5"/>
    <n v="1"/>
    <n v="4706"/>
    <s v="Paid"/>
  </r>
  <r>
    <d v="2024-12-16T00:00:00"/>
    <x v="13"/>
    <s v="Bus"/>
    <x v="5"/>
    <n v="2386"/>
    <b v="0"/>
    <s v="Cloudy"/>
    <s v="Night"/>
    <s v="Wet"/>
    <s v="26-35"/>
    <n v="4"/>
    <s v="High"/>
    <s v="Suspended"/>
    <b v="1"/>
    <n v="120"/>
    <s v="Delhi"/>
    <n v="9"/>
    <n v="2"/>
    <n v="2520"/>
    <s v="Disputed"/>
  </r>
  <r>
    <d v="2024-12-16T00:00:00"/>
    <x v="5"/>
    <s v="Car"/>
    <x v="2"/>
    <n v="1373"/>
    <b v="0"/>
    <s v="Stormy"/>
    <s v="Evening"/>
    <s v="Under Construction"/>
    <s v="26-35"/>
    <n v="0"/>
    <s v="Medium"/>
    <s v="Suspended"/>
    <b v="0"/>
    <n v="21"/>
    <s v="Delhi"/>
    <n v="8"/>
    <n v="3"/>
    <n v="959"/>
    <s v="Disputed"/>
  </r>
  <r>
    <d v="2024-12-16T00:00:00"/>
    <x v="14"/>
    <s v="Truck"/>
    <x v="2"/>
    <n v="2252"/>
    <b v="1"/>
    <s v="Clear"/>
    <s v="Night"/>
    <s v="Wet"/>
    <s v="36-50"/>
    <n v="3"/>
    <s v="Medium"/>
    <s v="Valid"/>
    <b v="0"/>
    <n v="75"/>
    <s v="Delhi"/>
    <n v="5"/>
    <n v="1"/>
    <n v="2661"/>
    <s v="Disputed"/>
  </r>
  <r>
    <d v="2024-12-16T00:00:00"/>
    <x v="0"/>
    <s v="Car"/>
    <x v="1"/>
    <n v="1000"/>
    <b v="1"/>
    <s v="Stormy"/>
    <s v="Afternoon"/>
    <s v="Under Construction"/>
    <s v="50+"/>
    <n v="4"/>
    <s v="High"/>
    <s v="Learner"/>
    <b v="1"/>
    <n v="48"/>
    <s v="Punjab"/>
    <n v="4"/>
    <n v="3"/>
    <n v="3818"/>
    <s v="Paid"/>
  </r>
  <r>
    <d v="2024-12-17T00:00:00"/>
    <x v="3"/>
    <s v="Bus"/>
    <x v="1"/>
    <n v="1000"/>
    <b v="0"/>
    <s v="Foggy"/>
    <s v="Night"/>
    <s v="Under Construction"/>
    <s v="18-25"/>
    <n v="1"/>
    <s v="High"/>
    <s v="Learner"/>
    <b v="0"/>
    <n v="57"/>
    <s v="Uttar Pradesh"/>
    <n v="5"/>
    <n v="2"/>
    <n v="4345"/>
    <s v="Unpaid"/>
  </r>
  <r>
    <d v="2024-12-17T00:00:00"/>
    <x v="3"/>
    <s v="Bus"/>
    <x v="5"/>
    <n v="2658"/>
    <b v="0"/>
    <s v="Clear"/>
    <s v="Evening"/>
    <s v="Slippery"/>
    <s v="36-50"/>
    <n v="2"/>
    <s v="Low"/>
    <s v="Learner"/>
    <b v="1"/>
    <n v="11"/>
    <s v="Rajasthan"/>
    <n v="4"/>
    <n v="3"/>
    <n v="549"/>
    <s v="Paid"/>
  </r>
  <r>
    <d v="2024-12-17T00:00:00"/>
    <x v="9"/>
    <s v="Auto-rickshaw"/>
    <x v="2"/>
    <n v="2927"/>
    <b v="1"/>
    <s v="Clear"/>
    <s v="Morning"/>
    <s v="Slippery"/>
    <s v="26-35"/>
    <n v="1"/>
    <s v="Low"/>
    <s v="Suspended"/>
    <b v="1"/>
    <n v="66"/>
    <s v="Haryana"/>
    <n v="4"/>
    <n v="1"/>
    <n v="3337"/>
    <s v="Disputed"/>
  </r>
  <r>
    <d v="2024-12-17T00:00:00"/>
    <x v="12"/>
    <s v="Bus"/>
    <x v="1"/>
    <n v="1000"/>
    <b v="1"/>
    <s v="Rainy"/>
    <s v="Afternoon"/>
    <s v="Wet"/>
    <s v="18-25"/>
    <n v="5"/>
    <s v="Medium"/>
    <s v="Expired"/>
    <b v="1"/>
    <n v="80"/>
    <s v="Delhi"/>
    <n v="1"/>
    <n v="1"/>
    <n v="4974"/>
    <s v="Unpaid"/>
  </r>
  <r>
    <d v="2024-12-18T00:00:00"/>
    <x v="3"/>
    <s v="Auto-rickshaw"/>
    <x v="4"/>
    <n v="6565"/>
    <b v="0"/>
    <s v="Rainy"/>
    <s v="Morning"/>
    <s v="Wet"/>
    <s v="26-35"/>
    <n v="1"/>
    <s v="Medium"/>
    <s v="Valid"/>
    <b v="0"/>
    <n v="33"/>
    <s v="Punjab"/>
    <n v="6"/>
    <n v="1"/>
    <n v="677"/>
    <s v="Paid"/>
  </r>
  <r>
    <d v="2024-12-19T00:00:00"/>
    <x v="4"/>
    <s v="Car"/>
    <x v="1"/>
    <n v="1000"/>
    <b v="0"/>
    <s v="Cloudy"/>
    <s v="Night"/>
    <s v="Wet"/>
    <s v="18-25"/>
    <n v="5"/>
    <s v="Low"/>
    <s v="Expired"/>
    <b v="0"/>
    <n v="85"/>
    <s v="Delhi"/>
    <n v="3"/>
    <n v="2"/>
    <n v="1543"/>
    <s v="Unpaid"/>
  </r>
  <r>
    <d v="2024-12-19T00:00:00"/>
    <x v="7"/>
    <s v="Car"/>
    <x v="5"/>
    <n v="5401"/>
    <b v="0"/>
    <s v="Rainy"/>
    <s v="Morning"/>
    <s v="Wet"/>
    <s v="26-35"/>
    <n v="5"/>
    <s v="Low"/>
    <s v="Suspended"/>
    <b v="1"/>
    <n v="3"/>
    <s v="Haryana"/>
    <n v="6"/>
    <n v="3"/>
    <n v="4212"/>
    <s v="Disputed"/>
  </r>
  <r>
    <d v="2024-12-20T00:00:00"/>
    <x v="8"/>
    <s v="Auto-rickshaw"/>
    <x v="3"/>
    <n v="2751"/>
    <b v="0"/>
    <s v="Stormy"/>
    <s v="Night"/>
    <s v="Under Construction"/>
    <s v="26-35"/>
    <n v="1"/>
    <s v="Medium"/>
    <s v="Valid"/>
    <b v="0"/>
    <n v="112"/>
    <s v="Punjab"/>
    <n v="7"/>
    <n v="2"/>
    <n v="4654"/>
    <s v="Disputed"/>
  </r>
  <r>
    <d v="2024-12-20T00:00:00"/>
    <x v="2"/>
    <s v="Bus"/>
    <x v="4"/>
    <n v="8532"/>
    <b v="1"/>
    <s v="Clear"/>
    <s v="Night"/>
    <s v="Under Construction"/>
    <s v="26-35"/>
    <n v="2"/>
    <s v="High"/>
    <s v="Expired"/>
    <b v="0"/>
    <n v="115"/>
    <s v="Haryana"/>
    <n v="10"/>
    <n v="2"/>
    <n v="3259"/>
    <s v="Unpaid"/>
  </r>
  <r>
    <d v="2024-12-20T00:00:00"/>
    <x v="14"/>
    <s v="Car"/>
    <x v="5"/>
    <n v="2415"/>
    <b v="0"/>
    <s v="Cloudy"/>
    <s v="Night"/>
    <s v="Slippery"/>
    <s v="50+"/>
    <n v="1"/>
    <s v="Medium"/>
    <s v="Learner"/>
    <b v="1"/>
    <n v="62"/>
    <s v="Punjab"/>
    <n v="1"/>
    <n v="3"/>
    <n v="1541"/>
    <s v="Disputed"/>
  </r>
  <r>
    <d v="2024-12-20T00:00:00"/>
    <x v="7"/>
    <s v="Car"/>
    <x v="5"/>
    <n v="3600"/>
    <b v="0"/>
    <s v="Clear"/>
    <s v="Morning"/>
    <s v="Wet"/>
    <s v="18-25"/>
    <n v="5"/>
    <s v="Low"/>
    <s v="Expired"/>
    <b v="0"/>
    <n v="1"/>
    <s v="Uttar Pradesh"/>
    <n v="4"/>
    <n v="3"/>
    <n v="4887"/>
    <s v="Unpaid"/>
  </r>
  <r>
    <d v="2024-12-21T00:00:00"/>
    <x v="9"/>
    <s v="Bus"/>
    <x v="5"/>
    <n v="5038"/>
    <b v="0"/>
    <s v="Rainy"/>
    <s v="Morning"/>
    <s v="Dry"/>
    <s v="50+"/>
    <n v="2"/>
    <s v="High"/>
    <s v="Expired"/>
    <b v="1"/>
    <n v="15"/>
    <s v="Punjab"/>
    <n v="1"/>
    <n v="1"/>
    <n v="1858"/>
    <s v="Disputed"/>
  </r>
  <r>
    <d v="2024-12-21T00:00:00"/>
    <x v="5"/>
    <s v="Bike"/>
    <x v="4"/>
    <n v="5828"/>
    <b v="0"/>
    <s v="Rainy"/>
    <s v="Morning"/>
    <s v="Under Construction"/>
    <s v="26-35"/>
    <n v="1"/>
    <s v="Medium"/>
    <s v="Expired"/>
    <b v="1"/>
    <n v="46"/>
    <s v="Rajasthan"/>
    <n v="9"/>
    <n v="1"/>
    <n v="4176"/>
    <s v="Unpaid"/>
  </r>
  <r>
    <d v="2024-12-21T00:00:00"/>
    <x v="3"/>
    <s v="Auto-rickshaw"/>
    <x v="4"/>
    <n v="7858"/>
    <b v="1"/>
    <s v="Clear"/>
    <s v="Afternoon"/>
    <s v="Wet"/>
    <s v="26-35"/>
    <n v="0"/>
    <s v="Low"/>
    <s v="Expired"/>
    <b v="0"/>
    <n v="34"/>
    <s v="Haryana"/>
    <n v="2"/>
    <n v="1"/>
    <n v="3615"/>
    <s v="Disputed"/>
  </r>
  <r>
    <d v="2024-12-21T00:00:00"/>
    <x v="2"/>
    <s v="Bus"/>
    <x v="3"/>
    <n v="3051"/>
    <b v="0"/>
    <s v="Cloudy"/>
    <s v="Afternoon"/>
    <s v="Dry"/>
    <s v="26-35"/>
    <n v="5"/>
    <s v="Low"/>
    <s v="Valid"/>
    <b v="0"/>
    <n v="46"/>
    <s v="Haryana"/>
    <n v="3"/>
    <n v="2"/>
    <n v="3823"/>
    <s v="Paid"/>
  </r>
  <r>
    <d v="2024-12-22T00:00:00"/>
    <x v="14"/>
    <s v="Bike"/>
    <x v="3"/>
    <n v="3044"/>
    <b v="0"/>
    <s v="Stormy"/>
    <s v="Morning"/>
    <s v="Under Construction"/>
    <s v="26-35"/>
    <n v="4"/>
    <s v="High"/>
    <s v="Learner"/>
    <b v="1"/>
    <n v="61"/>
    <s v="Haryana"/>
    <n v="4"/>
    <n v="1"/>
    <n v="1400"/>
    <s v="Disputed"/>
  </r>
  <r>
    <d v="2024-12-22T00:00:00"/>
    <x v="0"/>
    <s v="Bus"/>
    <x v="1"/>
    <n v="1000"/>
    <b v="0"/>
    <s v="Rainy"/>
    <s v="Morning"/>
    <s v="Under Construction"/>
    <s v="26-35"/>
    <n v="0"/>
    <s v="Low"/>
    <s v="Suspended"/>
    <b v="1"/>
    <n v="84"/>
    <s v="Delhi"/>
    <n v="9"/>
    <n v="3"/>
    <n v="3382"/>
    <s v="Paid"/>
  </r>
  <r>
    <d v="2024-12-22T00:00:00"/>
    <x v="2"/>
    <s v="Car"/>
    <x v="2"/>
    <n v="4339"/>
    <b v="0"/>
    <s v="Foggy"/>
    <s v="Evening"/>
    <s v="Dry"/>
    <s v="18-25"/>
    <n v="4"/>
    <s v="Medium"/>
    <s v="Suspended"/>
    <b v="1"/>
    <n v="37"/>
    <s v="Haryana"/>
    <n v="1"/>
    <n v="1"/>
    <n v="2038"/>
    <s v="Disputed"/>
  </r>
  <r>
    <d v="2024-12-23T00:00:00"/>
    <x v="5"/>
    <s v="Truck"/>
    <x v="2"/>
    <n v="1441"/>
    <b v="0"/>
    <s v="Stormy"/>
    <s v="Evening"/>
    <s v="Wet"/>
    <s v="26-35"/>
    <n v="1"/>
    <s v="Medium"/>
    <s v="Valid"/>
    <b v="0"/>
    <n v="78"/>
    <s v="Delhi"/>
    <n v="8"/>
    <n v="3"/>
    <n v="4371"/>
    <s v="Disputed"/>
  </r>
  <r>
    <d v="2024-12-23T00:00:00"/>
    <x v="7"/>
    <s v="Bus"/>
    <x v="4"/>
    <n v="7370"/>
    <b v="1"/>
    <s v="Clear"/>
    <s v="Afternoon"/>
    <s v="Dry"/>
    <s v="18-25"/>
    <n v="2"/>
    <s v="High"/>
    <s v="Valid"/>
    <b v="0"/>
    <n v="9"/>
    <s v="Haryana"/>
    <n v="2"/>
    <n v="2"/>
    <n v="3012"/>
    <s v="Paid"/>
  </r>
  <r>
    <d v="2024-12-23T00:00:00"/>
    <x v="12"/>
    <s v="Truck"/>
    <x v="2"/>
    <n v="3435"/>
    <b v="0"/>
    <s v="Cloudy"/>
    <s v="Evening"/>
    <s v="Dry"/>
    <s v="36-50"/>
    <n v="1"/>
    <s v="Medium"/>
    <s v="Valid"/>
    <b v="1"/>
    <n v="21"/>
    <s v="Delhi"/>
    <n v="2"/>
    <n v="1"/>
    <n v="2559"/>
    <s v="Paid"/>
  </r>
  <r>
    <d v="2024-12-24T00:00:00"/>
    <x v="5"/>
    <s v="Bike"/>
    <x v="2"/>
    <n v="3506"/>
    <b v="0"/>
    <s v="Cloudy"/>
    <s v="Evening"/>
    <s v="Wet"/>
    <s v="18-25"/>
    <n v="0"/>
    <s v="High"/>
    <s v="Expired"/>
    <b v="1"/>
    <n v="105"/>
    <s v="Haryana"/>
    <n v="7"/>
    <n v="3"/>
    <n v="564"/>
    <s v="Paid"/>
  </r>
  <r>
    <d v="2024-12-24T00:00:00"/>
    <x v="1"/>
    <s v="Bike"/>
    <x v="5"/>
    <n v="4632"/>
    <b v="0"/>
    <s v="Stormy"/>
    <s v="Morning"/>
    <s v="Wet"/>
    <s v="36-50"/>
    <n v="4"/>
    <s v="High"/>
    <s v="Valid"/>
    <b v="1"/>
    <n v="11"/>
    <s v="Uttar Pradesh"/>
    <n v="4"/>
    <n v="2"/>
    <n v="2337"/>
    <s v="Paid"/>
  </r>
  <r>
    <d v="2024-12-24T00:00:00"/>
    <x v="13"/>
    <s v="Bus"/>
    <x v="5"/>
    <n v="7986"/>
    <b v="0"/>
    <s v="Rainy"/>
    <s v="Evening"/>
    <s v="Slippery"/>
    <s v="50+"/>
    <n v="5"/>
    <s v="Medium"/>
    <s v="Learner"/>
    <b v="0"/>
    <n v="90"/>
    <s v="Uttar Pradesh"/>
    <n v="7"/>
    <n v="2"/>
    <n v="3459"/>
    <s v="Disputed"/>
  </r>
  <r>
    <d v="2024-12-24T00:00:00"/>
    <x v="14"/>
    <s v="Auto-rickshaw"/>
    <x v="4"/>
    <n v="8866"/>
    <b v="0"/>
    <s v="Foggy"/>
    <s v="Evening"/>
    <s v="Slippery"/>
    <s v="26-35"/>
    <n v="1"/>
    <s v="High"/>
    <s v="Suspended"/>
    <b v="0"/>
    <n v="90"/>
    <s v="Uttar Pradesh"/>
    <n v="9"/>
    <n v="1"/>
    <n v="903"/>
    <s v="Unpaid"/>
  </r>
  <r>
    <d v="2024-12-26T00:00:00"/>
    <x v="9"/>
    <s v="Auto-rickshaw"/>
    <x v="2"/>
    <n v="1342"/>
    <b v="0"/>
    <s v="Cloudy"/>
    <s v="Afternoon"/>
    <s v="Under Construction"/>
    <s v="50+"/>
    <n v="5"/>
    <s v="High"/>
    <s v="Valid"/>
    <b v="1"/>
    <n v="117"/>
    <s v="Rajasthan"/>
    <n v="5"/>
    <n v="3"/>
    <n v="3186"/>
    <s v="Paid"/>
  </r>
  <r>
    <d v="2024-12-26T00:00:00"/>
    <x v="7"/>
    <s v="Bike"/>
    <x v="4"/>
    <n v="7507"/>
    <b v="0"/>
    <s v="Cloudy"/>
    <s v="Night"/>
    <s v="Dry"/>
    <s v="26-35"/>
    <n v="1"/>
    <s v="High"/>
    <s v="Expired"/>
    <b v="0"/>
    <n v="15"/>
    <s v="Uttar Pradesh"/>
    <n v="2"/>
    <n v="3"/>
    <n v="4940"/>
    <s v="Paid"/>
  </r>
  <r>
    <d v="2024-12-27T00:00:00"/>
    <x v="9"/>
    <s v="Auto-rickshaw"/>
    <x v="4"/>
    <n v="6912"/>
    <b v="0"/>
    <s v="Stormy"/>
    <s v="Night"/>
    <s v="Wet"/>
    <s v="36-50"/>
    <n v="0"/>
    <s v="Low"/>
    <s v="Valid"/>
    <b v="1"/>
    <n v="35"/>
    <s v="Punjab"/>
    <n v="1"/>
    <n v="2"/>
    <n v="3912"/>
    <s v="Disputed"/>
  </r>
  <r>
    <d v="2024-12-27T00:00:00"/>
    <x v="1"/>
    <s v="Auto-rickshaw"/>
    <x v="3"/>
    <n v="2151"/>
    <b v="1"/>
    <s v="Stormy"/>
    <s v="Afternoon"/>
    <s v="Dry"/>
    <s v="18-25"/>
    <n v="3"/>
    <s v="High"/>
    <s v="Expired"/>
    <b v="0"/>
    <n v="106"/>
    <s v="Punjab"/>
    <n v="1"/>
    <n v="2"/>
    <n v="4389"/>
    <s v="Disputed"/>
  </r>
  <r>
    <d v="2024-12-27T00:00:00"/>
    <x v="14"/>
    <s v="Bus"/>
    <x v="5"/>
    <n v="4843"/>
    <b v="0"/>
    <s v="Cloudy"/>
    <s v="Afternoon"/>
    <s v="Dry"/>
    <s v="36-50"/>
    <n v="4"/>
    <s v="High"/>
    <s v="Suspended"/>
    <b v="1"/>
    <n v="115"/>
    <s v="Rajasthan"/>
    <n v="4"/>
    <n v="3"/>
    <n v="3842"/>
    <s v="Disputed"/>
  </r>
  <r>
    <d v="2024-12-27T00:00:00"/>
    <x v="0"/>
    <s v="Auto-rickshaw"/>
    <x v="1"/>
    <n v="1000"/>
    <b v="0"/>
    <s v="Clear"/>
    <s v="Afternoon"/>
    <s v="Slippery"/>
    <s v="26-35"/>
    <n v="4"/>
    <s v="High"/>
    <s v="Expired"/>
    <b v="0"/>
    <n v="24"/>
    <s v="Punjab"/>
    <n v="2"/>
    <n v="1"/>
    <n v="1886"/>
    <s v="Unpaid"/>
  </r>
  <r>
    <d v="2024-12-28T00:00:00"/>
    <x v="2"/>
    <s v="Truck"/>
    <x v="3"/>
    <n v="2362"/>
    <b v="1"/>
    <s v="Foggy"/>
    <s v="Night"/>
    <s v="Slippery"/>
    <s v="36-50"/>
    <n v="0"/>
    <s v="High"/>
    <s v="Learner"/>
    <b v="0"/>
    <n v="29"/>
    <s v="Delhi"/>
    <n v="6"/>
    <n v="3"/>
    <n v="1460"/>
    <s v="Paid"/>
  </r>
  <r>
    <d v="2024-12-28T00:00:00"/>
    <x v="1"/>
    <s v="Car"/>
    <x v="2"/>
    <n v="2353"/>
    <b v="0"/>
    <s v="Cloudy"/>
    <s v="Night"/>
    <s v="Dry"/>
    <s v="26-35"/>
    <n v="2"/>
    <s v="Medium"/>
    <s v="Expired"/>
    <b v="0"/>
    <n v="24"/>
    <s v="Haryana"/>
    <n v="1"/>
    <n v="3"/>
    <n v="1803"/>
    <s v="Paid"/>
  </r>
  <r>
    <d v="2024-12-28T00:00:00"/>
    <x v="0"/>
    <s v="Auto-rickshaw"/>
    <x v="1"/>
    <n v="1000"/>
    <b v="0"/>
    <s v="Rainy"/>
    <s v="Morning"/>
    <s v="Slippery"/>
    <s v="36-50"/>
    <n v="2"/>
    <s v="Low"/>
    <s v="Suspended"/>
    <b v="1"/>
    <n v="3"/>
    <s v="Delhi"/>
    <n v="3"/>
    <n v="2"/>
    <n v="2834"/>
    <s v="Paid"/>
  </r>
  <r>
    <d v="2024-12-28T00:00:00"/>
    <x v="0"/>
    <s v="Car"/>
    <x v="3"/>
    <n v="3218"/>
    <b v="0"/>
    <s v="Cloudy"/>
    <s v="Afternoon"/>
    <s v="Dry"/>
    <s v="26-35"/>
    <n v="3"/>
    <s v="High"/>
    <s v="Expired"/>
    <b v="0"/>
    <n v="55"/>
    <s v="Haryana"/>
    <n v="2"/>
    <n v="1"/>
    <n v="3937"/>
    <s v="Dispute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8">
  <r>
    <d v="2024-01-01T00:00:00"/>
    <x v="0"/>
    <x v="0"/>
    <x v="0"/>
    <n v="1000"/>
    <b v="0"/>
    <s v="Stormy"/>
    <x v="0"/>
    <s v="Slippery"/>
    <s v="26-35"/>
    <n v="0"/>
    <s v="Medium"/>
    <s v="Suspended"/>
    <b v="0"/>
    <n v="103"/>
    <s v="Delhi"/>
    <n v="7"/>
    <n v="3"/>
    <n v="2190"/>
    <x v="0"/>
    <s v="Not an Outliers"/>
  </r>
  <r>
    <d v="2024-01-01T00:00:00"/>
    <x v="1"/>
    <x v="1"/>
    <x v="1"/>
    <n v="1000"/>
    <b v="0"/>
    <s v="Foggy"/>
    <x v="1"/>
    <s v="Wet"/>
    <s v="26-35"/>
    <n v="2"/>
    <s v="Medium"/>
    <s v="Valid"/>
    <b v="1"/>
    <n v="32"/>
    <s v="Delhi"/>
    <n v="7"/>
    <n v="2"/>
    <n v="3386"/>
    <x v="1"/>
    <s v="Not an Outliers"/>
  </r>
  <r>
    <d v="2024-01-01T00:00:00"/>
    <x v="2"/>
    <x v="2"/>
    <x v="1"/>
    <n v="1000"/>
    <b v="1"/>
    <s v="Rainy"/>
    <x v="2"/>
    <s v="Dry"/>
    <s v="50+"/>
    <n v="5"/>
    <s v="High"/>
    <s v="Suspended"/>
    <b v="1"/>
    <n v="120"/>
    <s v="Delhi"/>
    <n v="9"/>
    <n v="2"/>
    <n v="3053"/>
    <x v="1"/>
    <s v="Not an Outliers"/>
  </r>
  <r>
    <d v="2024-01-01T00:00:00"/>
    <x v="3"/>
    <x v="3"/>
    <x v="2"/>
    <n v="4050"/>
    <b v="0"/>
    <s v="Cloudy"/>
    <x v="1"/>
    <s v="Dry"/>
    <s v="26-35"/>
    <n v="2"/>
    <s v="Low"/>
    <s v="Expired"/>
    <b v="1"/>
    <n v="72"/>
    <s v="Punjab"/>
    <n v="2"/>
    <n v="2"/>
    <n v="3796"/>
    <x v="1"/>
    <s v="Not an Outliers"/>
  </r>
  <r>
    <d v="2024-01-01T00:00:00"/>
    <x v="4"/>
    <x v="2"/>
    <x v="3"/>
    <n v="2548"/>
    <b v="0"/>
    <s v="Foggy"/>
    <x v="3"/>
    <s v="Wet"/>
    <s v="36-50"/>
    <n v="4"/>
    <s v="Medium"/>
    <s v="Suspended"/>
    <b v="1"/>
    <n v="79"/>
    <s v="Uttar Pradesh"/>
    <n v="8"/>
    <n v="1"/>
    <n v="4831"/>
    <x v="2"/>
    <s v="Not an Outliers"/>
  </r>
  <r>
    <d v="2024-01-01T00:00:00"/>
    <x v="4"/>
    <x v="3"/>
    <x v="4"/>
    <n v="9039"/>
    <b v="0"/>
    <s v="Stormy"/>
    <x v="3"/>
    <s v="Wet"/>
    <s v="26-35"/>
    <n v="2"/>
    <s v="Low"/>
    <s v="Suspended"/>
    <b v="0"/>
    <n v="18"/>
    <s v="Haryana"/>
    <n v="10"/>
    <n v="3"/>
    <n v="2437"/>
    <x v="2"/>
    <s v="Not an Outliers"/>
  </r>
  <r>
    <d v="2024-01-01T00:00:00"/>
    <x v="0"/>
    <x v="1"/>
    <x v="3"/>
    <n v="3653"/>
    <b v="0"/>
    <s v="Stormy"/>
    <x v="1"/>
    <s v="Under Construction"/>
    <s v="26-35"/>
    <n v="3"/>
    <s v="Medium"/>
    <s v="Valid"/>
    <b v="0"/>
    <n v="117"/>
    <s v="Rajasthan"/>
    <n v="10"/>
    <n v="2"/>
    <n v="573"/>
    <x v="0"/>
    <s v="Not an Outliers"/>
  </r>
  <r>
    <d v="2024-01-02T00:00:00"/>
    <x v="5"/>
    <x v="3"/>
    <x v="3"/>
    <n v="1717"/>
    <b v="0"/>
    <s v="Foggy"/>
    <x v="3"/>
    <s v="Wet"/>
    <s v="36-50"/>
    <n v="5"/>
    <s v="High"/>
    <s v="Learner"/>
    <b v="1"/>
    <n v="29"/>
    <s v="Rajasthan"/>
    <n v="8"/>
    <n v="3"/>
    <n v="1070"/>
    <x v="2"/>
    <s v="Not an Outliers"/>
  </r>
  <r>
    <d v="2024-01-02T00:00:00"/>
    <x v="6"/>
    <x v="0"/>
    <x v="0"/>
    <n v="1000"/>
    <b v="0"/>
    <s v="Rainy"/>
    <x v="2"/>
    <s v="Wet"/>
    <s v="50+"/>
    <n v="2"/>
    <s v="High"/>
    <s v="Suspended"/>
    <b v="1"/>
    <n v="11"/>
    <s v="Uttar Pradesh"/>
    <n v="9"/>
    <n v="3"/>
    <n v="3939"/>
    <x v="1"/>
    <s v="Not an Outliers"/>
  </r>
  <r>
    <d v="2024-01-02T00:00:00"/>
    <x v="7"/>
    <x v="4"/>
    <x v="1"/>
    <n v="1000"/>
    <b v="0"/>
    <s v="Cloudy"/>
    <x v="0"/>
    <s v="Wet"/>
    <s v="26-35"/>
    <n v="5"/>
    <s v="Low"/>
    <s v="Valid"/>
    <b v="1"/>
    <n v="94"/>
    <s v="Rajasthan"/>
    <n v="1"/>
    <n v="2"/>
    <n v="4734"/>
    <x v="2"/>
    <s v="Not an Outliers"/>
  </r>
  <r>
    <d v="2024-01-02T00:00:00"/>
    <x v="5"/>
    <x v="0"/>
    <x v="2"/>
    <n v="1522"/>
    <b v="1"/>
    <s v="Cloudy"/>
    <x v="0"/>
    <s v="Under Construction"/>
    <s v="18-25"/>
    <n v="3"/>
    <s v="Medium"/>
    <s v="Expired"/>
    <b v="0"/>
    <n v="86"/>
    <s v="Punjab"/>
    <n v="7"/>
    <n v="3"/>
    <n v="4737"/>
    <x v="1"/>
    <s v="Not an Outliers"/>
  </r>
  <r>
    <d v="2024-01-03T00:00:00"/>
    <x v="8"/>
    <x v="1"/>
    <x v="5"/>
    <n v="3040"/>
    <b v="1"/>
    <s v="Clear"/>
    <x v="3"/>
    <s v="Slippery"/>
    <s v="18-25"/>
    <n v="4"/>
    <s v="Low"/>
    <s v="Learner"/>
    <b v="0"/>
    <n v="88"/>
    <s v="Punjab"/>
    <n v="4"/>
    <n v="2"/>
    <n v="764"/>
    <x v="0"/>
    <s v="Not an Outliers"/>
  </r>
  <r>
    <d v="2024-01-04T00:00:00"/>
    <x v="6"/>
    <x v="2"/>
    <x v="1"/>
    <n v="1000"/>
    <b v="1"/>
    <s v="Rainy"/>
    <x v="3"/>
    <s v="Slippery"/>
    <s v="50+"/>
    <n v="1"/>
    <s v="Medium"/>
    <s v="Expired"/>
    <b v="1"/>
    <n v="74"/>
    <s v="Haryana"/>
    <n v="6"/>
    <n v="3"/>
    <n v="4985"/>
    <x v="2"/>
    <s v="Not an Outliers"/>
  </r>
  <r>
    <d v="2024-01-04T00:00:00"/>
    <x v="2"/>
    <x v="3"/>
    <x v="2"/>
    <n v="1399"/>
    <b v="0"/>
    <s v="Rainy"/>
    <x v="3"/>
    <s v="Wet"/>
    <s v="26-35"/>
    <n v="0"/>
    <s v="Low"/>
    <s v="Expired"/>
    <b v="0"/>
    <n v="64"/>
    <s v="Haryana"/>
    <n v="8"/>
    <n v="3"/>
    <n v="1885"/>
    <x v="2"/>
    <s v="Not an Outliers"/>
  </r>
  <r>
    <d v="2024-01-04T00:00:00"/>
    <x v="9"/>
    <x v="0"/>
    <x v="3"/>
    <n v="2329"/>
    <b v="0"/>
    <s v="Rainy"/>
    <x v="2"/>
    <s v="Under Construction"/>
    <s v="26-35"/>
    <n v="1"/>
    <s v="High"/>
    <s v="Expired"/>
    <b v="0"/>
    <n v="92"/>
    <s v="Rajasthan"/>
    <n v="1"/>
    <n v="3"/>
    <n v="3131"/>
    <x v="2"/>
    <s v="Not an Outliers"/>
  </r>
  <r>
    <d v="2024-01-04T00:00:00"/>
    <x v="6"/>
    <x v="1"/>
    <x v="3"/>
    <n v="2780"/>
    <b v="0"/>
    <s v="Rainy"/>
    <x v="3"/>
    <s v="Slippery"/>
    <s v="50+"/>
    <n v="5"/>
    <s v="Medium"/>
    <s v="Valid"/>
    <b v="0"/>
    <n v="119"/>
    <s v="Rajasthan"/>
    <n v="1"/>
    <n v="1"/>
    <n v="1438"/>
    <x v="0"/>
    <s v="Not an Outliers"/>
  </r>
  <r>
    <d v="2024-01-05T00:00:00"/>
    <x v="10"/>
    <x v="3"/>
    <x v="4"/>
    <n v="6948"/>
    <b v="1"/>
    <s v="Clear"/>
    <x v="1"/>
    <s v="Under Construction"/>
    <s v="26-35"/>
    <n v="1"/>
    <s v="Low"/>
    <s v="Suspended"/>
    <b v="0"/>
    <n v="29"/>
    <s v="Haryana"/>
    <n v="9"/>
    <n v="1"/>
    <n v="4980"/>
    <x v="0"/>
    <s v="Not an Outliers"/>
  </r>
  <r>
    <d v="2024-01-05T00:00:00"/>
    <x v="2"/>
    <x v="2"/>
    <x v="3"/>
    <n v="4615"/>
    <b v="0"/>
    <s v="Foggy"/>
    <x v="1"/>
    <s v="Wet"/>
    <s v="50+"/>
    <n v="0"/>
    <s v="Medium"/>
    <s v="Suspended"/>
    <b v="1"/>
    <n v="14"/>
    <s v="Haryana"/>
    <n v="5"/>
    <n v="3"/>
    <n v="2103"/>
    <x v="1"/>
    <s v="Not an Outliers"/>
  </r>
  <r>
    <d v="2024-01-06T00:00:00"/>
    <x v="0"/>
    <x v="4"/>
    <x v="4"/>
    <n v="9835"/>
    <b v="0"/>
    <s v="Rainy"/>
    <x v="0"/>
    <s v="Under Construction"/>
    <s v="50+"/>
    <n v="3"/>
    <s v="Medium"/>
    <s v="Expired"/>
    <b v="0"/>
    <n v="68"/>
    <s v="Delhi"/>
    <n v="8"/>
    <n v="3"/>
    <n v="4275"/>
    <x v="0"/>
    <s v="Not an Outliers"/>
  </r>
  <r>
    <d v="2024-01-06T00:00:00"/>
    <x v="3"/>
    <x v="4"/>
    <x v="1"/>
    <n v="1000"/>
    <b v="0"/>
    <s v="Foggy"/>
    <x v="0"/>
    <s v="Wet"/>
    <s v="26-35"/>
    <n v="1"/>
    <s v="High"/>
    <s v="Expired"/>
    <b v="0"/>
    <n v="28"/>
    <s v="Delhi"/>
    <n v="7"/>
    <n v="3"/>
    <n v="3711"/>
    <x v="1"/>
    <s v="Not an Outliers"/>
  </r>
  <r>
    <d v="2024-01-06T00:00:00"/>
    <x v="5"/>
    <x v="4"/>
    <x v="2"/>
    <n v="3313"/>
    <b v="1"/>
    <s v="Clear"/>
    <x v="1"/>
    <s v="Wet"/>
    <s v="50+"/>
    <n v="3"/>
    <s v="High"/>
    <s v="Learner"/>
    <b v="0"/>
    <n v="70"/>
    <s v="Rajasthan"/>
    <n v="8"/>
    <n v="2"/>
    <n v="1443"/>
    <x v="2"/>
    <s v="Not an Outliers"/>
  </r>
  <r>
    <d v="2024-01-06T00:00:00"/>
    <x v="11"/>
    <x v="4"/>
    <x v="2"/>
    <n v="1462"/>
    <b v="0"/>
    <s v="Clear"/>
    <x v="3"/>
    <s v="Dry"/>
    <s v="36-50"/>
    <n v="5"/>
    <s v="Medium"/>
    <s v="Suspended"/>
    <b v="1"/>
    <n v="42"/>
    <s v="Punjab"/>
    <n v="10"/>
    <n v="3"/>
    <n v="2175"/>
    <x v="0"/>
    <s v="Not an Outliers"/>
  </r>
  <r>
    <d v="2024-01-07T00:00:00"/>
    <x v="1"/>
    <x v="4"/>
    <x v="1"/>
    <n v="1000"/>
    <b v="0"/>
    <s v="Rainy"/>
    <x v="0"/>
    <s v="Wet"/>
    <s v="50+"/>
    <n v="1"/>
    <s v="Low"/>
    <s v="Learner"/>
    <b v="0"/>
    <n v="5"/>
    <s v="Uttar Pradesh"/>
    <n v="8"/>
    <n v="2"/>
    <n v="2096"/>
    <x v="2"/>
    <s v="Not an Outliers"/>
  </r>
  <r>
    <d v="2024-01-07T00:00:00"/>
    <x v="12"/>
    <x v="3"/>
    <x v="3"/>
    <n v="3304"/>
    <b v="0"/>
    <s v="Cloudy"/>
    <x v="2"/>
    <s v="Wet"/>
    <s v="26-35"/>
    <n v="0"/>
    <s v="Low"/>
    <s v="Expired"/>
    <b v="1"/>
    <n v="40"/>
    <s v="Rajasthan"/>
    <n v="4"/>
    <n v="1"/>
    <n v="4415"/>
    <x v="0"/>
    <s v="Not an Outliers"/>
  </r>
  <r>
    <d v="2024-01-07T00:00:00"/>
    <x v="1"/>
    <x v="3"/>
    <x v="5"/>
    <n v="5937"/>
    <b v="0"/>
    <s v="Cloudy"/>
    <x v="3"/>
    <s v="Dry"/>
    <s v="26-35"/>
    <n v="4"/>
    <s v="High"/>
    <s v="Valid"/>
    <b v="1"/>
    <n v="78"/>
    <s v="Rajasthan"/>
    <n v="8"/>
    <n v="2"/>
    <n v="3732"/>
    <x v="1"/>
    <s v="Not an Outliers"/>
  </r>
  <r>
    <d v="2024-01-07T00:00:00"/>
    <x v="9"/>
    <x v="3"/>
    <x v="3"/>
    <n v="1857"/>
    <b v="0"/>
    <s v="Foggy"/>
    <x v="1"/>
    <s v="Wet"/>
    <s v="18-25"/>
    <n v="3"/>
    <s v="High"/>
    <s v="Suspended"/>
    <b v="0"/>
    <n v="64"/>
    <s v="Uttar Pradesh"/>
    <n v="9"/>
    <n v="2"/>
    <n v="2722"/>
    <x v="1"/>
    <s v="Not an Outliers"/>
  </r>
  <r>
    <d v="2024-01-07T00:00:00"/>
    <x v="8"/>
    <x v="2"/>
    <x v="1"/>
    <n v="1000"/>
    <b v="0"/>
    <s v="Clear"/>
    <x v="0"/>
    <s v="Under Construction"/>
    <s v="18-25"/>
    <n v="1"/>
    <s v="High"/>
    <s v="Suspended"/>
    <b v="0"/>
    <n v="119"/>
    <s v="Punjab"/>
    <n v="2"/>
    <n v="2"/>
    <n v="791"/>
    <x v="1"/>
    <s v="Not an Outliers"/>
  </r>
  <r>
    <d v="2024-01-08T00:00:00"/>
    <x v="11"/>
    <x v="1"/>
    <x v="3"/>
    <n v="4484"/>
    <b v="0"/>
    <s v="Clear"/>
    <x v="1"/>
    <s v="Dry"/>
    <s v="36-50"/>
    <n v="4"/>
    <s v="Low"/>
    <s v="Suspended"/>
    <b v="1"/>
    <n v="93"/>
    <s v="Uttar Pradesh"/>
    <n v="2"/>
    <n v="2"/>
    <n v="3193"/>
    <x v="2"/>
    <s v="Not an Outliers"/>
  </r>
  <r>
    <d v="2024-01-09T00:00:00"/>
    <x v="10"/>
    <x v="0"/>
    <x v="5"/>
    <n v="5259"/>
    <b v="0"/>
    <s v="Rainy"/>
    <x v="2"/>
    <s v="Under Construction"/>
    <s v="18-25"/>
    <n v="5"/>
    <s v="High"/>
    <s v="Suspended"/>
    <b v="1"/>
    <n v="78"/>
    <s v="Punjab"/>
    <n v="9"/>
    <n v="2"/>
    <n v="3846"/>
    <x v="1"/>
    <s v="Not an Outliers"/>
  </r>
  <r>
    <d v="2024-01-09T00:00:00"/>
    <x v="10"/>
    <x v="0"/>
    <x v="4"/>
    <n v="9662"/>
    <b v="0"/>
    <s v="Cloudy"/>
    <x v="2"/>
    <s v="Dry"/>
    <s v="18-25"/>
    <n v="2"/>
    <s v="Medium"/>
    <s v="Learner"/>
    <b v="0"/>
    <n v="113"/>
    <s v="Uttar Pradesh"/>
    <n v="4"/>
    <n v="3"/>
    <n v="1686"/>
    <x v="1"/>
    <s v="Not an Outliers"/>
  </r>
  <r>
    <d v="2024-01-09T00:00:00"/>
    <x v="9"/>
    <x v="4"/>
    <x v="3"/>
    <n v="4184"/>
    <b v="1"/>
    <s v="Foggy"/>
    <x v="3"/>
    <s v="Dry"/>
    <s v="50+"/>
    <n v="2"/>
    <s v="Medium"/>
    <s v="Valid"/>
    <b v="1"/>
    <n v="8"/>
    <s v="Rajasthan"/>
    <n v="5"/>
    <n v="2"/>
    <n v="3051"/>
    <x v="0"/>
    <s v="Not an Outliers"/>
  </r>
  <r>
    <d v="2024-01-10T00:00:00"/>
    <x v="7"/>
    <x v="2"/>
    <x v="1"/>
    <n v="1000"/>
    <b v="0"/>
    <s v="Rainy"/>
    <x v="3"/>
    <s v="Dry"/>
    <s v="36-50"/>
    <n v="1"/>
    <s v="High"/>
    <s v="Suspended"/>
    <b v="1"/>
    <n v="88"/>
    <s v="Rajasthan"/>
    <n v="4"/>
    <n v="2"/>
    <n v="3829"/>
    <x v="2"/>
    <s v="Not an Outliers"/>
  </r>
  <r>
    <d v="2024-01-11T00:00:00"/>
    <x v="11"/>
    <x v="1"/>
    <x v="1"/>
    <n v="1000"/>
    <b v="0"/>
    <s v="Cloudy"/>
    <x v="2"/>
    <s v="Dry"/>
    <s v="18-25"/>
    <n v="2"/>
    <s v="High"/>
    <s v="Expired"/>
    <b v="1"/>
    <n v="34"/>
    <s v="Delhi"/>
    <n v="2"/>
    <n v="1"/>
    <n v="3705"/>
    <x v="0"/>
    <s v="Not an Outliers"/>
  </r>
  <r>
    <d v="2024-01-11T00:00:00"/>
    <x v="7"/>
    <x v="3"/>
    <x v="2"/>
    <n v="1818"/>
    <b v="1"/>
    <s v="Rainy"/>
    <x v="0"/>
    <s v="Wet"/>
    <s v="36-50"/>
    <n v="1"/>
    <s v="High"/>
    <s v="Suspended"/>
    <b v="1"/>
    <n v="93"/>
    <s v="Rajasthan"/>
    <n v="6"/>
    <n v="2"/>
    <n v="2239"/>
    <x v="1"/>
    <s v="Not an Outliers"/>
  </r>
  <r>
    <d v="2024-01-12T00:00:00"/>
    <x v="5"/>
    <x v="3"/>
    <x v="3"/>
    <n v="3172"/>
    <b v="0"/>
    <s v="Stormy"/>
    <x v="2"/>
    <s v="Slippery"/>
    <s v="50+"/>
    <n v="4"/>
    <s v="Low"/>
    <s v="Valid"/>
    <b v="1"/>
    <n v="98"/>
    <s v="Punjab"/>
    <n v="10"/>
    <n v="1"/>
    <n v="2788"/>
    <x v="1"/>
    <s v="Not an Outliers"/>
  </r>
  <r>
    <d v="2024-01-12T00:00:00"/>
    <x v="6"/>
    <x v="4"/>
    <x v="1"/>
    <n v="1000"/>
    <b v="0"/>
    <s v="Clear"/>
    <x v="2"/>
    <s v="Dry"/>
    <s v="50+"/>
    <n v="1"/>
    <s v="Medium"/>
    <s v="Suspended"/>
    <b v="0"/>
    <n v="15"/>
    <s v="Uttar Pradesh"/>
    <n v="6"/>
    <n v="3"/>
    <n v="3367"/>
    <x v="2"/>
    <s v="Not an Outliers"/>
  </r>
  <r>
    <d v="2024-01-12T00:00:00"/>
    <x v="1"/>
    <x v="0"/>
    <x v="5"/>
    <n v="3681"/>
    <b v="0"/>
    <s v="Foggy"/>
    <x v="1"/>
    <s v="Dry"/>
    <s v="18-25"/>
    <n v="2"/>
    <s v="Medium"/>
    <s v="Suspended"/>
    <b v="0"/>
    <n v="57"/>
    <s v="Uttar Pradesh"/>
    <n v="3"/>
    <n v="1"/>
    <n v="3354"/>
    <x v="0"/>
    <s v="Not an Outliers"/>
  </r>
  <r>
    <d v="2024-01-12T00:00:00"/>
    <x v="8"/>
    <x v="1"/>
    <x v="1"/>
    <n v="1000"/>
    <b v="0"/>
    <s v="Rainy"/>
    <x v="2"/>
    <s v="Under Construction"/>
    <s v="36-50"/>
    <n v="4"/>
    <s v="Low"/>
    <s v="Suspended"/>
    <b v="1"/>
    <n v="76"/>
    <s v="Uttar Pradesh"/>
    <n v="6"/>
    <n v="2"/>
    <n v="1301"/>
    <x v="2"/>
    <s v="Not an Outliers"/>
  </r>
  <r>
    <d v="2024-01-13T00:00:00"/>
    <x v="10"/>
    <x v="2"/>
    <x v="3"/>
    <n v="4415"/>
    <b v="1"/>
    <s v="Clear"/>
    <x v="1"/>
    <s v="Dry"/>
    <s v="18-25"/>
    <n v="4"/>
    <s v="Low"/>
    <s v="Valid"/>
    <b v="1"/>
    <n v="34"/>
    <s v="Uttar Pradesh"/>
    <n v="3"/>
    <n v="3"/>
    <n v="4463"/>
    <x v="1"/>
    <s v="Not an Outliers"/>
  </r>
  <r>
    <d v="2024-01-13T00:00:00"/>
    <x v="6"/>
    <x v="4"/>
    <x v="1"/>
    <n v="1000"/>
    <b v="0"/>
    <s v="Rainy"/>
    <x v="2"/>
    <s v="Wet"/>
    <s v="50+"/>
    <n v="1"/>
    <s v="Low"/>
    <s v="Valid"/>
    <b v="0"/>
    <n v="119"/>
    <s v="Delhi"/>
    <n v="8"/>
    <n v="3"/>
    <n v="1423"/>
    <x v="2"/>
    <s v="Not an Outliers"/>
  </r>
  <r>
    <d v="2024-01-13T00:00:00"/>
    <x v="12"/>
    <x v="2"/>
    <x v="2"/>
    <n v="4316"/>
    <b v="1"/>
    <s v="Stormy"/>
    <x v="0"/>
    <s v="Under Construction"/>
    <s v="18-25"/>
    <n v="3"/>
    <s v="High"/>
    <s v="Learner"/>
    <b v="1"/>
    <n v="92"/>
    <s v="Delhi"/>
    <n v="10"/>
    <n v="1"/>
    <n v="4854"/>
    <x v="0"/>
    <s v="Not an Outliers"/>
  </r>
  <r>
    <d v="2024-01-13T00:00:00"/>
    <x v="0"/>
    <x v="0"/>
    <x v="0"/>
    <n v="1000"/>
    <b v="0"/>
    <s v="Rainy"/>
    <x v="3"/>
    <s v="Slippery"/>
    <s v="18-25"/>
    <n v="4"/>
    <s v="Low"/>
    <s v="Learner"/>
    <b v="0"/>
    <n v="56"/>
    <s v="Haryana"/>
    <n v="9"/>
    <n v="2"/>
    <n v="1894"/>
    <x v="2"/>
    <s v="Not an Outliers"/>
  </r>
  <r>
    <d v="2024-01-13T00:00:00"/>
    <x v="11"/>
    <x v="3"/>
    <x v="5"/>
    <n v="5617"/>
    <b v="0"/>
    <s v="Rainy"/>
    <x v="0"/>
    <s v="Under Construction"/>
    <s v="18-25"/>
    <n v="5"/>
    <s v="High"/>
    <s v="Valid"/>
    <b v="1"/>
    <n v="72"/>
    <s v="Punjab"/>
    <n v="8"/>
    <n v="3"/>
    <n v="547"/>
    <x v="0"/>
    <s v="Not an Outliers"/>
  </r>
  <r>
    <d v="2024-01-13T00:00:00"/>
    <x v="2"/>
    <x v="0"/>
    <x v="4"/>
    <n v="8843"/>
    <b v="1"/>
    <s v="Clear"/>
    <x v="1"/>
    <s v="Wet"/>
    <s v="36-50"/>
    <n v="2"/>
    <s v="Medium"/>
    <s v="Expired"/>
    <b v="1"/>
    <n v="59"/>
    <s v="Delhi"/>
    <n v="3"/>
    <n v="2"/>
    <n v="2206"/>
    <x v="0"/>
    <s v="Not an Outliers"/>
  </r>
  <r>
    <d v="2024-01-14T00:00:00"/>
    <x v="12"/>
    <x v="4"/>
    <x v="1"/>
    <n v="1000"/>
    <b v="0"/>
    <s v="Cloudy"/>
    <x v="2"/>
    <s v="Dry"/>
    <s v="26-35"/>
    <n v="0"/>
    <s v="Low"/>
    <s v="Learner"/>
    <b v="0"/>
    <n v="59"/>
    <s v="Rajasthan"/>
    <n v="8"/>
    <n v="1"/>
    <n v="1978"/>
    <x v="0"/>
    <s v="Not an Outliers"/>
  </r>
  <r>
    <d v="2024-01-14T00:00:00"/>
    <x v="13"/>
    <x v="2"/>
    <x v="2"/>
    <n v="1511"/>
    <b v="1"/>
    <s v="Cloudy"/>
    <x v="1"/>
    <s v="Dry"/>
    <s v="26-35"/>
    <n v="2"/>
    <s v="Medium"/>
    <s v="Valid"/>
    <b v="1"/>
    <n v="54"/>
    <s v="Uttar Pradesh"/>
    <n v="1"/>
    <n v="1"/>
    <n v="667"/>
    <x v="2"/>
    <s v="Not an Outliers"/>
  </r>
  <r>
    <d v="2024-01-14T00:00:00"/>
    <x v="12"/>
    <x v="1"/>
    <x v="4"/>
    <n v="5836"/>
    <b v="0"/>
    <s v="Clear"/>
    <x v="2"/>
    <s v="Wet"/>
    <s v="36-50"/>
    <n v="4"/>
    <s v="Low"/>
    <s v="Learner"/>
    <b v="0"/>
    <n v="63"/>
    <s v="Punjab"/>
    <n v="9"/>
    <n v="1"/>
    <n v="2817"/>
    <x v="1"/>
    <s v="Not an Outliers"/>
  </r>
  <r>
    <d v="2024-01-14T00:00:00"/>
    <x v="11"/>
    <x v="3"/>
    <x v="1"/>
    <n v="1000"/>
    <b v="1"/>
    <s v="Rainy"/>
    <x v="0"/>
    <s v="Under Construction"/>
    <s v="26-35"/>
    <n v="0"/>
    <s v="Low"/>
    <s v="Valid"/>
    <b v="0"/>
    <n v="114"/>
    <s v="Uttar Pradesh"/>
    <n v="7"/>
    <n v="3"/>
    <n v="4674"/>
    <x v="1"/>
    <s v="Not an Outliers"/>
  </r>
  <r>
    <d v="2024-01-15T00:00:00"/>
    <x v="14"/>
    <x v="1"/>
    <x v="2"/>
    <n v="1757"/>
    <b v="1"/>
    <s v="Stormy"/>
    <x v="0"/>
    <s v="Slippery"/>
    <s v="36-50"/>
    <n v="1"/>
    <s v="Low"/>
    <s v="Expired"/>
    <b v="0"/>
    <n v="33"/>
    <s v="Haryana"/>
    <n v="2"/>
    <n v="1"/>
    <n v="1272"/>
    <x v="1"/>
    <s v="Not an Outliers"/>
  </r>
  <r>
    <d v="2024-01-15T00:00:00"/>
    <x v="0"/>
    <x v="2"/>
    <x v="4"/>
    <n v="5002"/>
    <b v="0"/>
    <s v="Stormy"/>
    <x v="3"/>
    <s v="Wet"/>
    <s v="26-35"/>
    <n v="1"/>
    <s v="Medium"/>
    <s v="Learner"/>
    <b v="0"/>
    <n v="116"/>
    <s v="Delhi"/>
    <n v="6"/>
    <n v="3"/>
    <n v="2094"/>
    <x v="1"/>
    <s v="Not an Outliers"/>
  </r>
  <r>
    <d v="2024-01-16T00:00:00"/>
    <x v="9"/>
    <x v="3"/>
    <x v="2"/>
    <n v="3069"/>
    <b v="1"/>
    <s v="Clear"/>
    <x v="2"/>
    <s v="Slippery"/>
    <s v="18-25"/>
    <n v="1"/>
    <s v="Medium"/>
    <s v="Valid"/>
    <b v="1"/>
    <n v="120"/>
    <s v="Rajasthan"/>
    <n v="8"/>
    <n v="3"/>
    <n v="4738"/>
    <x v="1"/>
    <s v="Not an Outliers"/>
  </r>
  <r>
    <d v="2024-01-16T00:00:00"/>
    <x v="11"/>
    <x v="0"/>
    <x v="0"/>
    <n v="1000"/>
    <b v="0"/>
    <s v="Cloudy"/>
    <x v="0"/>
    <s v="Slippery"/>
    <s v="18-25"/>
    <n v="2"/>
    <s v="High"/>
    <s v="Expired"/>
    <b v="0"/>
    <n v="50"/>
    <s v="Delhi"/>
    <n v="3"/>
    <n v="3"/>
    <n v="1161"/>
    <x v="2"/>
    <s v="Not an Outliers"/>
  </r>
  <r>
    <d v="2024-01-17T00:00:00"/>
    <x v="2"/>
    <x v="2"/>
    <x v="5"/>
    <n v="3296"/>
    <b v="0"/>
    <s v="Rainy"/>
    <x v="3"/>
    <s v="Dry"/>
    <s v="50+"/>
    <n v="5"/>
    <s v="High"/>
    <s v="Suspended"/>
    <b v="0"/>
    <n v="89"/>
    <s v="Uttar Pradesh"/>
    <n v="6"/>
    <n v="2"/>
    <n v="3625"/>
    <x v="0"/>
    <s v="Not an Outliers"/>
  </r>
  <r>
    <d v="2024-01-17T00:00:00"/>
    <x v="2"/>
    <x v="1"/>
    <x v="5"/>
    <n v="6379"/>
    <b v="1"/>
    <s v="Foggy"/>
    <x v="1"/>
    <s v="Slippery"/>
    <s v="50+"/>
    <n v="2"/>
    <s v="Medium"/>
    <s v="Learner"/>
    <b v="0"/>
    <n v="88"/>
    <s v="Punjab"/>
    <n v="7"/>
    <n v="1"/>
    <n v="2484"/>
    <x v="2"/>
    <s v="Not an Outliers"/>
  </r>
  <r>
    <d v="2024-01-18T00:00:00"/>
    <x v="8"/>
    <x v="4"/>
    <x v="5"/>
    <n v="4725"/>
    <b v="1"/>
    <s v="Clear"/>
    <x v="1"/>
    <s v="Slippery"/>
    <s v="50+"/>
    <n v="5"/>
    <s v="Low"/>
    <s v="Valid"/>
    <b v="1"/>
    <n v="27"/>
    <s v="Rajasthan"/>
    <n v="4"/>
    <n v="2"/>
    <n v="3879"/>
    <x v="2"/>
    <s v="Not an Outliers"/>
  </r>
  <r>
    <d v="2024-01-18T00:00:00"/>
    <x v="1"/>
    <x v="4"/>
    <x v="5"/>
    <n v="4114"/>
    <b v="0"/>
    <s v="Rainy"/>
    <x v="2"/>
    <s v="Dry"/>
    <s v="18-25"/>
    <n v="3"/>
    <s v="High"/>
    <s v="Expired"/>
    <b v="0"/>
    <n v="67"/>
    <s v="Delhi"/>
    <n v="8"/>
    <n v="3"/>
    <n v="2646"/>
    <x v="0"/>
    <s v="Not an Outliers"/>
  </r>
  <r>
    <d v="2024-01-18T00:00:00"/>
    <x v="3"/>
    <x v="4"/>
    <x v="4"/>
    <n v="43125"/>
    <b v="0"/>
    <s v="Rainy"/>
    <x v="3"/>
    <s v="Wet"/>
    <s v="36-50"/>
    <n v="5"/>
    <s v="High"/>
    <s v="Valid"/>
    <b v="1"/>
    <n v="3"/>
    <s v="Haryana"/>
    <n v="10"/>
    <n v="1"/>
    <n v="3722"/>
    <x v="0"/>
    <s v="Outliers"/>
  </r>
  <r>
    <d v="2024-01-19T00:00:00"/>
    <x v="11"/>
    <x v="2"/>
    <x v="5"/>
    <n v="3717"/>
    <b v="0"/>
    <s v="Stormy"/>
    <x v="3"/>
    <s v="Dry"/>
    <s v="26-35"/>
    <n v="2"/>
    <s v="Low"/>
    <s v="Learner"/>
    <b v="1"/>
    <n v="45"/>
    <s v="Haryana"/>
    <n v="1"/>
    <n v="3"/>
    <n v="1884"/>
    <x v="0"/>
    <s v="Not an Outliers"/>
  </r>
  <r>
    <d v="2024-01-19T00:00:00"/>
    <x v="11"/>
    <x v="3"/>
    <x v="1"/>
    <n v="1000"/>
    <b v="0"/>
    <s v="Rainy"/>
    <x v="1"/>
    <s v="Dry"/>
    <s v="36-50"/>
    <n v="4"/>
    <s v="Medium"/>
    <s v="Learner"/>
    <b v="1"/>
    <n v="105"/>
    <s v="Uttar Pradesh"/>
    <n v="3"/>
    <n v="1"/>
    <n v="4503"/>
    <x v="2"/>
    <s v="Not an Outliers"/>
  </r>
  <r>
    <d v="2024-01-19T00:00:00"/>
    <x v="10"/>
    <x v="2"/>
    <x v="1"/>
    <n v="1000"/>
    <b v="1"/>
    <s v="Rainy"/>
    <x v="3"/>
    <s v="Slippery"/>
    <s v="26-35"/>
    <n v="4"/>
    <s v="Low"/>
    <s v="Suspended"/>
    <b v="1"/>
    <n v="77"/>
    <s v="Haryana"/>
    <n v="4"/>
    <n v="1"/>
    <n v="4373"/>
    <x v="0"/>
    <s v="Not an Outliers"/>
  </r>
  <r>
    <d v="2024-01-20T00:00:00"/>
    <x v="4"/>
    <x v="2"/>
    <x v="3"/>
    <n v="4030"/>
    <b v="1"/>
    <s v="Cloudy"/>
    <x v="3"/>
    <s v="Dry"/>
    <s v="36-50"/>
    <n v="5"/>
    <s v="Medium"/>
    <s v="Expired"/>
    <b v="1"/>
    <n v="45"/>
    <s v="Haryana"/>
    <n v="2"/>
    <n v="3"/>
    <n v="1971"/>
    <x v="1"/>
    <s v="Not an Outliers"/>
  </r>
  <r>
    <d v="2024-01-20T00:00:00"/>
    <x v="4"/>
    <x v="2"/>
    <x v="5"/>
    <n v="7488"/>
    <b v="0"/>
    <s v="Cloudy"/>
    <x v="2"/>
    <s v="Wet"/>
    <s v="36-50"/>
    <n v="1"/>
    <s v="High"/>
    <s v="Learner"/>
    <b v="0"/>
    <n v="106"/>
    <s v="Rajasthan"/>
    <n v="5"/>
    <n v="1"/>
    <n v="1397"/>
    <x v="1"/>
    <s v="Not an Outliers"/>
  </r>
  <r>
    <d v="2024-01-20T00:00:00"/>
    <x v="5"/>
    <x v="2"/>
    <x v="4"/>
    <n v="6232"/>
    <b v="0"/>
    <s v="Rainy"/>
    <x v="3"/>
    <s v="Wet"/>
    <s v="36-50"/>
    <n v="3"/>
    <s v="Medium"/>
    <s v="Valid"/>
    <b v="0"/>
    <n v="12"/>
    <s v="Uttar Pradesh"/>
    <n v="3"/>
    <n v="1"/>
    <n v="2663"/>
    <x v="1"/>
    <s v="Not an Outliers"/>
  </r>
  <r>
    <d v="2024-01-20T00:00:00"/>
    <x v="1"/>
    <x v="1"/>
    <x v="4"/>
    <n v="9477"/>
    <b v="0"/>
    <s v="Foggy"/>
    <x v="3"/>
    <s v="Dry"/>
    <s v="26-35"/>
    <n v="1"/>
    <s v="Medium"/>
    <s v="Expired"/>
    <b v="1"/>
    <n v="110"/>
    <s v="Delhi"/>
    <n v="4"/>
    <n v="2"/>
    <n v="2959"/>
    <x v="2"/>
    <s v="Not an Outliers"/>
  </r>
  <r>
    <d v="2024-01-20T00:00:00"/>
    <x v="7"/>
    <x v="3"/>
    <x v="5"/>
    <n v="7689"/>
    <b v="1"/>
    <s v="Stormy"/>
    <x v="3"/>
    <s v="Dry"/>
    <s v="18-25"/>
    <n v="0"/>
    <s v="Medium"/>
    <s v="Suspended"/>
    <b v="0"/>
    <n v="22"/>
    <s v="Uttar Pradesh"/>
    <n v="7"/>
    <n v="3"/>
    <n v="1976"/>
    <x v="1"/>
    <s v="Not an Outliers"/>
  </r>
  <r>
    <d v="2024-01-20T00:00:00"/>
    <x v="4"/>
    <x v="1"/>
    <x v="3"/>
    <n v="4699"/>
    <b v="0"/>
    <s v="Stormy"/>
    <x v="1"/>
    <s v="Dry"/>
    <s v="26-35"/>
    <n v="2"/>
    <s v="Low"/>
    <s v="Expired"/>
    <b v="0"/>
    <n v="93"/>
    <s v="Uttar Pradesh"/>
    <n v="2"/>
    <n v="1"/>
    <n v="4918"/>
    <x v="0"/>
    <s v="Not an Outliers"/>
  </r>
  <r>
    <d v="2024-01-21T00:00:00"/>
    <x v="12"/>
    <x v="0"/>
    <x v="0"/>
    <n v="1000"/>
    <b v="1"/>
    <s v="Cloudy"/>
    <x v="2"/>
    <s v="Dry"/>
    <s v="26-35"/>
    <n v="2"/>
    <s v="Low"/>
    <s v="Valid"/>
    <b v="1"/>
    <n v="50"/>
    <s v="Punjab"/>
    <n v="2"/>
    <n v="1"/>
    <n v="3495"/>
    <x v="2"/>
    <s v="Not an Outliers"/>
  </r>
  <r>
    <d v="2024-01-21T00:00:00"/>
    <x v="10"/>
    <x v="0"/>
    <x v="3"/>
    <n v="4251"/>
    <b v="0"/>
    <s v="Clear"/>
    <x v="0"/>
    <s v="Slippery"/>
    <s v="50+"/>
    <n v="3"/>
    <s v="Low"/>
    <s v="Learner"/>
    <b v="1"/>
    <n v="25"/>
    <s v="Haryana"/>
    <n v="3"/>
    <n v="2"/>
    <n v="4162"/>
    <x v="0"/>
    <s v="Not an Outliers"/>
  </r>
  <r>
    <d v="2024-01-21T00:00:00"/>
    <x v="8"/>
    <x v="3"/>
    <x v="3"/>
    <n v="2465"/>
    <b v="0"/>
    <s v="Stormy"/>
    <x v="2"/>
    <s v="Dry"/>
    <s v="50+"/>
    <n v="3"/>
    <s v="High"/>
    <s v="Learner"/>
    <b v="1"/>
    <n v="47"/>
    <s v="Punjab"/>
    <n v="3"/>
    <n v="3"/>
    <n v="1264"/>
    <x v="0"/>
    <s v="Not an Outliers"/>
  </r>
  <r>
    <d v="2024-01-22T00:00:00"/>
    <x v="11"/>
    <x v="0"/>
    <x v="5"/>
    <n v="4602"/>
    <b v="0"/>
    <s v="Foggy"/>
    <x v="1"/>
    <s v="Dry"/>
    <s v="36-50"/>
    <n v="1"/>
    <s v="High"/>
    <s v="Suspended"/>
    <b v="1"/>
    <n v="76"/>
    <s v="Delhi"/>
    <n v="5"/>
    <n v="1"/>
    <n v="1937"/>
    <x v="2"/>
    <s v="Not an Outliers"/>
  </r>
  <r>
    <d v="2024-01-22T00:00:00"/>
    <x v="1"/>
    <x v="2"/>
    <x v="2"/>
    <n v="2139"/>
    <b v="1"/>
    <s v="Stormy"/>
    <x v="0"/>
    <s v="Dry"/>
    <s v="36-50"/>
    <n v="1"/>
    <s v="Medium"/>
    <s v="Expired"/>
    <b v="1"/>
    <n v="27"/>
    <s v="Punjab"/>
    <n v="9"/>
    <n v="3"/>
    <n v="3142"/>
    <x v="1"/>
    <s v="Not an Outliers"/>
  </r>
  <r>
    <d v="2024-01-22T00:00:00"/>
    <x v="11"/>
    <x v="1"/>
    <x v="3"/>
    <n v="4702"/>
    <b v="0"/>
    <s v="Stormy"/>
    <x v="0"/>
    <s v="Slippery"/>
    <s v="26-35"/>
    <n v="3"/>
    <s v="Low"/>
    <s v="Expired"/>
    <b v="1"/>
    <n v="0"/>
    <s v="Delhi"/>
    <n v="10"/>
    <n v="1"/>
    <n v="3597"/>
    <x v="2"/>
    <s v="Not an Outliers"/>
  </r>
  <r>
    <d v="2024-01-23T00:00:00"/>
    <x v="0"/>
    <x v="2"/>
    <x v="3"/>
    <n v="4256"/>
    <b v="1"/>
    <s v="Clear"/>
    <x v="1"/>
    <s v="Under Construction"/>
    <s v="26-35"/>
    <n v="5"/>
    <s v="High"/>
    <s v="Valid"/>
    <b v="1"/>
    <n v="22"/>
    <s v="Punjab"/>
    <n v="1"/>
    <n v="1"/>
    <n v="2258"/>
    <x v="0"/>
    <s v="Not an Outliers"/>
  </r>
  <r>
    <d v="2024-01-23T00:00:00"/>
    <x v="3"/>
    <x v="4"/>
    <x v="1"/>
    <n v="1000"/>
    <b v="0"/>
    <s v="Rainy"/>
    <x v="3"/>
    <s v="Dry"/>
    <s v="50+"/>
    <n v="4"/>
    <s v="Medium"/>
    <s v="Expired"/>
    <b v="1"/>
    <n v="60"/>
    <s v="Delhi"/>
    <n v="10"/>
    <n v="2"/>
    <n v="1946"/>
    <x v="0"/>
    <s v="Not an Outliers"/>
  </r>
  <r>
    <d v="2024-01-23T00:00:00"/>
    <x v="11"/>
    <x v="3"/>
    <x v="2"/>
    <n v="1118"/>
    <b v="1"/>
    <s v="Foggy"/>
    <x v="2"/>
    <s v="Wet"/>
    <s v="26-35"/>
    <n v="5"/>
    <s v="Low"/>
    <s v="Valid"/>
    <b v="0"/>
    <n v="54"/>
    <s v="Delhi"/>
    <n v="9"/>
    <n v="2"/>
    <n v="3170"/>
    <x v="0"/>
    <s v="Not an Outliers"/>
  </r>
  <r>
    <d v="2024-01-23T00:00:00"/>
    <x v="9"/>
    <x v="3"/>
    <x v="1"/>
    <n v="1000"/>
    <b v="0"/>
    <s v="Cloudy"/>
    <x v="3"/>
    <s v="Under Construction"/>
    <s v="36-50"/>
    <n v="1"/>
    <s v="Medium"/>
    <s v="Learner"/>
    <b v="1"/>
    <n v="44"/>
    <s v="Rajasthan"/>
    <n v="1"/>
    <n v="2"/>
    <n v="1788"/>
    <x v="2"/>
    <s v="Not an Outliers"/>
  </r>
  <r>
    <d v="2024-01-23T00:00:00"/>
    <x v="9"/>
    <x v="2"/>
    <x v="3"/>
    <n v="4189"/>
    <b v="0"/>
    <s v="Rainy"/>
    <x v="3"/>
    <s v="Under Construction"/>
    <s v="18-25"/>
    <n v="0"/>
    <s v="High"/>
    <s v="Learner"/>
    <b v="0"/>
    <n v="69"/>
    <s v="Uttar Pradesh"/>
    <n v="4"/>
    <n v="2"/>
    <n v="636"/>
    <x v="0"/>
    <s v="Not an Outliers"/>
  </r>
  <r>
    <d v="2024-01-23T00:00:00"/>
    <x v="6"/>
    <x v="2"/>
    <x v="3"/>
    <n v="3785"/>
    <b v="1"/>
    <s v="Cloudy"/>
    <x v="1"/>
    <s v="Dry"/>
    <s v="50+"/>
    <n v="4"/>
    <s v="Medium"/>
    <s v="Suspended"/>
    <b v="0"/>
    <n v="35"/>
    <s v="Punjab"/>
    <n v="8"/>
    <n v="1"/>
    <n v="1298"/>
    <x v="1"/>
    <s v="Not an Outliers"/>
  </r>
  <r>
    <d v="2024-01-24T00:00:00"/>
    <x v="0"/>
    <x v="4"/>
    <x v="1"/>
    <n v="1000"/>
    <b v="0"/>
    <s v="Clear"/>
    <x v="0"/>
    <s v="Wet"/>
    <s v="18-25"/>
    <n v="2"/>
    <s v="High"/>
    <s v="Valid"/>
    <b v="1"/>
    <n v="78"/>
    <s v="Uttar Pradesh"/>
    <n v="10"/>
    <n v="2"/>
    <n v="3456"/>
    <x v="0"/>
    <s v="Not an Outliers"/>
  </r>
  <r>
    <d v="2024-01-24T00:00:00"/>
    <x v="1"/>
    <x v="4"/>
    <x v="1"/>
    <n v="1000"/>
    <b v="0"/>
    <s v="Stormy"/>
    <x v="0"/>
    <s v="Wet"/>
    <s v="36-50"/>
    <n v="5"/>
    <s v="Low"/>
    <s v="Expired"/>
    <b v="1"/>
    <n v="75"/>
    <s v="Rajasthan"/>
    <n v="9"/>
    <n v="3"/>
    <n v="1993"/>
    <x v="1"/>
    <s v="Not an Outliers"/>
  </r>
  <r>
    <d v="2024-01-24T00:00:00"/>
    <x v="5"/>
    <x v="2"/>
    <x v="2"/>
    <n v="3903"/>
    <b v="0"/>
    <s v="Rainy"/>
    <x v="1"/>
    <s v="Under Construction"/>
    <s v="26-35"/>
    <n v="4"/>
    <s v="High"/>
    <s v="Learner"/>
    <b v="0"/>
    <n v="109"/>
    <s v="Haryana"/>
    <n v="3"/>
    <n v="3"/>
    <n v="3570"/>
    <x v="0"/>
    <s v="Not an Outliers"/>
  </r>
  <r>
    <d v="2024-01-24T00:00:00"/>
    <x v="14"/>
    <x v="4"/>
    <x v="1"/>
    <n v="1000"/>
    <b v="0"/>
    <s v="Foggy"/>
    <x v="0"/>
    <s v="Dry"/>
    <s v="36-50"/>
    <n v="2"/>
    <s v="Medium"/>
    <s v="Learner"/>
    <b v="0"/>
    <n v="92"/>
    <s v="Rajasthan"/>
    <n v="4"/>
    <n v="1"/>
    <n v="2169"/>
    <x v="0"/>
    <s v="Not an Outliers"/>
  </r>
  <r>
    <d v="2024-01-24T00:00:00"/>
    <x v="2"/>
    <x v="3"/>
    <x v="1"/>
    <n v="1000"/>
    <b v="1"/>
    <s v="Stormy"/>
    <x v="0"/>
    <s v="Under Construction"/>
    <s v="36-50"/>
    <n v="5"/>
    <s v="High"/>
    <s v="Learner"/>
    <b v="1"/>
    <n v="63"/>
    <s v="Punjab"/>
    <n v="8"/>
    <n v="2"/>
    <n v="2835"/>
    <x v="0"/>
    <s v="Not an Outliers"/>
  </r>
  <r>
    <d v="2024-01-24T00:00:00"/>
    <x v="3"/>
    <x v="2"/>
    <x v="5"/>
    <n v="7452"/>
    <b v="1"/>
    <s v="Stormy"/>
    <x v="1"/>
    <s v="Under Construction"/>
    <s v="26-35"/>
    <n v="1"/>
    <s v="High"/>
    <s v="Valid"/>
    <b v="1"/>
    <n v="119"/>
    <s v="Delhi"/>
    <n v="5"/>
    <n v="3"/>
    <n v="1284"/>
    <x v="1"/>
    <s v="Not an Outliers"/>
  </r>
  <r>
    <d v="2024-01-25T00:00:00"/>
    <x v="9"/>
    <x v="3"/>
    <x v="3"/>
    <n v="4529"/>
    <b v="1"/>
    <s v="Foggy"/>
    <x v="0"/>
    <s v="Slippery"/>
    <s v="18-25"/>
    <n v="1"/>
    <s v="Medium"/>
    <s v="Learner"/>
    <b v="0"/>
    <n v="8"/>
    <s v="Punjab"/>
    <n v="2"/>
    <n v="1"/>
    <n v="1223"/>
    <x v="2"/>
    <s v="Not an Outliers"/>
  </r>
  <r>
    <d v="2024-01-25T00:00:00"/>
    <x v="8"/>
    <x v="4"/>
    <x v="5"/>
    <n v="3465"/>
    <b v="0"/>
    <s v="Rainy"/>
    <x v="2"/>
    <s v="Dry"/>
    <s v="36-50"/>
    <n v="0"/>
    <s v="Medium"/>
    <s v="Suspended"/>
    <b v="0"/>
    <n v="42"/>
    <s v="Punjab"/>
    <n v="1"/>
    <n v="2"/>
    <n v="1884"/>
    <x v="0"/>
    <s v="Not an Outliers"/>
  </r>
  <r>
    <d v="2024-01-26T00:00:00"/>
    <x v="14"/>
    <x v="1"/>
    <x v="3"/>
    <n v="2643"/>
    <b v="0"/>
    <s v="Rainy"/>
    <x v="3"/>
    <s v="Slippery"/>
    <s v="50+"/>
    <n v="4"/>
    <s v="Low"/>
    <s v="Learner"/>
    <b v="1"/>
    <n v="46"/>
    <s v="Uttar Pradesh"/>
    <n v="2"/>
    <n v="3"/>
    <n v="4158"/>
    <x v="1"/>
    <s v="Not an Outliers"/>
  </r>
  <r>
    <d v="2024-01-26T00:00:00"/>
    <x v="14"/>
    <x v="4"/>
    <x v="4"/>
    <n v="7331"/>
    <b v="0"/>
    <s v="Stormy"/>
    <x v="0"/>
    <s v="Dry"/>
    <s v="50+"/>
    <n v="1"/>
    <s v="Medium"/>
    <s v="Expired"/>
    <b v="1"/>
    <n v="10"/>
    <s v="Punjab"/>
    <n v="6"/>
    <n v="1"/>
    <n v="2304"/>
    <x v="2"/>
    <s v="Not an Outliers"/>
  </r>
  <r>
    <d v="2024-01-26T00:00:00"/>
    <x v="2"/>
    <x v="0"/>
    <x v="0"/>
    <n v="1000"/>
    <b v="1"/>
    <s v="Rainy"/>
    <x v="2"/>
    <s v="Under Construction"/>
    <s v="18-25"/>
    <n v="2"/>
    <s v="High"/>
    <s v="Valid"/>
    <b v="0"/>
    <n v="81"/>
    <s v="Rajasthan"/>
    <n v="10"/>
    <n v="3"/>
    <n v="3443"/>
    <x v="0"/>
    <s v="Not an Outliers"/>
  </r>
  <r>
    <d v="2024-01-26T00:00:00"/>
    <x v="12"/>
    <x v="2"/>
    <x v="1"/>
    <n v="1000"/>
    <b v="0"/>
    <s v="Rainy"/>
    <x v="1"/>
    <s v="Dry"/>
    <s v="18-25"/>
    <n v="2"/>
    <s v="Medium"/>
    <s v="Expired"/>
    <b v="0"/>
    <n v="57"/>
    <s v="Rajasthan"/>
    <n v="8"/>
    <n v="3"/>
    <n v="2368"/>
    <x v="0"/>
    <s v="Not an Outliers"/>
  </r>
  <r>
    <d v="2024-01-26T00:00:00"/>
    <x v="3"/>
    <x v="0"/>
    <x v="4"/>
    <n v="8949"/>
    <b v="0"/>
    <s v="Stormy"/>
    <x v="3"/>
    <s v="Slippery"/>
    <s v="50+"/>
    <n v="3"/>
    <s v="High"/>
    <s v="Suspended"/>
    <b v="1"/>
    <n v="50"/>
    <s v="Haryana"/>
    <n v="8"/>
    <n v="1"/>
    <n v="3483"/>
    <x v="0"/>
    <s v="Not an Outliers"/>
  </r>
  <r>
    <d v="2024-01-27T00:00:00"/>
    <x v="9"/>
    <x v="2"/>
    <x v="1"/>
    <n v="1000"/>
    <b v="0"/>
    <s v="Clear"/>
    <x v="0"/>
    <s v="Wet"/>
    <s v="36-50"/>
    <n v="15"/>
    <s v="High"/>
    <s v="Expired"/>
    <b v="1"/>
    <n v="37"/>
    <s v="Haryana"/>
    <n v="1"/>
    <n v="3"/>
    <n v="2227"/>
    <x v="1"/>
    <s v="Not an Outliers"/>
  </r>
  <r>
    <d v="2024-01-27T00:00:00"/>
    <x v="5"/>
    <x v="3"/>
    <x v="2"/>
    <n v="3838"/>
    <b v="1"/>
    <s v="Cloudy"/>
    <x v="2"/>
    <s v="Slippery"/>
    <s v="18-25"/>
    <n v="2"/>
    <s v="Medium"/>
    <s v="Learner"/>
    <b v="0"/>
    <n v="6"/>
    <s v="Punjab"/>
    <n v="10"/>
    <n v="3"/>
    <n v="2978"/>
    <x v="0"/>
    <s v="Not an Outliers"/>
  </r>
  <r>
    <d v="2024-01-27T00:00:00"/>
    <x v="2"/>
    <x v="2"/>
    <x v="5"/>
    <n v="2974"/>
    <b v="0"/>
    <s v="Clear"/>
    <x v="0"/>
    <s v="Under Construction"/>
    <s v="18-25"/>
    <n v="5"/>
    <s v="High"/>
    <s v="Suspended"/>
    <b v="1"/>
    <n v="6"/>
    <s v="Haryana"/>
    <n v="7"/>
    <n v="3"/>
    <n v="3551"/>
    <x v="0"/>
    <s v="Not an Outliers"/>
  </r>
  <r>
    <d v="2024-01-28T00:00:00"/>
    <x v="9"/>
    <x v="4"/>
    <x v="5"/>
    <n v="5541"/>
    <b v="0"/>
    <s v="Foggy"/>
    <x v="0"/>
    <s v="Wet"/>
    <s v="18-25"/>
    <n v="4"/>
    <s v="Low"/>
    <s v="Expired"/>
    <b v="1"/>
    <n v="118"/>
    <s v="Delhi"/>
    <n v="3"/>
    <n v="1"/>
    <n v="894"/>
    <x v="0"/>
    <s v="Not an Outliers"/>
  </r>
  <r>
    <d v="2024-02-01T00:00:00"/>
    <x v="7"/>
    <x v="4"/>
    <x v="4"/>
    <n v="9515"/>
    <b v="1"/>
    <s v="Foggy"/>
    <x v="1"/>
    <s v="Dry"/>
    <s v="26-35"/>
    <n v="5"/>
    <s v="Low"/>
    <s v="Suspended"/>
    <b v="0"/>
    <n v="55"/>
    <s v="Punjab"/>
    <n v="4"/>
    <n v="2"/>
    <n v="3040"/>
    <x v="1"/>
    <s v="Not an Outliers"/>
  </r>
  <r>
    <d v="2024-02-01T00:00:00"/>
    <x v="8"/>
    <x v="2"/>
    <x v="4"/>
    <n v="7372"/>
    <b v="0"/>
    <s v="Foggy"/>
    <x v="3"/>
    <s v="Wet"/>
    <s v="18-25"/>
    <n v="4"/>
    <s v="Low"/>
    <s v="Suspended"/>
    <b v="0"/>
    <n v="73"/>
    <s v="Rajasthan"/>
    <n v="5"/>
    <n v="1"/>
    <n v="4767"/>
    <x v="1"/>
    <s v="Not an Outliers"/>
  </r>
  <r>
    <d v="2024-02-01T00:00:00"/>
    <x v="6"/>
    <x v="1"/>
    <x v="5"/>
    <n v="3723"/>
    <b v="1"/>
    <s v="Rainy"/>
    <x v="3"/>
    <s v="Slippery"/>
    <s v="50+"/>
    <n v="4"/>
    <s v="Medium"/>
    <s v="Learner"/>
    <b v="1"/>
    <n v="49"/>
    <s v="Rajasthan"/>
    <n v="1"/>
    <n v="1"/>
    <n v="1366"/>
    <x v="2"/>
    <s v="Not an Outliers"/>
  </r>
  <r>
    <d v="2024-02-02T00:00:00"/>
    <x v="10"/>
    <x v="0"/>
    <x v="0"/>
    <n v="1000"/>
    <b v="1"/>
    <s v="Foggy"/>
    <x v="3"/>
    <s v="Wet"/>
    <s v="36-50"/>
    <n v="1"/>
    <s v="High"/>
    <s v="Learner"/>
    <b v="1"/>
    <n v="97"/>
    <s v="Delhi"/>
    <n v="5"/>
    <n v="1"/>
    <n v="1589"/>
    <x v="1"/>
    <s v="Not an Outliers"/>
  </r>
  <r>
    <d v="2024-02-03T00:00:00"/>
    <x v="11"/>
    <x v="3"/>
    <x v="2"/>
    <n v="4346"/>
    <b v="0"/>
    <s v="Cloudy"/>
    <x v="2"/>
    <s v="Slippery"/>
    <s v="50+"/>
    <n v="1"/>
    <s v="Medium"/>
    <s v="Suspended"/>
    <b v="1"/>
    <n v="92"/>
    <s v="Haryana"/>
    <n v="5"/>
    <n v="2"/>
    <n v="3073"/>
    <x v="0"/>
    <s v="Not an Outliers"/>
  </r>
  <r>
    <d v="2024-02-04T00:00:00"/>
    <x v="2"/>
    <x v="3"/>
    <x v="1"/>
    <n v="1000"/>
    <b v="0"/>
    <s v="Clear"/>
    <x v="2"/>
    <s v="Slippery"/>
    <s v="50+"/>
    <n v="4"/>
    <s v="Low"/>
    <s v="Expired"/>
    <b v="0"/>
    <n v="8"/>
    <s v="Punjab"/>
    <n v="8"/>
    <n v="1"/>
    <n v="1096"/>
    <x v="0"/>
    <s v="Not an Outliers"/>
  </r>
  <r>
    <d v="2024-02-04T00:00:00"/>
    <x v="7"/>
    <x v="2"/>
    <x v="5"/>
    <n v="4991"/>
    <b v="1"/>
    <s v="Cloudy"/>
    <x v="1"/>
    <s v="Wet"/>
    <s v="26-35"/>
    <n v="3"/>
    <s v="Low"/>
    <s v="Expired"/>
    <b v="0"/>
    <n v="24"/>
    <s v="Rajasthan"/>
    <n v="2"/>
    <n v="1"/>
    <n v="901"/>
    <x v="0"/>
    <s v="Not an Outliers"/>
  </r>
  <r>
    <d v="2024-02-04T00:00:00"/>
    <x v="13"/>
    <x v="3"/>
    <x v="4"/>
    <n v="5668"/>
    <b v="0"/>
    <s v="Clear"/>
    <x v="2"/>
    <s v="Dry"/>
    <s v="26-35"/>
    <n v="0"/>
    <s v="High"/>
    <s v="Expired"/>
    <b v="0"/>
    <n v="27"/>
    <s v="Haryana"/>
    <n v="2"/>
    <n v="3"/>
    <n v="1479"/>
    <x v="1"/>
    <s v="Not an Outliers"/>
  </r>
  <r>
    <d v="2024-02-04T00:00:00"/>
    <x v="1"/>
    <x v="4"/>
    <x v="4"/>
    <n v="34890"/>
    <b v="0"/>
    <s v="Stormy"/>
    <x v="2"/>
    <s v="Under Construction"/>
    <s v="26-35"/>
    <n v="3"/>
    <s v="High"/>
    <s v="Suspended"/>
    <b v="1"/>
    <n v="44"/>
    <s v="Haryana"/>
    <n v="6"/>
    <n v="1"/>
    <n v="3239"/>
    <x v="2"/>
    <s v="Outliers"/>
  </r>
  <r>
    <d v="2024-02-05T00:00:00"/>
    <x v="11"/>
    <x v="4"/>
    <x v="1"/>
    <n v="1000"/>
    <b v="1"/>
    <s v="Rainy"/>
    <x v="2"/>
    <s v="Under Construction"/>
    <s v="50+"/>
    <n v="0"/>
    <s v="Medium"/>
    <s v="Suspended"/>
    <b v="1"/>
    <n v="53"/>
    <s v="Delhi"/>
    <n v="1"/>
    <n v="2"/>
    <n v="3207"/>
    <x v="2"/>
    <s v="Not an Outliers"/>
  </r>
  <r>
    <d v="2024-02-06T00:00:00"/>
    <x v="5"/>
    <x v="2"/>
    <x v="5"/>
    <n v="3632"/>
    <b v="1"/>
    <s v="Rainy"/>
    <x v="0"/>
    <s v="Under Construction"/>
    <s v="50+"/>
    <n v="0"/>
    <s v="Medium"/>
    <s v="Valid"/>
    <b v="0"/>
    <n v="119"/>
    <s v="Delhi"/>
    <n v="9"/>
    <n v="3"/>
    <n v="1105"/>
    <x v="0"/>
    <s v="Not an Outliers"/>
  </r>
  <r>
    <d v="2024-02-06T00:00:00"/>
    <x v="3"/>
    <x v="4"/>
    <x v="5"/>
    <n v="5601"/>
    <b v="1"/>
    <s v="Stormy"/>
    <x v="1"/>
    <s v="Wet"/>
    <s v="50+"/>
    <n v="2"/>
    <s v="Low"/>
    <s v="Expired"/>
    <b v="0"/>
    <n v="53"/>
    <s v="Haryana"/>
    <n v="1"/>
    <n v="1"/>
    <n v="1189"/>
    <x v="1"/>
    <s v="Not an Outliers"/>
  </r>
  <r>
    <d v="2024-02-06T00:00:00"/>
    <x v="3"/>
    <x v="3"/>
    <x v="2"/>
    <n v="4625"/>
    <b v="0"/>
    <s v="Clear"/>
    <x v="1"/>
    <s v="Dry"/>
    <s v="18-25"/>
    <n v="0"/>
    <s v="Medium"/>
    <s v="Suspended"/>
    <b v="0"/>
    <n v="2"/>
    <s v="Uttar Pradesh"/>
    <n v="7"/>
    <n v="2"/>
    <n v="4353"/>
    <x v="2"/>
    <s v="Not an Outliers"/>
  </r>
  <r>
    <d v="2024-02-07T00:00:00"/>
    <x v="3"/>
    <x v="1"/>
    <x v="1"/>
    <n v="1000"/>
    <b v="1"/>
    <s v="Rainy"/>
    <x v="0"/>
    <s v="Dry"/>
    <s v="18-25"/>
    <n v="1"/>
    <s v="Low"/>
    <s v="Suspended"/>
    <b v="1"/>
    <n v="41"/>
    <s v="Rajasthan"/>
    <n v="5"/>
    <n v="3"/>
    <n v="2227"/>
    <x v="2"/>
    <s v="Not an Outliers"/>
  </r>
  <r>
    <d v="2024-02-07T00:00:00"/>
    <x v="0"/>
    <x v="1"/>
    <x v="1"/>
    <n v="1000"/>
    <b v="1"/>
    <s v="Clear"/>
    <x v="0"/>
    <s v="Under Construction"/>
    <s v="50+"/>
    <n v="5"/>
    <s v="Medium"/>
    <s v="Learner"/>
    <b v="0"/>
    <n v="114"/>
    <s v="Rajasthan"/>
    <n v="10"/>
    <n v="1"/>
    <n v="2578"/>
    <x v="0"/>
    <s v="Not an Outliers"/>
  </r>
  <r>
    <d v="2024-02-08T00:00:00"/>
    <x v="4"/>
    <x v="1"/>
    <x v="5"/>
    <n v="5590"/>
    <b v="0"/>
    <s v="Cloudy"/>
    <x v="2"/>
    <s v="Wet"/>
    <s v="36-50"/>
    <n v="5"/>
    <s v="Low"/>
    <s v="Learner"/>
    <b v="0"/>
    <n v="38"/>
    <s v="Uttar Pradesh"/>
    <n v="4"/>
    <n v="2"/>
    <n v="3962"/>
    <x v="2"/>
    <s v="Not an Outliers"/>
  </r>
  <r>
    <d v="2024-02-09T00:00:00"/>
    <x v="4"/>
    <x v="2"/>
    <x v="3"/>
    <n v="1717"/>
    <b v="0"/>
    <s v="Foggy"/>
    <x v="2"/>
    <s v="Under Construction"/>
    <s v="26-35"/>
    <n v="4"/>
    <s v="Medium"/>
    <s v="Expired"/>
    <b v="1"/>
    <n v="62"/>
    <s v="Delhi"/>
    <n v="6"/>
    <n v="2"/>
    <n v="2162"/>
    <x v="1"/>
    <s v="Not an Outliers"/>
  </r>
  <r>
    <d v="2024-02-09T00:00:00"/>
    <x v="8"/>
    <x v="1"/>
    <x v="5"/>
    <n v="3606"/>
    <b v="0"/>
    <s v="Rainy"/>
    <x v="3"/>
    <s v="Slippery"/>
    <s v="50+"/>
    <n v="2"/>
    <s v="Medium"/>
    <s v="Learner"/>
    <b v="1"/>
    <n v="68"/>
    <s v="Uttar Pradesh"/>
    <n v="10"/>
    <n v="2"/>
    <n v="2427"/>
    <x v="1"/>
    <s v="Not an Outliers"/>
  </r>
  <r>
    <d v="2024-02-09T00:00:00"/>
    <x v="8"/>
    <x v="1"/>
    <x v="4"/>
    <n v="5852"/>
    <b v="0"/>
    <s v="Clear"/>
    <x v="1"/>
    <s v="Under Construction"/>
    <s v="36-50"/>
    <n v="3"/>
    <s v="Medium"/>
    <s v="Suspended"/>
    <b v="0"/>
    <n v="21"/>
    <s v="Haryana"/>
    <n v="3"/>
    <n v="2"/>
    <n v="4939"/>
    <x v="0"/>
    <s v="Not an Outliers"/>
  </r>
  <r>
    <d v="2024-02-09T00:00:00"/>
    <x v="3"/>
    <x v="2"/>
    <x v="2"/>
    <n v="2582"/>
    <b v="0"/>
    <s v="Rainy"/>
    <x v="1"/>
    <s v="Slippery"/>
    <s v="26-35"/>
    <n v="3"/>
    <s v="High"/>
    <s v="Suspended"/>
    <b v="1"/>
    <n v="78"/>
    <s v="Delhi"/>
    <n v="5"/>
    <n v="1"/>
    <n v="3074"/>
    <x v="0"/>
    <s v="Not an Outliers"/>
  </r>
  <r>
    <d v="2024-02-09T00:00:00"/>
    <x v="7"/>
    <x v="4"/>
    <x v="2"/>
    <n v="4540"/>
    <b v="1"/>
    <s v="Clear"/>
    <x v="1"/>
    <s v="Slippery"/>
    <s v="26-35"/>
    <n v="5"/>
    <s v="High"/>
    <s v="Learner"/>
    <b v="0"/>
    <n v="53"/>
    <s v="Punjab"/>
    <n v="1"/>
    <n v="3"/>
    <n v="1896"/>
    <x v="1"/>
    <s v="Not an Outliers"/>
  </r>
  <r>
    <d v="2024-02-09T00:00:00"/>
    <x v="7"/>
    <x v="1"/>
    <x v="2"/>
    <n v="3640"/>
    <b v="1"/>
    <s v="Cloudy"/>
    <x v="1"/>
    <s v="Slippery"/>
    <s v="26-35"/>
    <n v="0"/>
    <s v="Medium"/>
    <s v="Expired"/>
    <b v="0"/>
    <n v="70"/>
    <s v="Haryana"/>
    <n v="8"/>
    <n v="1"/>
    <n v="3006"/>
    <x v="2"/>
    <s v="Not an Outliers"/>
  </r>
  <r>
    <d v="2024-02-09T00:00:00"/>
    <x v="3"/>
    <x v="3"/>
    <x v="5"/>
    <n v="3811"/>
    <b v="0"/>
    <s v="Clear"/>
    <x v="3"/>
    <s v="Dry"/>
    <s v="26-35"/>
    <n v="5"/>
    <s v="Medium"/>
    <s v="Learner"/>
    <b v="0"/>
    <n v="79"/>
    <s v="Rajasthan"/>
    <n v="6"/>
    <n v="3"/>
    <n v="3376"/>
    <x v="1"/>
    <s v="Not an Outliers"/>
  </r>
  <r>
    <d v="2024-02-09T00:00:00"/>
    <x v="3"/>
    <x v="2"/>
    <x v="3"/>
    <n v="3230"/>
    <b v="1"/>
    <s v="Rainy"/>
    <x v="2"/>
    <s v="Dry"/>
    <s v="26-35"/>
    <n v="2"/>
    <s v="High"/>
    <s v="Expired"/>
    <b v="0"/>
    <n v="48"/>
    <s v="Delhi"/>
    <n v="8"/>
    <n v="1"/>
    <n v="2982"/>
    <x v="0"/>
    <s v="Not an Outliers"/>
  </r>
  <r>
    <d v="2024-02-10T00:00:00"/>
    <x v="0"/>
    <x v="3"/>
    <x v="2"/>
    <n v="3823"/>
    <b v="1"/>
    <s v="Rainy"/>
    <x v="3"/>
    <s v="Slippery"/>
    <s v="26-35"/>
    <n v="5"/>
    <s v="Low"/>
    <s v="Expired"/>
    <b v="0"/>
    <n v="26"/>
    <s v="Punjab"/>
    <n v="4"/>
    <n v="2"/>
    <n v="3625"/>
    <x v="1"/>
    <s v="Not an Outliers"/>
  </r>
  <r>
    <d v="2024-02-10T00:00:00"/>
    <x v="14"/>
    <x v="1"/>
    <x v="1"/>
    <n v="1000"/>
    <b v="1"/>
    <s v="Foggy"/>
    <x v="3"/>
    <s v="Dry"/>
    <s v="18-25"/>
    <n v="0"/>
    <s v="Medium"/>
    <s v="Suspended"/>
    <b v="0"/>
    <n v="91"/>
    <s v="Delhi"/>
    <n v="8"/>
    <n v="2"/>
    <n v="3637"/>
    <x v="0"/>
    <s v="Not an Outliers"/>
  </r>
  <r>
    <d v="2024-02-10T00:00:00"/>
    <x v="11"/>
    <x v="1"/>
    <x v="4"/>
    <n v="9736"/>
    <b v="1"/>
    <s v="Cloudy"/>
    <x v="2"/>
    <s v="Wet"/>
    <s v="26-35"/>
    <n v="1"/>
    <s v="Medium"/>
    <s v="Suspended"/>
    <b v="0"/>
    <n v="41"/>
    <s v="Rajasthan"/>
    <n v="7"/>
    <n v="3"/>
    <n v="2966"/>
    <x v="0"/>
    <s v="Not an Outliers"/>
  </r>
  <r>
    <d v="2024-02-10T00:00:00"/>
    <x v="7"/>
    <x v="1"/>
    <x v="3"/>
    <n v="4029"/>
    <b v="0"/>
    <s v="Cloudy"/>
    <x v="1"/>
    <s v="Wet"/>
    <s v="50+"/>
    <n v="2"/>
    <s v="High"/>
    <s v="Learner"/>
    <b v="0"/>
    <n v="65"/>
    <s v="Delhi"/>
    <n v="1"/>
    <n v="1"/>
    <n v="2160"/>
    <x v="0"/>
    <s v="Not an Outliers"/>
  </r>
  <r>
    <d v="2024-02-10T00:00:00"/>
    <x v="6"/>
    <x v="4"/>
    <x v="3"/>
    <n v="4124"/>
    <b v="0"/>
    <s v="Clear"/>
    <x v="2"/>
    <s v="Under Construction"/>
    <s v="50+"/>
    <n v="4"/>
    <s v="Medium"/>
    <s v="Suspended"/>
    <b v="0"/>
    <n v="79"/>
    <s v="Uttar Pradesh"/>
    <n v="2"/>
    <n v="3"/>
    <n v="4184"/>
    <x v="0"/>
    <s v="Not an Outliers"/>
  </r>
  <r>
    <d v="2024-02-10T00:00:00"/>
    <x v="5"/>
    <x v="0"/>
    <x v="4"/>
    <n v="9925"/>
    <b v="0"/>
    <s v="Clear"/>
    <x v="2"/>
    <s v="Wet"/>
    <s v="50+"/>
    <n v="1"/>
    <s v="Medium"/>
    <s v="Suspended"/>
    <b v="1"/>
    <n v="98"/>
    <s v="Punjab"/>
    <n v="2"/>
    <n v="3"/>
    <n v="2263"/>
    <x v="0"/>
    <s v="Not an Outliers"/>
  </r>
  <r>
    <d v="2024-02-10T00:00:00"/>
    <x v="2"/>
    <x v="2"/>
    <x v="5"/>
    <n v="6057"/>
    <b v="0"/>
    <s v="Rainy"/>
    <x v="2"/>
    <s v="Slippery"/>
    <s v="36-50"/>
    <n v="12"/>
    <s v="Medium"/>
    <s v="Suspended"/>
    <b v="0"/>
    <n v="1"/>
    <s v="Uttar Pradesh"/>
    <n v="7"/>
    <n v="2"/>
    <n v="1203"/>
    <x v="2"/>
    <s v="Not an Outliers"/>
  </r>
  <r>
    <d v="2024-02-10T00:00:00"/>
    <x v="3"/>
    <x v="3"/>
    <x v="2"/>
    <n v="3892"/>
    <b v="0"/>
    <s v="Foggy"/>
    <x v="2"/>
    <s v="Under Construction"/>
    <s v="36-50"/>
    <n v="4"/>
    <s v="Medium"/>
    <s v="Learner"/>
    <b v="1"/>
    <n v="80"/>
    <s v="Punjab"/>
    <n v="9"/>
    <n v="3"/>
    <n v="1527"/>
    <x v="1"/>
    <s v="Not an Outliers"/>
  </r>
  <r>
    <d v="2024-02-11T00:00:00"/>
    <x v="8"/>
    <x v="2"/>
    <x v="1"/>
    <n v="1000"/>
    <b v="1"/>
    <s v="Stormy"/>
    <x v="2"/>
    <s v="Wet"/>
    <s v="50+"/>
    <n v="8"/>
    <s v="Low"/>
    <s v="Suspended"/>
    <b v="0"/>
    <n v="107"/>
    <s v="Delhi"/>
    <n v="5"/>
    <n v="2"/>
    <n v="3976"/>
    <x v="0"/>
    <s v="Not an Outliers"/>
  </r>
  <r>
    <d v="2024-02-11T00:00:00"/>
    <x v="7"/>
    <x v="1"/>
    <x v="3"/>
    <n v="3168"/>
    <b v="0"/>
    <s v="Foggy"/>
    <x v="1"/>
    <s v="Slippery"/>
    <s v="50+"/>
    <n v="1"/>
    <s v="High"/>
    <s v="Learner"/>
    <b v="1"/>
    <n v="82"/>
    <s v="Punjab"/>
    <n v="4"/>
    <n v="1"/>
    <n v="4641"/>
    <x v="2"/>
    <s v="Not an Outliers"/>
  </r>
  <r>
    <d v="2024-02-12T00:00:00"/>
    <x v="4"/>
    <x v="4"/>
    <x v="2"/>
    <n v="2760"/>
    <b v="0"/>
    <s v="Stormy"/>
    <x v="0"/>
    <s v="Dry"/>
    <s v="18-25"/>
    <n v="2"/>
    <s v="High"/>
    <s v="Expired"/>
    <b v="1"/>
    <n v="105"/>
    <s v="Punjab"/>
    <n v="7"/>
    <n v="2"/>
    <n v="1261"/>
    <x v="2"/>
    <s v="Not an Outliers"/>
  </r>
  <r>
    <d v="2024-02-12T00:00:00"/>
    <x v="6"/>
    <x v="4"/>
    <x v="3"/>
    <n v="3432"/>
    <b v="0"/>
    <s v="Rainy"/>
    <x v="1"/>
    <s v="Wet"/>
    <s v="18-25"/>
    <n v="2"/>
    <s v="High"/>
    <s v="Expired"/>
    <b v="0"/>
    <n v="78"/>
    <s v="Haryana"/>
    <n v="8"/>
    <n v="2"/>
    <n v="1523"/>
    <x v="1"/>
    <s v="Not an Outliers"/>
  </r>
  <r>
    <d v="2024-02-14T00:00:00"/>
    <x v="11"/>
    <x v="2"/>
    <x v="2"/>
    <n v="1423"/>
    <b v="0"/>
    <s v="Stormy"/>
    <x v="2"/>
    <s v="Slippery"/>
    <s v="36-50"/>
    <n v="3"/>
    <s v="High"/>
    <s v="Suspended"/>
    <b v="1"/>
    <n v="112"/>
    <s v="Punjab"/>
    <n v="3"/>
    <n v="2"/>
    <n v="1501"/>
    <x v="2"/>
    <s v="Not an Outliers"/>
  </r>
  <r>
    <d v="2024-02-14T00:00:00"/>
    <x v="3"/>
    <x v="3"/>
    <x v="5"/>
    <n v="6873"/>
    <b v="1"/>
    <s v="Foggy"/>
    <x v="2"/>
    <s v="Slippery"/>
    <s v="26-35"/>
    <n v="0"/>
    <s v="High"/>
    <s v="Expired"/>
    <b v="0"/>
    <n v="65"/>
    <s v="Delhi"/>
    <n v="4"/>
    <n v="1"/>
    <n v="1081"/>
    <x v="1"/>
    <s v="Not an Outliers"/>
  </r>
  <r>
    <d v="2024-02-15T00:00:00"/>
    <x v="0"/>
    <x v="3"/>
    <x v="3"/>
    <n v="2994"/>
    <b v="0"/>
    <s v="Foggy"/>
    <x v="1"/>
    <s v="Dry"/>
    <s v="50+"/>
    <n v="2"/>
    <s v="High"/>
    <s v="Valid"/>
    <b v="1"/>
    <n v="19"/>
    <s v="Delhi"/>
    <n v="6"/>
    <n v="2"/>
    <n v="4427"/>
    <x v="0"/>
    <s v="Not an Outliers"/>
  </r>
  <r>
    <d v="2024-02-15T00:00:00"/>
    <x v="6"/>
    <x v="0"/>
    <x v="4"/>
    <n v="6702"/>
    <b v="0"/>
    <s v="Stormy"/>
    <x v="1"/>
    <s v="Wet"/>
    <s v="18-25"/>
    <n v="1"/>
    <s v="Low"/>
    <s v="Suspended"/>
    <b v="1"/>
    <n v="83"/>
    <s v="Haryana"/>
    <n v="9"/>
    <n v="2"/>
    <n v="1571"/>
    <x v="1"/>
    <s v="Not an Outliers"/>
  </r>
  <r>
    <d v="2024-02-15T00:00:00"/>
    <x v="12"/>
    <x v="2"/>
    <x v="1"/>
    <n v="1000"/>
    <b v="1"/>
    <s v="Rainy"/>
    <x v="3"/>
    <s v="Under Construction"/>
    <s v="26-35"/>
    <n v="5"/>
    <s v="Low"/>
    <s v="Suspended"/>
    <b v="1"/>
    <n v="116"/>
    <s v="Delhi"/>
    <n v="3"/>
    <n v="1"/>
    <n v="3130"/>
    <x v="0"/>
    <s v="Not an Outliers"/>
  </r>
  <r>
    <d v="2024-02-15T00:00:00"/>
    <x v="9"/>
    <x v="2"/>
    <x v="2"/>
    <n v="4656"/>
    <b v="0"/>
    <s v="Clear"/>
    <x v="0"/>
    <s v="Dry"/>
    <s v="36-50"/>
    <n v="1"/>
    <s v="Medium"/>
    <s v="Suspended"/>
    <b v="1"/>
    <n v="52"/>
    <s v="Delhi"/>
    <n v="10"/>
    <n v="2"/>
    <n v="2793"/>
    <x v="2"/>
    <s v="Not an Outliers"/>
  </r>
  <r>
    <d v="2024-02-16T00:00:00"/>
    <x v="12"/>
    <x v="0"/>
    <x v="2"/>
    <n v="3468"/>
    <b v="0"/>
    <s v="Clear"/>
    <x v="2"/>
    <s v="Wet"/>
    <s v="36-50"/>
    <n v="0"/>
    <s v="Low"/>
    <s v="Learner"/>
    <b v="1"/>
    <n v="18"/>
    <s v="Punjab"/>
    <n v="6"/>
    <n v="3"/>
    <n v="1044"/>
    <x v="1"/>
    <s v="Not an Outliers"/>
  </r>
  <r>
    <d v="2024-02-16T00:00:00"/>
    <x v="13"/>
    <x v="3"/>
    <x v="5"/>
    <n v="5304"/>
    <b v="0"/>
    <s v="Stormy"/>
    <x v="2"/>
    <s v="Under Construction"/>
    <s v="36-50"/>
    <n v="2"/>
    <s v="Medium"/>
    <s v="Learner"/>
    <b v="1"/>
    <n v="20"/>
    <s v="Uttar Pradesh"/>
    <n v="3"/>
    <n v="1"/>
    <n v="976"/>
    <x v="2"/>
    <s v="Not an Outliers"/>
  </r>
  <r>
    <d v="2024-02-17T00:00:00"/>
    <x v="11"/>
    <x v="0"/>
    <x v="5"/>
    <n v="5589"/>
    <b v="1"/>
    <s v="Foggy"/>
    <x v="2"/>
    <s v="Under Construction"/>
    <s v="26-35"/>
    <n v="1"/>
    <s v="High"/>
    <s v="Learner"/>
    <b v="1"/>
    <n v="59"/>
    <s v="Rajasthan"/>
    <n v="8"/>
    <n v="2"/>
    <n v="2815"/>
    <x v="2"/>
    <s v="Not an Outliers"/>
  </r>
  <r>
    <d v="2024-02-17T00:00:00"/>
    <x v="7"/>
    <x v="4"/>
    <x v="3"/>
    <n v="2233"/>
    <b v="0"/>
    <s v="Foggy"/>
    <x v="3"/>
    <s v="Wet"/>
    <s v="26-35"/>
    <n v="1"/>
    <s v="Medium"/>
    <s v="Expired"/>
    <b v="1"/>
    <n v="8"/>
    <s v="Haryana"/>
    <n v="4"/>
    <n v="1"/>
    <n v="3022"/>
    <x v="2"/>
    <s v="Not an Outliers"/>
  </r>
  <r>
    <d v="2024-02-17T00:00:00"/>
    <x v="0"/>
    <x v="0"/>
    <x v="2"/>
    <n v="1935"/>
    <b v="1"/>
    <s v="Rainy"/>
    <x v="1"/>
    <s v="Wet"/>
    <s v="50+"/>
    <n v="1"/>
    <s v="High"/>
    <s v="Expired"/>
    <b v="1"/>
    <n v="84"/>
    <s v="Punjab"/>
    <n v="1"/>
    <n v="1"/>
    <n v="2642"/>
    <x v="2"/>
    <s v="Not an Outliers"/>
  </r>
  <r>
    <d v="2024-02-18T00:00:00"/>
    <x v="10"/>
    <x v="4"/>
    <x v="3"/>
    <n v="1826"/>
    <b v="0"/>
    <s v="Foggy"/>
    <x v="0"/>
    <s v="Wet"/>
    <s v="50+"/>
    <n v="2"/>
    <s v="High"/>
    <s v="Valid"/>
    <b v="0"/>
    <n v="0"/>
    <s v="Punjab"/>
    <n v="10"/>
    <n v="1"/>
    <n v="4366"/>
    <x v="1"/>
    <s v="Not an Outliers"/>
  </r>
  <r>
    <d v="2024-02-18T00:00:00"/>
    <x v="5"/>
    <x v="3"/>
    <x v="1"/>
    <n v="1000"/>
    <b v="0"/>
    <s v="Foggy"/>
    <x v="1"/>
    <s v="Slippery"/>
    <s v="36-50"/>
    <n v="3"/>
    <s v="Low"/>
    <s v="Suspended"/>
    <b v="0"/>
    <n v="32"/>
    <s v="Delhi"/>
    <n v="10"/>
    <n v="3"/>
    <n v="3121"/>
    <x v="2"/>
    <s v="Not an Outliers"/>
  </r>
  <r>
    <d v="2024-02-18T00:00:00"/>
    <x v="11"/>
    <x v="1"/>
    <x v="3"/>
    <n v="4062"/>
    <b v="0"/>
    <s v="Rainy"/>
    <x v="1"/>
    <s v="Wet"/>
    <s v="26-35"/>
    <n v="0"/>
    <s v="Medium"/>
    <s v="Valid"/>
    <b v="1"/>
    <n v="4"/>
    <s v="Haryana"/>
    <n v="9"/>
    <n v="3"/>
    <n v="1085"/>
    <x v="0"/>
    <s v="Not an Outliers"/>
  </r>
  <r>
    <d v="2024-02-19T00:00:00"/>
    <x v="4"/>
    <x v="1"/>
    <x v="1"/>
    <n v="1000"/>
    <b v="0"/>
    <s v="Foggy"/>
    <x v="3"/>
    <s v="Dry"/>
    <s v="50+"/>
    <n v="1"/>
    <s v="High"/>
    <s v="Valid"/>
    <b v="0"/>
    <n v="58"/>
    <s v="Delhi"/>
    <n v="9"/>
    <n v="1"/>
    <n v="4305"/>
    <x v="1"/>
    <s v="Not an Outliers"/>
  </r>
  <r>
    <d v="2024-02-19T00:00:00"/>
    <x v="1"/>
    <x v="2"/>
    <x v="5"/>
    <n v="7318"/>
    <b v="0"/>
    <s v="Rainy"/>
    <x v="2"/>
    <s v="Wet"/>
    <s v="50+"/>
    <n v="2"/>
    <s v="Low"/>
    <s v="Learner"/>
    <b v="1"/>
    <n v="79"/>
    <s v="Punjab"/>
    <n v="4"/>
    <n v="2"/>
    <n v="4544"/>
    <x v="2"/>
    <s v="Not an Outliers"/>
  </r>
  <r>
    <d v="2024-02-19T00:00:00"/>
    <x v="6"/>
    <x v="1"/>
    <x v="3"/>
    <n v="4326"/>
    <b v="1"/>
    <s v="Cloudy"/>
    <x v="3"/>
    <s v="Wet"/>
    <s v="50+"/>
    <n v="3"/>
    <s v="Medium"/>
    <s v="Valid"/>
    <b v="0"/>
    <n v="33"/>
    <s v="Rajasthan"/>
    <n v="7"/>
    <n v="2"/>
    <n v="3347"/>
    <x v="2"/>
    <s v="Not an Outliers"/>
  </r>
  <r>
    <d v="2024-02-20T00:00:00"/>
    <x v="7"/>
    <x v="0"/>
    <x v="0"/>
    <n v="1000"/>
    <b v="1"/>
    <s v="Rainy"/>
    <x v="3"/>
    <s v="Under Construction"/>
    <s v="26-35"/>
    <n v="3"/>
    <s v="Low"/>
    <s v="Learner"/>
    <b v="0"/>
    <n v="96"/>
    <s v="Delhi"/>
    <n v="8"/>
    <n v="1"/>
    <n v="4935"/>
    <x v="0"/>
    <s v="Not an Outliers"/>
  </r>
  <r>
    <d v="2024-02-20T00:00:00"/>
    <x v="5"/>
    <x v="4"/>
    <x v="5"/>
    <n v="4662"/>
    <b v="0"/>
    <s v="Stormy"/>
    <x v="2"/>
    <s v="Under Construction"/>
    <s v="26-35"/>
    <n v="5"/>
    <s v="High"/>
    <s v="Expired"/>
    <b v="1"/>
    <n v="110"/>
    <s v="Rajasthan"/>
    <n v="8"/>
    <n v="3"/>
    <n v="1893"/>
    <x v="0"/>
    <s v="Not an Outliers"/>
  </r>
  <r>
    <d v="2024-02-21T00:00:00"/>
    <x v="0"/>
    <x v="1"/>
    <x v="1"/>
    <n v="1000"/>
    <b v="0"/>
    <s v="Rainy"/>
    <x v="0"/>
    <s v="Wet"/>
    <s v="36-50"/>
    <n v="3"/>
    <s v="Low"/>
    <s v="Expired"/>
    <b v="1"/>
    <n v="22"/>
    <s v="Delhi"/>
    <n v="3"/>
    <n v="2"/>
    <n v="1719"/>
    <x v="2"/>
    <s v="Not an Outliers"/>
  </r>
  <r>
    <d v="2024-02-21T00:00:00"/>
    <x v="12"/>
    <x v="3"/>
    <x v="2"/>
    <n v="2838"/>
    <b v="0"/>
    <s v="Foggy"/>
    <x v="1"/>
    <s v="Under Construction"/>
    <s v="26-35"/>
    <n v="1"/>
    <s v="Medium"/>
    <s v="Expired"/>
    <b v="0"/>
    <n v="67"/>
    <s v="Rajasthan"/>
    <n v="5"/>
    <n v="2"/>
    <n v="4044"/>
    <x v="2"/>
    <s v="Not an Outliers"/>
  </r>
  <r>
    <d v="2024-02-21T00:00:00"/>
    <x v="7"/>
    <x v="0"/>
    <x v="3"/>
    <n v="3642"/>
    <b v="0"/>
    <s v="Foggy"/>
    <x v="2"/>
    <s v="Under Construction"/>
    <s v="50+"/>
    <n v="4"/>
    <s v="High"/>
    <s v="Expired"/>
    <b v="1"/>
    <n v="111"/>
    <s v="Haryana"/>
    <n v="8"/>
    <n v="1"/>
    <n v="503"/>
    <x v="1"/>
    <s v="Not an Outliers"/>
  </r>
  <r>
    <d v="2024-02-21T00:00:00"/>
    <x v="5"/>
    <x v="4"/>
    <x v="2"/>
    <n v="4393"/>
    <b v="0"/>
    <s v="Stormy"/>
    <x v="2"/>
    <s v="Dry"/>
    <s v="26-35"/>
    <n v="0"/>
    <s v="Low"/>
    <s v="Learner"/>
    <b v="1"/>
    <n v="5"/>
    <s v="Delhi"/>
    <n v="5"/>
    <n v="2"/>
    <n v="1732"/>
    <x v="1"/>
    <s v="Not an Outliers"/>
  </r>
  <r>
    <d v="2024-02-21T00:00:00"/>
    <x v="6"/>
    <x v="0"/>
    <x v="3"/>
    <n v="3157"/>
    <b v="1"/>
    <s v="Cloudy"/>
    <x v="1"/>
    <s v="Slippery"/>
    <s v="26-35"/>
    <n v="2"/>
    <s v="Medium"/>
    <s v="Learner"/>
    <b v="0"/>
    <n v="101"/>
    <s v="Punjab"/>
    <n v="1"/>
    <n v="3"/>
    <n v="2434"/>
    <x v="2"/>
    <s v="Not an Outliers"/>
  </r>
  <r>
    <d v="2024-02-22T00:00:00"/>
    <x v="6"/>
    <x v="4"/>
    <x v="4"/>
    <n v="6697"/>
    <b v="0"/>
    <s v="Foggy"/>
    <x v="3"/>
    <s v="Dry"/>
    <s v="26-35"/>
    <n v="0"/>
    <s v="Medium"/>
    <s v="Suspended"/>
    <b v="0"/>
    <n v="34"/>
    <s v="Haryana"/>
    <n v="7"/>
    <n v="1"/>
    <n v="1813"/>
    <x v="2"/>
    <s v="Not an Outliers"/>
  </r>
  <r>
    <d v="2024-02-22T00:00:00"/>
    <x v="2"/>
    <x v="2"/>
    <x v="5"/>
    <n v="7566"/>
    <b v="0"/>
    <s v="Rainy"/>
    <x v="3"/>
    <s v="Under Construction"/>
    <s v="36-50"/>
    <n v="2"/>
    <s v="Low"/>
    <s v="Valid"/>
    <b v="0"/>
    <n v="53"/>
    <s v="Uttar Pradesh"/>
    <n v="6"/>
    <n v="1"/>
    <n v="4310"/>
    <x v="0"/>
    <s v="Not an Outliers"/>
  </r>
  <r>
    <d v="2024-02-22T00:00:00"/>
    <x v="12"/>
    <x v="0"/>
    <x v="5"/>
    <n v="2724"/>
    <b v="0"/>
    <s v="Cloudy"/>
    <x v="2"/>
    <s v="Wet"/>
    <s v="26-35"/>
    <n v="3"/>
    <s v="Low"/>
    <s v="Expired"/>
    <b v="1"/>
    <n v="90"/>
    <s v="Punjab"/>
    <n v="9"/>
    <n v="3"/>
    <n v="3333"/>
    <x v="1"/>
    <s v="Not an Outliers"/>
  </r>
  <r>
    <d v="2024-02-22T00:00:00"/>
    <x v="1"/>
    <x v="0"/>
    <x v="2"/>
    <n v="4752"/>
    <b v="1"/>
    <s v="Clear"/>
    <x v="3"/>
    <s v="Wet"/>
    <s v="26-35"/>
    <n v="2"/>
    <s v="Low"/>
    <s v="Suspended"/>
    <b v="1"/>
    <n v="29"/>
    <s v="Haryana"/>
    <n v="7"/>
    <n v="3"/>
    <n v="3093"/>
    <x v="1"/>
    <s v="Not an Outliers"/>
  </r>
  <r>
    <d v="2024-02-22T00:00:00"/>
    <x v="11"/>
    <x v="3"/>
    <x v="4"/>
    <n v="7754"/>
    <b v="0"/>
    <s v="Stormy"/>
    <x v="3"/>
    <s v="Wet"/>
    <s v="36-50"/>
    <n v="1"/>
    <s v="Medium"/>
    <s v="Learner"/>
    <b v="0"/>
    <n v="112"/>
    <s v="Uttar Pradesh"/>
    <n v="9"/>
    <n v="2"/>
    <n v="1753"/>
    <x v="2"/>
    <s v="Not an Outliers"/>
  </r>
  <r>
    <d v="2024-02-23T00:00:00"/>
    <x v="1"/>
    <x v="2"/>
    <x v="1"/>
    <n v="1000"/>
    <b v="0"/>
    <s v="Foggy"/>
    <x v="2"/>
    <s v="Under Construction"/>
    <s v="50+"/>
    <n v="4"/>
    <s v="High"/>
    <s v="Learner"/>
    <b v="1"/>
    <n v="110"/>
    <s v="Punjab"/>
    <n v="9"/>
    <n v="2"/>
    <n v="2153"/>
    <x v="2"/>
    <s v="Not an Outliers"/>
  </r>
  <r>
    <d v="2024-02-23T00:00:00"/>
    <x v="2"/>
    <x v="4"/>
    <x v="2"/>
    <n v="2991"/>
    <b v="1"/>
    <s v="Cloudy"/>
    <x v="3"/>
    <s v="Under Construction"/>
    <s v="36-50"/>
    <n v="3"/>
    <s v="Medium"/>
    <s v="Learner"/>
    <b v="1"/>
    <n v="61"/>
    <s v="Uttar Pradesh"/>
    <n v="9"/>
    <n v="1"/>
    <n v="1621"/>
    <x v="1"/>
    <s v="Not an Outliers"/>
  </r>
  <r>
    <d v="2024-02-23T00:00:00"/>
    <x v="4"/>
    <x v="4"/>
    <x v="3"/>
    <n v="4880"/>
    <b v="0"/>
    <s v="Rainy"/>
    <x v="1"/>
    <s v="Wet"/>
    <s v="18-25"/>
    <n v="3"/>
    <s v="High"/>
    <s v="Valid"/>
    <b v="1"/>
    <n v="61"/>
    <s v="Delhi"/>
    <n v="7"/>
    <n v="2"/>
    <n v="2298"/>
    <x v="0"/>
    <s v="Not an Outliers"/>
  </r>
  <r>
    <d v="2024-02-23T00:00:00"/>
    <x v="4"/>
    <x v="2"/>
    <x v="1"/>
    <n v="1000"/>
    <b v="1"/>
    <s v="Cloudy"/>
    <x v="3"/>
    <s v="Slippery"/>
    <s v="26-35"/>
    <n v="3"/>
    <s v="Medium"/>
    <s v="Expired"/>
    <b v="1"/>
    <n v="29"/>
    <s v="Haryana"/>
    <n v="7"/>
    <n v="3"/>
    <n v="1938"/>
    <x v="0"/>
    <s v="Not an Outliers"/>
  </r>
  <r>
    <d v="2024-02-24T00:00:00"/>
    <x v="2"/>
    <x v="0"/>
    <x v="5"/>
    <n v="7194"/>
    <b v="1"/>
    <s v="Rainy"/>
    <x v="3"/>
    <s v="Slippery"/>
    <s v="36-50"/>
    <n v="0"/>
    <s v="Low"/>
    <s v="Expired"/>
    <b v="0"/>
    <n v="111"/>
    <s v="Punjab"/>
    <n v="7"/>
    <n v="1"/>
    <n v="3255"/>
    <x v="1"/>
    <s v="Not an Outliers"/>
  </r>
  <r>
    <d v="2024-02-24T00:00:00"/>
    <x v="12"/>
    <x v="0"/>
    <x v="5"/>
    <n v="2107"/>
    <b v="0"/>
    <s v="Clear"/>
    <x v="0"/>
    <s v="Slippery"/>
    <s v="18-25"/>
    <n v="3"/>
    <s v="High"/>
    <s v="Valid"/>
    <b v="0"/>
    <n v="96"/>
    <s v="Delhi"/>
    <n v="10"/>
    <n v="1"/>
    <n v="3712"/>
    <x v="0"/>
    <s v="Not an Outliers"/>
  </r>
  <r>
    <d v="2024-02-25T00:00:00"/>
    <x v="8"/>
    <x v="4"/>
    <x v="1"/>
    <n v="1000"/>
    <b v="0"/>
    <s v="Rainy"/>
    <x v="0"/>
    <s v="Dry"/>
    <s v="26-35"/>
    <n v="2"/>
    <s v="High"/>
    <s v="Suspended"/>
    <b v="0"/>
    <n v="18"/>
    <s v="Uttar Pradesh"/>
    <n v="6"/>
    <n v="3"/>
    <n v="4787"/>
    <x v="2"/>
    <s v="Not an Outliers"/>
  </r>
  <r>
    <d v="2024-02-25T00:00:00"/>
    <x v="12"/>
    <x v="3"/>
    <x v="3"/>
    <n v="1991"/>
    <b v="0"/>
    <s v="Cloudy"/>
    <x v="1"/>
    <s v="Slippery"/>
    <s v="26-35"/>
    <n v="0"/>
    <s v="High"/>
    <s v="Learner"/>
    <b v="0"/>
    <n v="87"/>
    <s v="Delhi"/>
    <n v="9"/>
    <n v="3"/>
    <n v="629"/>
    <x v="1"/>
    <s v="Not an Outliers"/>
  </r>
  <r>
    <d v="2024-02-26T00:00:00"/>
    <x v="2"/>
    <x v="0"/>
    <x v="0"/>
    <n v="1000"/>
    <b v="0"/>
    <s v="Rainy"/>
    <x v="0"/>
    <s v="Under Construction"/>
    <s v="26-35"/>
    <n v="2"/>
    <s v="Medium"/>
    <s v="Learner"/>
    <b v="0"/>
    <n v="95"/>
    <s v="Haryana"/>
    <n v="4"/>
    <n v="1"/>
    <n v="1997"/>
    <x v="1"/>
    <s v="Not an Outliers"/>
  </r>
  <r>
    <d v="2024-02-26T00:00:00"/>
    <x v="4"/>
    <x v="1"/>
    <x v="1"/>
    <n v="1000"/>
    <b v="1"/>
    <s v="Stormy"/>
    <x v="3"/>
    <s v="Dry"/>
    <s v="36-50"/>
    <n v="2"/>
    <s v="High"/>
    <s v="Suspended"/>
    <b v="1"/>
    <n v="106"/>
    <s v="Punjab"/>
    <n v="2"/>
    <n v="1"/>
    <n v="2223"/>
    <x v="1"/>
    <s v="Not an Outliers"/>
  </r>
  <r>
    <d v="2024-02-26T00:00:00"/>
    <x v="12"/>
    <x v="4"/>
    <x v="3"/>
    <n v="3924"/>
    <b v="1"/>
    <s v="Foggy"/>
    <x v="1"/>
    <s v="Under Construction"/>
    <s v="50+"/>
    <n v="5"/>
    <s v="Low"/>
    <s v="Valid"/>
    <b v="0"/>
    <n v="61"/>
    <s v="Rajasthan"/>
    <n v="2"/>
    <n v="2"/>
    <n v="1984"/>
    <x v="1"/>
    <s v="Not an Outliers"/>
  </r>
  <r>
    <d v="2024-02-27T00:00:00"/>
    <x v="1"/>
    <x v="1"/>
    <x v="1"/>
    <n v="1000"/>
    <b v="0"/>
    <s v="Clear"/>
    <x v="1"/>
    <s v="Dry"/>
    <s v="18-25"/>
    <n v="0"/>
    <s v="High"/>
    <s v="Suspended"/>
    <b v="1"/>
    <n v="114"/>
    <s v="Punjab"/>
    <n v="7"/>
    <n v="1"/>
    <n v="4217"/>
    <x v="0"/>
    <s v="Not an Outliers"/>
  </r>
  <r>
    <d v="2024-02-27T00:00:00"/>
    <x v="6"/>
    <x v="0"/>
    <x v="2"/>
    <n v="2113"/>
    <b v="1"/>
    <s v="Cloudy"/>
    <x v="3"/>
    <s v="Slippery"/>
    <s v="26-35"/>
    <n v="3"/>
    <s v="Medium"/>
    <s v="Valid"/>
    <b v="1"/>
    <n v="106"/>
    <s v="Haryana"/>
    <n v="4"/>
    <n v="1"/>
    <n v="1283"/>
    <x v="0"/>
    <s v="Not an Outliers"/>
  </r>
  <r>
    <d v="2024-02-28T00:00:00"/>
    <x v="8"/>
    <x v="1"/>
    <x v="5"/>
    <n v="6020"/>
    <b v="0"/>
    <s v="Foggy"/>
    <x v="0"/>
    <s v="Dry"/>
    <s v="36-50"/>
    <n v="2"/>
    <s v="High"/>
    <s v="Valid"/>
    <b v="0"/>
    <n v="77"/>
    <s v="Haryana"/>
    <n v="4"/>
    <n v="3"/>
    <n v="1489"/>
    <x v="2"/>
    <s v="Not an Outliers"/>
  </r>
  <r>
    <d v="2024-02-28T00:00:00"/>
    <x v="8"/>
    <x v="2"/>
    <x v="1"/>
    <n v="1000"/>
    <b v="0"/>
    <s v="Stormy"/>
    <x v="3"/>
    <s v="Slippery"/>
    <s v="26-35"/>
    <n v="3"/>
    <s v="Low"/>
    <s v="Valid"/>
    <b v="1"/>
    <n v="78"/>
    <s v="Rajasthan"/>
    <n v="7"/>
    <n v="3"/>
    <n v="723"/>
    <x v="2"/>
    <s v="Not an Outliers"/>
  </r>
  <r>
    <d v="2024-02-28T00:00:00"/>
    <x v="10"/>
    <x v="2"/>
    <x v="1"/>
    <n v="1000"/>
    <b v="1"/>
    <s v="Stormy"/>
    <x v="2"/>
    <s v="Slippery"/>
    <s v="36-50"/>
    <n v="3"/>
    <s v="High"/>
    <s v="Valid"/>
    <b v="0"/>
    <n v="91"/>
    <s v="Uttar Pradesh"/>
    <n v="9"/>
    <n v="3"/>
    <n v="593"/>
    <x v="2"/>
    <s v="Not an Outliers"/>
  </r>
  <r>
    <d v="2024-03-01T00:00:00"/>
    <x v="1"/>
    <x v="1"/>
    <x v="1"/>
    <n v="1000"/>
    <b v="0"/>
    <s v="Foggy"/>
    <x v="1"/>
    <s v="Wet"/>
    <s v="36-50"/>
    <n v="3"/>
    <s v="Low"/>
    <s v="Valid"/>
    <b v="1"/>
    <n v="78"/>
    <s v="Delhi"/>
    <n v="5"/>
    <n v="1"/>
    <n v="1154"/>
    <x v="2"/>
    <s v="Not an Outliers"/>
  </r>
  <r>
    <d v="2024-03-01T00:00:00"/>
    <x v="13"/>
    <x v="3"/>
    <x v="2"/>
    <n v="2370"/>
    <b v="0"/>
    <s v="Stormy"/>
    <x v="3"/>
    <s v="Dry"/>
    <s v="26-35"/>
    <n v="0"/>
    <s v="High"/>
    <s v="Suspended"/>
    <b v="1"/>
    <n v="60"/>
    <s v="Haryana"/>
    <n v="7"/>
    <n v="1"/>
    <n v="3860"/>
    <x v="0"/>
    <s v="Not an Outliers"/>
  </r>
  <r>
    <d v="2024-03-02T00:00:00"/>
    <x v="0"/>
    <x v="3"/>
    <x v="3"/>
    <n v="4558"/>
    <b v="0"/>
    <s v="Cloudy"/>
    <x v="0"/>
    <s v="Wet"/>
    <s v="26-35"/>
    <n v="0"/>
    <s v="Low"/>
    <s v="Learner"/>
    <b v="0"/>
    <n v="20"/>
    <s v="Haryana"/>
    <n v="2"/>
    <n v="3"/>
    <n v="4513"/>
    <x v="1"/>
    <s v="Not an Outliers"/>
  </r>
  <r>
    <d v="2024-03-03T00:00:00"/>
    <x v="12"/>
    <x v="2"/>
    <x v="1"/>
    <n v="1000"/>
    <b v="0"/>
    <s v="Cloudy"/>
    <x v="1"/>
    <s v="Under Construction"/>
    <s v="36-50"/>
    <n v="4"/>
    <s v="Medium"/>
    <s v="Valid"/>
    <b v="1"/>
    <n v="14"/>
    <s v="Uttar Pradesh"/>
    <n v="7"/>
    <n v="3"/>
    <n v="4730"/>
    <x v="1"/>
    <s v="Not an Outliers"/>
  </r>
  <r>
    <d v="2024-03-03T00:00:00"/>
    <x v="3"/>
    <x v="4"/>
    <x v="2"/>
    <n v="3940"/>
    <b v="1"/>
    <s v="Stormy"/>
    <x v="3"/>
    <s v="Under Construction"/>
    <s v="26-35"/>
    <n v="5"/>
    <s v="Low"/>
    <s v="Expired"/>
    <b v="1"/>
    <n v="119"/>
    <s v="Rajasthan"/>
    <n v="1"/>
    <n v="3"/>
    <n v="2264"/>
    <x v="1"/>
    <s v="Not an Outliers"/>
  </r>
  <r>
    <d v="2024-03-04T00:00:00"/>
    <x v="7"/>
    <x v="3"/>
    <x v="4"/>
    <n v="6423"/>
    <b v="1"/>
    <s v="Rainy"/>
    <x v="2"/>
    <s v="Dry"/>
    <s v="50+"/>
    <n v="5"/>
    <s v="Low"/>
    <s v="Learner"/>
    <b v="0"/>
    <n v="103"/>
    <s v="Uttar Pradesh"/>
    <n v="8"/>
    <n v="3"/>
    <n v="2274"/>
    <x v="2"/>
    <s v="Not an Outliers"/>
  </r>
  <r>
    <d v="2024-03-04T00:00:00"/>
    <x v="5"/>
    <x v="2"/>
    <x v="5"/>
    <n v="6400"/>
    <b v="0"/>
    <s v="Cloudy"/>
    <x v="1"/>
    <s v="Dry"/>
    <s v="36-50"/>
    <n v="3"/>
    <s v="High"/>
    <s v="Valid"/>
    <b v="1"/>
    <n v="3"/>
    <s v="Punjab"/>
    <n v="9"/>
    <n v="2"/>
    <n v="4011"/>
    <x v="2"/>
    <s v="Not an Outliers"/>
  </r>
  <r>
    <d v="2024-03-05T00:00:00"/>
    <x v="13"/>
    <x v="1"/>
    <x v="4"/>
    <n v="7583"/>
    <b v="0"/>
    <s v="Stormy"/>
    <x v="0"/>
    <s v="Under Construction"/>
    <s v="26-35"/>
    <n v="3"/>
    <s v="Medium"/>
    <s v="Valid"/>
    <b v="0"/>
    <n v="16"/>
    <s v="Rajasthan"/>
    <n v="5"/>
    <n v="2"/>
    <n v="3499"/>
    <x v="0"/>
    <s v="Not an Outliers"/>
  </r>
  <r>
    <d v="2024-03-05T00:00:00"/>
    <x v="2"/>
    <x v="1"/>
    <x v="5"/>
    <n v="5732"/>
    <b v="0"/>
    <s v="Cloudy"/>
    <x v="0"/>
    <s v="Wet"/>
    <s v="50+"/>
    <n v="4"/>
    <s v="High"/>
    <s v="Valid"/>
    <b v="1"/>
    <n v="102"/>
    <s v="Uttar Pradesh"/>
    <n v="6"/>
    <n v="3"/>
    <n v="1800"/>
    <x v="0"/>
    <s v="Not an Outliers"/>
  </r>
  <r>
    <d v="2024-03-06T00:00:00"/>
    <x v="9"/>
    <x v="4"/>
    <x v="1"/>
    <n v="1000"/>
    <b v="1"/>
    <s v="Cloudy"/>
    <x v="0"/>
    <s v="Under Construction"/>
    <s v="26-35"/>
    <n v="2"/>
    <s v="Low"/>
    <s v="Expired"/>
    <b v="1"/>
    <n v="102"/>
    <s v="Punjab"/>
    <n v="9"/>
    <n v="2"/>
    <n v="3047"/>
    <x v="2"/>
    <s v="Not an Outliers"/>
  </r>
  <r>
    <d v="2024-03-06T00:00:00"/>
    <x v="12"/>
    <x v="2"/>
    <x v="2"/>
    <n v="1013"/>
    <b v="1"/>
    <s v="Stormy"/>
    <x v="1"/>
    <s v="Slippery"/>
    <s v="18-25"/>
    <n v="5"/>
    <s v="Medium"/>
    <s v="Suspended"/>
    <b v="1"/>
    <n v="104"/>
    <s v="Punjab"/>
    <n v="7"/>
    <n v="2"/>
    <n v="4303"/>
    <x v="1"/>
    <s v="Not an Outliers"/>
  </r>
  <r>
    <d v="2024-03-06T00:00:00"/>
    <x v="14"/>
    <x v="2"/>
    <x v="2"/>
    <n v="4849"/>
    <b v="1"/>
    <s v="Clear"/>
    <x v="1"/>
    <s v="Dry"/>
    <s v="26-35"/>
    <n v="3"/>
    <s v="High"/>
    <s v="Valid"/>
    <b v="0"/>
    <n v="22"/>
    <s v="Haryana"/>
    <n v="6"/>
    <n v="2"/>
    <n v="3840"/>
    <x v="2"/>
    <s v="Not an Outliers"/>
  </r>
  <r>
    <d v="2024-03-07T00:00:00"/>
    <x v="9"/>
    <x v="3"/>
    <x v="4"/>
    <n v="6605"/>
    <b v="1"/>
    <s v="Rainy"/>
    <x v="3"/>
    <s v="Dry"/>
    <s v="50+"/>
    <n v="0"/>
    <s v="High"/>
    <s v="Learner"/>
    <b v="1"/>
    <n v="101"/>
    <s v="Rajasthan"/>
    <n v="2"/>
    <n v="1"/>
    <n v="2580"/>
    <x v="0"/>
    <s v="Not an Outliers"/>
  </r>
  <r>
    <d v="2024-03-07T00:00:00"/>
    <x v="12"/>
    <x v="1"/>
    <x v="1"/>
    <n v="1000"/>
    <b v="1"/>
    <s v="Stormy"/>
    <x v="1"/>
    <s v="Slippery"/>
    <s v="36-50"/>
    <n v="3"/>
    <s v="High"/>
    <s v="Valid"/>
    <b v="0"/>
    <n v="24"/>
    <s v="Punjab"/>
    <n v="1"/>
    <n v="1"/>
    <n v="1220"/>
    <x v="0"/>
    <s v="Not an Outliers"/>
  </r>
  <r>
    <d v="2024-03-08T00:00:00"/>
    <x v="8"/>
    <x v="0"/>
    <x v="4"/>
    <n v="9524"/>
    <b v="0"/>
    <s v="Foggy"/>
    <x v="2"/>
    <s v="Wet"/>
    <s v="50+"/>
    <n v="3"/>
    <s v="Low"/>
    <s v="Valid"/>
    <b v="1"/>
    <n v="93"/>
    <s v="Uttar Pradesh"/>
    <n v="10"/>
    <n v="2"/>
    <n v="4906"/>
    <x v="2"/>
    <s v="Not an Outliers"/>
  </r>
  <r>
    <d v="2024-03-08T00:00:00"/>
    <x v="1"/>
    <x v="3"/>
    <x v="5"/>
    <n v="3425"/>
    <b v="1"/>
    <s v="Cloudy"/>
    <x v="2"/>
    <s v="Dry"/>
    <s v="50+"/>
    <n v="0"/>
    <s v="High"/>
    <s v="Expired"/>
    <b v="1"/>
    <n v="32"/>
    <s v="Uttar Pradesh"/>
    <n v="6"/>
    <n v="3"/>
    <n v="1664"/>
    <x v="2"/>
    <s v="Not an Outliers"/>
  </r>
  <r>
    <d v="2024-03-08T00:00:00"/>
    <x v="12"/>
    <x v="2"/>
    <x v="3"/>
    <n v="4050"/>
    <b v="0"/>
    <s v="Foggy"/>
    <x v="0"/>
    <s v="Slippery"/>
    <s v="36-50"/>
    <n v="1"/>
    <s v="High"/>
    <s v="Suspended"/>
    <b v="0"/>
    <n v="42"/>
    <s v="Delhi"/>
    <n v="9"/>
    <n v="2"/>
    <n v="1206"/>
    <x v="2"/>
    <s v="Not an Outliers"/>
  </r>
  <r>
    <d v="2024-03-10T00:00:00"/>
    <x v="13"/>
    <x v="3"/>
    <x v="4"/>
    <n v="9543"/>
    <b v="1"/>
    <s v="Stormy"/>
    <x v="3"/>
    <s v="Wet"/>
    <s v="50+"/>
    <n v="4"/>
    <s v="Medium"/>
    <s v="Expired"/>
    <b v="1"/>
    <n v="96"/>
    <s v="Delhi"/>
    <n v="6"/>
    <n v="3"/>
    <n v="3807"/>
    <x v="2"/>
    <s v="Not an Outliers"/>
  </r>
  <r>
    <d v="2024-03-11T00:00:00"/>
    <x v="9"/>
    <x v="4"/>
    <x v="1"/>
    <n v="1000"/>
    <b v="1"/>
    <s v="Rainy"/>
    <x v="0"/>
    <s v="Slippery"/>
    <s v="26-35"/>
    <n v="2"/>
    <s v="Medium"/>
    <s v="Valid"/>
    <b v="0"/>
    <n v="39"/>
    <s v="Punjab"/>
    <n v="3"/>
    <n v="3"/>
    <n v="2362"/>
    <x v="1"/>
    <s v="Not an Outliers"/>
  </r>
  <r>
    <d v="2024-03-11T00:00:00"/>
    <x v="6"/>
    <x v="2"/>
    <x v="1"/>
    <n v="1000"/>
    <b v="0"/>
    <s v="Rainy"/>
    <x v="2"/>
    <s v="Wet"/>
    <s v="50+"/>
    <n v="0"/>
    <s v="Medium"/>
    <s v="Learner"/>
    <b v="1"/>
    <n v="34"/>
    <s v="Delhi"/>
    <n v="1"/>
    <n v="1"/>
    <n v="850"/>
    <x v="2"/>
    <s v="Not an Outliers"/>
  </r>
  <r>
    <d v="2024-03-11T00:00:00"/>
    <x v="4"/>
    <x v="0"/>
    <x v="0"/>
    <n v="1000"/>
    <b v="0"/>
    <s v="Cloudy"/>
    <x v="3"/>
    <s v="Dry"/>
    <s v="18-25"/>
    <n v="1"/>
    <s v="High"/>
    <s v="Valid"/>
    <b v="0"/>
    <n v="10"/>
    <s v="Punjab"/>
    <n v="9"/>
    <n v="1"/>
    <n v="2655"/>
    <x v="0"/>
    <s v="Not an Outliers"/>
  </r>
  <r>
    <d v="2024-03-11T00:00:00"/>
    <x v="12"/>
    <x v="3"/>
    <x v="3"/>
    <n v="8170"/>
    <b v="1"/>
    <s v="Foggy"/>
    <x v="3"/>
    <s v="Under Construction"/>
    <s v="36-50"/>
    <n v="3"/>
    <s v="High"/>
    <s v="Valid"/>
    <b v="1"/>
    <n v="46"/>
    <s v="Delhi"/>
    <n v="2"/>
    <n v="3"/>
    <n v="1893"/>
    <x v="1"/>
    <s v="Not an Outliers"/>
  </r>
  <r>
    <d v="2024-03-11T00:00:00"/>
    <x v="7"/>
    <x v="1"/>
    <x v="5"/>
    <n v="20565"/>
    <b v="0"/>
    <s v="Cloudy"/>
    <x v="0"/>
    <s v="Under Construction"/>
    <s v="18-25"/>
    <n v="2"/>
    <s v="Low"/>
    <s v="Suspended"/>
    <b v="1"/>
    <n v="17"/>
    <s v="Haryana"/>
    <n v="2"/>
    <n v="3"/>
    <n v="1311"/>
    <x v="0"/>
    <s v="Outliers"/>
  </r>
  <r>
    <d v="2024-03-13T00:00:00"/>
    <x v="9"/>
    <x v="0"/>
    <x v="0"/>
    <n v="1000"/>
    <b v="1"/>
    <s v="Clear"/>
    <x v="3"/>
    <s v="Wet"/>
    <s v="50+"/>
    <n v="2"/>
    <s v="Medium"/>
    <s v="Valid"/>
    <b v="0"/>
    <n v="29"/>
    <s v="Punjab"/>
    <n v="2"/>
    <n v="1"/>
    <n v="3358"/>
    <x v="1"/>
    <s v="Not an Outliers"/>
  </r>
  <r>
    <d v="2024-03-13T00:00:00"/>
    <x v="10"/>
    <x v="3"/>
    <x v="1"/>
    <n v="1000"/>
    <b v="0"/>
    <s v="Foggy"/>
    <x v="0"/>
    <s v="Dry"/>
    <s v="36-50"/>
    <n v="5"/>
    <s v="Medium"/>
    <s v="Learner"/>
    <b v="1"/>
    <n v="19"/>
    <s v="Punjab"/>
    <n v="2"/>
    <n v="1"/>
    <n v="1062"/>
    <x v="1"/>
    <s v="Not an Outliers"/>
  </r>
  <r>
    <d v="2024-03-13T00:00:00"/>
    <x v="5"/>
    <x v="1"/>
    <x v="1"/>
    <n v="1000"/>
    <b v="0"/>
    <s v="Foggy"/>
    <x v="1"/>
    <s v="Dry"/>
    <s v="36-50"/>
    <n v="0"/>
    <s v="Low"/>
    <s v="Valid"/>
    <b v="1"/>
    <n v="9"/>
    <s v="Punjab"/>
    <n v="3"/>
    <n v="1"/>
    <n v="3908"/>
    <x v="0"/>
    <s v="Not an Outliers"/>
  </r>
  <r>
    <d v="2024-03-14T00:00:00"/>
    <x v="10"/>
    <x v="3"/>
    <x v="4"/>
    <n v="8928"/>
    <b v="1"/>
    <s v="Cloudy"/>
    <x v="0"/>
    <s v="Dry"/>
    <s v="50+"/>
    <n v="3"/>
    <s v="High"/>
    <s v="Suspended"/>
    <b v="0"/>
    <n v="1"/>
    <s v="Delhi"/>
    <n v="6"/>
    <n v="3"/>
    <n v="3045"/>
    <x v="2"/>
    <s v="Not an Outliers"/>
  </r>
  <r>
    <d v="2024-03-14T00:00:00"/>
    <x v="14"/>
    <x v="0"/>
    <x v="4"/>
    <n v="7190"/>
    <b v="0"/>
    <s v="Rainy"/>
    <x v="2"/>
    <s v="Under Construction"/>
    <s v="18-25"/>
    <n v="4"/>
    <s v="Low"/>
    <s v="Learner"/>
    <b v="0"/>
    <n v="23"/>
    <s v="Rajasthan"/>
    <n v="1"/>
    <n v="2"/>
    <n v="4779"/>
    <x v="2"/>
    <s v="Not an Outliers"/>
  </r>
  <r>
    <d v="2024-03-15T00:00:00"/>
    <x v="9"/>
    <x v="4"/>
    <x v="4"/>
    <n v="9455"/>
    <b v="0"/>
    <s v="Cloudy"/>
    <x v="3"/>
    <s v="Slippery"/>
    <s v="26-35"/>
    <n v="2"/>
    <s v="High"/>
    <s v="Suspended"/>
    <b v="1"/>
    <n v="94"/>
    <s v="Haryana"/>
    <n v="9"/>
    <n v="1"/>
    <n v="1414"/>
    <x v="2"/>
    <s v="Not an Outliers"/>
  </r>
  <r>
    <d v="2024-03-15T00:00:00"/>
    <x v="8"/>
    <x v="4"/>
    <x v="5"/>
    <n v="6200"/>
    <b v="0"/>
    <s v="Rainy"/>
    <x v="0"/>
    <s v="Wet"/>
    <s v="18-25"/>
    <n v="3"/>
    <s v="High"/>
    <s v="Valid"/>
    <b v="1"/>
    <n v="47"/>
    <s v="Delhi"/>
    <n v="5"/>
    <n v="3"/>
    <n v="2006"/>
    <x v="1"/>
    <s v="Not an Outliers"/>
  </r>
  <r>
    <d v="2024-03-16T00:00:00"/>
    <x v="9"/>
    <x v="1"/>
    <x v="5"/>
    <n v="3649"/>
    <b v="0"/>
    <s v="Cloudy"/>
    <x v="0"/>
    <s v="Under Construction"/>
    <s v="18-25"/>
    <n v="5"/>
    <s v="Low"/>
    <s v="Suspended"/>
    <b v="1"/>
    <n v="114"/>
    <s v="Punjab"/>
    <n v="10"/>
    <n v="2"/>
    <n v="4559"/>
    <x v="1"/>
    <s v="Not an Outliers"/>
  </r>
  <r>
    <d v="2024-03-16T00:00:00"/>
    <x v="6"/>
    <x v="2"/>
    <x v="3"/>
    <n v="2656"/>
    <b v="1"/>
    <s v="Stormy"/>
    <x v="2"/>
    <s v="Slippery"/>
    <s v="18-25"/>
    <n v="5"/>
    <s v="Low"/>
    <s v="Learner"/>
    <b v="1"/>
    <n v="107"/>
    <s v="Delhi"/>
    <n v="9"/>
    <n v="1"/>
    <n v="2052"/>
    <x v="2"/>
    <s v="Not an Outliers"/>
  </r>
  <r>
    <d v="2024-03-16T00:00:00"/>
    <x v="11"/>
    <x v="1"/>
    <x v="2"/>
    <n v="2864"/>
    <b v="1"/>
    <s v="Cloudy"/>
    <x v="3"/>
    <s v="Under Construction"/>
    <s v="50+"/>
    <n v="1"/>
    <s v="High"/>
    <s v="Valid"/>
    <b v="0"/>
    <n v="5"/>
    <s v="Uttar Pradesh"/>
    <n v="1"/>
    <n v="2"/>
    <n v="3092"/>
    <x v="1"/>
    <s v="Not an Outliers"/>
  </r>
  <r>
    <d v="2024-03-16T00:00:00"/>
    <x v="4"/>
    <x v="2"/>
    <x v="5"/>
    <n v="7437"/>
    <b v="1"/>
    <s v="Cloudy"/>
    <x v="3"/>
    <s v="Under Construction"/>
    <s v="36-50"/>
    <n v="2"/>
    <s v="High"/>
    <s v="Expired"/>
    <b v="1"/>
    <n v="85"/>
    <s v="Uttar Pradesh"/>
    <n v="9"/>
    <n v="2"/>
    <n v="4192"/>
    <x v="1"/>
    <s v="Not an Outliers"/>
  </r>
  <r>
    <d v="2024-03-16T00:00:00"/>
    <x v="12"/>
    <x v="3"/>
    <x v="5"/>
    <n v="29415"/>
    <b v="0"/>
    <s v="Stormy"/>
    <x v="0"/>
    <s v="Under Construction"/>
    <s v="36-50"/>
    <n v="0"/>
    <s v="Low"/>
    <s v="Expired"/>
    <b v="0"/>
    <n v="72"/>
    <s v="Delhi"/>
    <n v="10"/>
    <n v="1"/>
    <n v="4743"/>
    <x v="1"/>
    <s v="Outliers"/>
  </r>
  <r>
    <d v="2024-03-16T00:00:00"/>
    <x v="8"/>
    <x v="4"/>
    <x v="1"/>
    <n v="1000"/>
    <b v="0"/>
    <s v="Stormy"/>
    <x v="2"/>
    <s v="Dry"/>
    <s v="18-25"/>
    <n v="4"/>
    <s v="Low"/>
    <s v="Suspended"/>
    <b v="0"/>
    <n v="65"/>
    <s v="Punjab"/>
    <n v="2"/>
    <n v="3"/>
    <n v="1227"/>
    <x v="2"/>
    <s v="Not an Outliers"/>
  </r>
  <r>
    <d v="2024-03-16T00:00:00"/>
    <x v="7"/>
    <x v="2"/>
    <x v="2"/>
    <n v="4009"/>
    <b v="0"/>
    <s v="Rainy"/>
    <x v="3"/>
    <s v="Dry"/>
    <s v="50+"/>
    <n v="5"/>
    <s v="High"/>
    <s v="Learner"/>
    <b v="1"/>
    <n v="12"/>
    <s v="Rajasthan"/>
    <n v="5"/>
    <n v="1"/>
    <n v="2209"/>
    <x v="2"/>
    <s v="Not an Outliers"/>
  </r>
  <r>
    <d v="2024-03-16T00:00:00"/>
    <x v="1"/>
    <x v="3"/>
    <x v="1"/>
    <n v="1000"/>
    <b v="0"/>
    <s v="Rainy"/>
    <x v="3"/>
    <s v="Under Construction"/>
    <s v="36-50"/>
    <n v="1"/>
    <s v="Low"/>
    <s v="Valid"/>
    <b v="1"/>
    <n v="67"/>
    <s v="Haryana"/>
    <n v="5"/>
    <n v="3"/>
    <n v="4506"/>
    <x v="0"/>
    <s v="Not an Outliers"/>
  </r>
  <r>
    <d v="2024-03-17T00:00:00"/>
    <x v="4"/>
    <x v="3"/>
    <x v="1"/>
    <n v="1000"/>
    <b v="1"/>
    <s v="Stormy"/>
    <x v="0"/>
    <s v="Under Construction"/>
    <s v="50+"/>
    <n v="2"/>
    <s v="High"/>
    <s v="Suspended"/>
    <b v="0"/>
    <n v="87"/>
    <s v="Punjab"/>
    <n v="9"/>
    <n v="1"/>
    <n v="759"/>
    <x v="1"/>
    <s v="Not an Outliers"/>
  </r>
  <r>
    <d v="2024-03-17T00:00:00"/>
    <x v="1"/>
    <x v="2"/>
    <x v="3"/>
    <n v="4565"/>
    <b v="0"/>
    <s v="Stormy"/>
    <x v="3"/>
    <s v="Wet"/>
    <s v="50+"/>
    <n v="1"/>
    <s v="High"/>
    <s v="Learner"/>
    <b v="1"/>
    <n v="115"/>
    <s v="Rajasthan"/>
    <n v="6"/>
    <n v="1"/>
    <n v="1044"/>
    <x v="2"/>
    <s v="Not an Outliers"/>
  </r>
  <r>
    <d v="2024-03-18T00:00:00"/>
    <x v="14"/>
    <x v="1"/>
    <x v="4"/>
    <n v="8640"/>
    <b v="0"/>
    <s v="Rainy"/>
    <x v="1"/>
    <s v="Under Construction"/>
    <s v="18-25"/>
    <n v="0"/>
    <s v="High"/>
    <s v="Learner"/>
    <b v="0"/>
    <n v="103"/>
    <s v="Haryana"/>
    <n v="10"/>
    <n v="2"/>
    <n v="2065"/>
    <x v="2"/>
    <s v="Not an Outliers"/>
  </r>
  <r>
    <d v="2024-03-18T00:00:00"/>
    <x v="7"/>
    <x v="4"/>
    <x v="4"/>
    <n v="8231"/>
    <b v="0"/>
    <s v="Clear"/>
    <x v="2"/>
    <s v="Wet"/>
    <s v="18-25"/>
    <n v="5"/>
    <s v="High"/>
    <s v="Expired"/>
    <b v="1"/>
    <n v="110"/>
    <s v="Punjab"/>
    <n v="5"/>
    <n v="1"/>
    <n v="1719"/>
    <x v="2"/>
    <s v="Not an Outliers"/>
  </r>
  <r>
    <d v="2024-03-19T00:00:00"/>
    <x v="1"/>
    <x v="3"/>
    <x v="4"/>
    <n v="6970"/>
    <b v="0"/>
    <s v="Cloudy"/>
    <x v="3"/>
    <s v="Under Construction"/>
    <s v="26-35"/>
    <n v="3"/>
    <s v="Medium"/>
    <s v="Valid"/>
    <b v="1"/>
    <n v="88"/>
    <s v="Delhi"/>
    <n v="10"/>
    <n v="3"/>
    <n v="1644"/>
    <x v="0"/>
    <s v="Not an Outliers"/>
  </r>
  <r>
    <d v="2024-03-19T00:00:00"/>
    <x v="1"/>
    <x v="0"/>
    <x v="0"/>
    <n v="1000"/>
    <b v="0"/>
    <s v="Rainy"/>
    <x v="1"/>
    <s v="Dry"/>
    <s v="50+"/>
    <n v="0"/>
    <s v="Low"/>
    <s v="Valid"/>
    <b v="1"/>
    <n v="21"/>
    <s v="Haryana"/>
    <n v="6"/>
    <n v="2"/>
    <n v="4364"/>
    <x v="0"/>
    <s v="Not an Outliers"/>
  </r>
  <r>
    <d v="2024-03-19T00:00:00"/>
    <x v="11"/>
    <x v="1"/>
    <x v="3"/>
    <n v="4151"/>
    <b v="0"/>
    <s v="Cloudy"/>
    <x v="0"/>
    <s v="Under Construction"/>
    <s v="26-35"/>
    <n v="3"/>
    <s v="High"/>
    <s v="Learner"/>
    <b v="0"/>
    <n v="16"/>
    <s v="Rajasthan"/>
    <n v="6"/>
    <n v="3"/>
    <n v="1942"/>
    <x v="0"/>
    <s v="Not an Outliers"/>
  </r>
  <r>
    <d v="2024-03-19T00:00:00"/>
    <x v="12"/>
    <x v="4"/>
    <x v="1"/>
    <n v="1000"/>
    <b v="0"/>
    <s v="Foggy"/>
    <x v="3"/>
    <s v="Slippery"/>
    <s v="36-50"/>
    <n v="3"/>
    <s v="High"/>
    <s v="Learner"/>
    <b v="0"/>
    <n v="77"/>
    <s v="Punjab"/>
    <n v="1"/>
    <n v="1"/>
    <n v="3878"/>
    <x v="0"/>
    <s v="Not an Outliers"/>
  </r>
  <r>
    <d v="2024-03-20T00:00:00"/>
    <x v="6"/>
    <x v="2"/>
    <x v="4"/>
    <n v="9390"/>
    <b v="0"/>
    <s v="Stormy"/>
    <x v="3"/>
    <s v="Under Construction"/>
    <s v="36-50"/>
    <n v="5"/>
    <s v="High"/>
    <s v="Expired"/>
    <b v="1"/>
    <n v="59"/>
    <s v="Rajasthan"/>
    <n v="1"/>
    <n v="2"/>
    <n v="4971"/>
    <x v="1"/>
    <s v="Not an Outliers"/>
  </r>
  <r>
    <d v="2024-03-20T00:00:00"/>
    <x v="2"/>
    <x v="3"/>
    <x v="2"/>
    <n v="3435"/>
    <b v="0"/>
    <s v="Cloudy"/>
    <x v="1"/>
    <s v="Wet"/>
    <s v="18-25"/>
    <n v="5"/>
    <s v="Medium"/>
    <s v="Suspended"/>
    <b v="0"/>
    <n v="20"/>
    <s v="Uttar Pradesh"/>
    <n v="6"/>
    <n v="3"/>
    <n v="4713"/>
    <x v="2"/>
    <s v="Not an Outliers"/>
  </r>
  <r>
    <d v="2024-03-20T00:00:00"/>
    <x v="13"/>
    <x v="1"/>
    <x v="3"/>
    <n v="4219"/>
    <b v="0"/>
    <s v="Clear"/>
    <x v="0"/>
    <s v="Dry"/>
    <s v="36-50"/>
    <n v="5"/>
    <s v="Medium"/>
    <s v="Valid"/>
    <b v="1"/>
    <n v="47"/>
    <s v="Delhi"/>
    <n v="2"/>
    <n v="3"/>
    <n v="2190"/>
    <x v="2"/>
    <s v="Not an Outliers"/>
  </r>
  <r>
    <d v="2024-03-21T00:00:00"/>
    <x v="0"/>
    <x v="1"/>
    <x v="4"/>
    <n v="9292"/>
    <b v="0"/>
    <s v="Cloudy"/>
    <x v="0"/>
    <s v="Under Construction"/>
    <s v="18-25"/>
    <n v="0"/>
    <s v="High"/>
    <s v="Valid"/>
    <b v="1"/>
    <n v="103"/>
    <s v="Uttar Pradesh"/>
    <n v="4"/>
    <n v="1"/>
    <n v="528"/>
    <x v="1"/>
    <s v="Not an Outliers"/>
  </r>
  <r>
    <d v="2024-03-23T00:00:00"/>
    <x v="3"/>
    <x v="4"/>
    <x v="5"/>
    <n v="7714"/>
    <b v="1"/>
    <s v="Cloudy"/>
    <x v="1"/>
    <s v="Wet"/>
    <s v="50+"/>
    <n v="3"/>
    <s v="High"/>
    <s v="Valid"/>
    <b v="0"/>
    <n v="116"/>
    <s v="Rajasthan"/>
    <n v="10"/>
    <n v="1"/>
    <n v="850"/>
    <x v="1"/>
    <s v="Not an Outliers"/>
  </r>
  <r>
    <d v="2024-03-23T00:00:00"/>
    <x v="4"/>
    <x v="0"/>
    <x v="0"/>
    <n v="1000"/>
    <b v="1"/>
    <s v="Stormy"/>
    <x v="3"/>
    <s v="Slippery"/>
    <s v="26-35"/>
    <n v="1"/>
    <s v="Medium"/>
    <s v="Learner"/>
    <b v="0"/>
    <n v="3"/>
    <s v="Delhi"/>
    <n v="6"/>
    <n v="3"/>
    <n v="3241"/>
    <x v="1"/>
    <s v="Not an Outliers"/>
  </r>
  <r>
    <d v="2024-03-24T00:00:00"/>
    <x v="11"/>
    <x v="2"/>
    <x v="4"/>
    <n v="6223"/>
    <b v="0"/>
    <s v="Cloudy"/>
    <x v="0"/>
    <s v="Under Construction"/>
    <s v="18-25"/>
    <n v="1"/>
    <s v="High"/>
    <s v="Expired"/>
    <b v="0"/>
    <n v="85"/>
    <s v="Delhi"/>
    <n v="10"/>
    <n v="2"/>
    <n v="1677"/>
    <x v="1"/>
    <s v="Not an Outliers"/>
  </r>
  <r>
    <d v="2024-03-24T00:00:00"/>
    <x v="13"/>
    <x v="0"/>
    <x v="0"/>
    <n v="1000"/>
    <b v="1"/>
    <s v="Foggy"/>
    <x v="3"/>
    <s v="Under Construction"/>
    <s v="26-35"/>
    <n v="2"/>
    <s v="High"/>
    <s v="Valid"/>
    <b v="1"/>
    <n v="56"/>
    <s v="Haryana"/>
    <n v="3"/>
    <n v="1"/>
    <n v="3941"/>
    <x v="2"/>
    <s v="Not an Outliers"/>
  </r>
  <r>
    <d v="2024-03-25T00:00:00"/>
    <x v="13"/>
    <x v="1"/>
    <x v="4"/>
    <n v="7195"/>
    <b v="1"/>
    <s v="Clear"/>
    <x v="3"/>
    <s v="Wet"/>
    <s v="36-50"/>
    <n v="0"/>
    <s v="High"/>
    <s v="Learner"/>
    <b v="1"/>
    <n v="110"/>
    <s v="Haryana"/>
    <n v="7"/>
    <n v="2"/>
    <n v="1344"/>
    <x v="0"/>
    <s v="Not an Outliers"/>
  </r>
  <r>
    <d v="2024-03-25T00:00:00"/>
    <x v="8"/>
    <x v="1"/>
    <x v="5"/>
    <n v="6178"/>
    <b v="0"/>
    <s v="Stormy"/>
    <x v="1"/>
    <s v="Wet"/>
    <s v="50+"/>
    <n v="1"/>
    <s v="High"/>
    <s v="Learner"/>
    <b v="0"/>
    <n v="29"/>
    <s v="Rajasthan"/>
    <n v="9"/>
    <n v="3"/>
    <n v="1608"/>
    <x v="2"/>
    <s v="Not an Outliers"/>
  </r>
  <r>
    <d v="2024-03-26T00:00:00"/>
    <x v="1"/>
    <x v="0"/>
    <x v="0"/>
    <n v="1000"/>
    <b v="0"/>
    <s v="Rainy"/>
    <x v="3"/>
    <s v="Slippery"/>
    <s v="26-35"/>
    <n v="2"/>
    <s v="High"/>
    <s v="Valid"/>
    <b v="0"/>
    <n v="83"/>
    <s v="Delhi"/>
    <n v="9"/>
    <n v="1"/>
    <n v="2362"/>
    <x v="1"/>
    <s v="Not an Outliers"/>
  </r>
  <r>
    <d v="2024-03-26T00:00:00"/>
    <x v="11"/>
    <x v="0"/>
    <x v="0"/>
    <n v="1000"/>
    <b v="0"/>
    <s v="Rainy"/>
    <x v="0"/>
    <s v="Under Construction"/>
    <s v="18-25"/>
    <n v="1"/>
    <s v="High"/>
    <s v="Suspended"/>
    <b v="1"/>
    <n v="87"/>
    <s v="Haryana"/>
    <n v="3"/>
    <n v="2"/>
    <n v="3121"/>
    <x v="1"/>
    <s v="Not an Outliers"/>
  </r>
  <r>
    <d v="2024-03-26T00:00:00"/>
    <x v="9"/>
    <x v="1"/>
    <x v="3"/>
    <n v="3939"/>
    <b v="0"/>
    <s v="Clear"/>
    <x v="0"/>
    <s v="Dry"/>
    <s v="26-35"/>
    <n v="1"/>
    <s v="Medium"/>
    <s v="Suspended"/>
    <b v="1"/>
    <n v="27"/>
    <s v="Delhi"/>
    <n v="6"/>
    <n v="2"/>
    <n v="3484"/>
    <x v="1"/>
    <s v="Not an Outliers"/>
  </r>
  <r>
    <d v="2024-03-26T00:00:00"/>
    <x v="6"/>
    <x v="4"/>
    <x v="3"/>
    <n v="3825"/>
    <b v="0"/>
    <s v="Cloudy"/>
    <x v="3"/>
    <s v="Wet"/>
    <s v="26-35"/>
    <n v="2"/>
    <s v="Low"/>
    <s v="Suspended"/>
    <b v="1"/>
    <n v="52"/>
    <s v="Uttar Pradesh"/>
    <n v="9"/>
    <n v="3"/>
    <n v="2517"/>
    <x v="2"/>
    <s v="Not an Outliers"/>
  </r>
  <r>
    <d v="2024-03-26T00:00:00"/>
    <x v="12"/>
    <x v="2"/>
    <x v="4"/>
    <n v="9931"/>
    <b v="0"/>
    <s v="Cloudy"/>
    <x v="3"/>
    <s v="Under Construction"/>
    <s v="26-35"/>
    <n v="5"/>
    <s v="Medium"/>
    <s v="Valid"/>
    <b v="1"/>
    <n v="1"/>
    <s v="Uttar Pradesh"/>
    <n v="6"/>
    <n v="2"/>
    <n v="1020"/>
    <x v="0"/>
    <s v="Not an Outliers"/>
  </r>
  <r>
    <d v="2024-03-26T00:00:00"/>
    <x v="0"/>
    <x v="0"/>
    <x v="0"/>
    <n v="1000"/>
    <b v="1"/>
    <s v="Clear"/>
    <x v="0"/>
    <s v="Slippery"/>
    <s v="50+"/>
    <n v="0"/>
    <s v="Medium"/>
    <s v="Valid"/>
    <b v="0"/>
    <n v="75"/>
    <s v="Haryana"/>
    <n v="8"/>
    <n v="3"/>
    <n v="1119"/>
    <x v="2"/>
    <s v="Not an Outliers"/>
  </r>
  <r>
    <d v="2024-03-26T00:00:00"/>
    <x v="14"/>
    <x v="2"/>
    <x v="5"/>
    <n v="4521"/>
    <b v="1"/>
    <s v="Rainy"/>
    <x v="3"/>
    <s v="Slippery"/>
    <s v="26-35"/>
    <n v="2"/>
    <s v="Medium"/>
    <s v="Learner"/>
    <b v="1"/>
    <n v="27"/>
    <s v="Punjab"/>
    <n v="5"/>
    <n v="3"/>
    <n v="3801"/>
    <x v="2"/>
    <s v="Not an Outliers"/>
  </r>
  <r>
    <d v="2024-03-27T00:00:00"/>
    <x v="12"/>
    <x v="1"/>
    <x v="1"/>
    <n v="5000"/>
    <b v="1"/>
    <s v="Cloudy"/>
    <x v="0"/>
    <s v="Dry"/>
    <s v="18-25"/>
    <n v="3"/>
    <s v="Low"/>
    <s v="Suspended"/>
    <b v="1"/>
    <n v="65"/>
    <s v="Rajasthan"/>
    <n v="4"/>
    <n v="2"/>
    <n v="4073"/>
    <x v="1"/>
    <s v="Not an Outliers"/>
  </r>
  <r>
    <d v="2024-03-27T00:00:00"/>
    <x v="5"/>
    <x v="2"/>
    <x v="3"/>
    <n v="2882"/>
    <b v="1"/>
    <s v="Stormy"/>
    <x v="1"/>
    <s v="Under Construction"/>
    <s v="50+"/>
    <n v="4"/>
    <s v="High"/>
    <s v="Expired"/>
    <b v="1"/>
    <n v="68"/>
    <s v="Uttar Pradesh"/>
    <n v="3"/>
    <n v="1"/>
    <n v="2797"/>
    <x v="1"/>
    <s v="Not an Outliers"/>
  </r>
  <r>
    <d v="2024-03-27T00:00:00"/>
    <x v="1"/>
    <x v="4"/>
    <x v="2"/>
    <n v="3944"/>
    <b v="1"/>
    <s v="Clear"/>
    <x v="1"/>
    <s v="Slippery"/>
    <s v="50+"/>
    <n v="5"/>
    <s v="High"/>
    <s v="Suspended"/>
    <b v="1"/>
    <n v="55"/>
    <s v="Punjab"/>
    <n v="1"/>
    <n v="3"/>
    <n v="2288"/>
    <x v="1"/>
    <s v="Not an Outliers"/>
  </r>
  <r>
    <d v="2024-03-27T00:00:00"/>
    <x v="9"/>
    <x v="1"/>
    <x v="1"/>
    <n v="1000"/>
    <b v="0"/>
    <s v="Cloudy"/>
    <x v="1"/>
    <s v="Under Construction"/>
    <s v="50+"/>
    <n v="5"/>
    <s v="Medium"/>
    <s v="Learner"/>
    <b v="0"/>
    <n v="11"/>
    <s v="Rajasthan"/>
    <n v="1"/>
    <n v="2"/>
    <n v="2142"/>
    <x v="1"/>
    <s v="Not an Outliers"/>
  </r>
  <r>
    <d v="2024-03-28T00:00:00"/>
    <x v="11"/>
    <x v="4"/>
    <x v="4"/>
    <n v="8744"/>
    <b v="0"/>
    <s v="Rainy"/>
    <x v="1"/>
    <s v="Under Construction"/>
    <s v="18-25"/>
    <n v="1"/>
    <s v="High"/>
    <s v="Suspended"/>
    <b v="0"/>
    <n v="62"/>
    <s v="Punjab"/>
    <n v="6"/>
    <n v="3"/>
    <n v="4591"/>
    <x v="0"/>
    <s v="Not an Outliers"/>
  </r>
  <r>
    <d v="2024-03-28T00:00:00"/>
    <x v="9"/>
    <x v="1"/>
    <x v="5"/>
    <n v="3015"/>
    <b v="1"/>
    <s v="Stormy"/>
    <x v="1"/>
    <s v="Slippery"/>
    <s v="36-50"/>
    <n v="2"/>
    <s v="Medium"/>
    <s v="Valid"/>
    <b v="0"/>
    <n v="99"/>
    <s v="Delhi"/>
    <n v="9"/>
    <n v="2"/>
    <n v="1712"/>
    <x v="1"/>
    <s v="Not an Outliers"/>
  </r>
  <r>
    <d v="2024-04-01T00:00:00"/>
    <x v="0"/>
    <x v="4"/>
    <x v="5"/>
    <n v="3853"/>
    <b v="1"/>
    <s v="Cloudy"/>
    <x v="3"/>
    <s v="Slippery"/>
    <s v="50+"/>
    <n v="0"/>
    <s v="Medium"/>
    <s v="Expired"/>
    <b v="1"/>
    <n v="116"/>
    <s v="Haryana"/>
    <n v="6"/>
    <n v="2"/>
    <n v="3124"/>
    <x v="1"/>
    <s v="Not an Outliers"/>
  </r>
  <r>
    <d v="2024-04-01T00:00:00"/>
    <x v="7"/>
    <x v="4"/>
    <x v="3"/>
    <n v="2850"/>
    <b v="0"/>
    <s v="Clear"/>
    <x v="1"/>
    <s v="Slippery"/>
    <s v="18-25"/>
    <n v="1"/>
    <s v="Low"/>
    <s v="Suspended"/>
    <b v="1"/>
    <n v="1"/>
    <s v="Rajasthan"/>
    <n v="8"/>
    <n v="1"/>
    <n v="4305"/>
    <x v="1"/>
    <s v="Not an Outliers"/>
  </r>
  <r>
    <d v="2024-04-01T00:00:00"/>
    <x v="2"/>
    <x v="1"/>
    <x v="4"/>
    <n v="6924"/>
    <b v="1"/>
    <s v="Rainy"/>
    <x v="2"/>
    <s v="Wet"/>
    <s v="50+"/>
    <n v="5"/>
    <s v="High"/>
    <s v="Suspended"/>
    <b v="1"/>
    <n v="83"/>
    <s v="Delhi"/>
    <n v="2"/>
    <n v="2"/>
    <n v="1213"/>
    <x v="1"/>
    <s v="Not an Outliers"/>
  </r>
  <r>
    <d v="2024-04-01T00:00:00"/>
    <x v="0"/>
    <x v="4"/>
    <x v="2"/>
    <n v="1729"/>
    <b v="0"/>
    <s v="Rainy"/>
    <x v="1"/>
    <s v="Dry"/>
    <s v="36-50"/>
    <n v="1"/>
    <s v="Low"/>
    <s v="Learner"/>
    <b v="1"/>
    <n v="48"/>
    <s v="Delhi"/>
    <n v="2"/>
    <n v="3"/>
    <n v="1318"/>
    <x v="0"/>
    <s v="Not an Outliers"/>
  </r>
  <r>
    <d v="2024-04-05T00:00:00"/>
    <x v="13"/>
    <x v="0"/>
    <x v="0"/>
    <n v="1000"/>
    <b v="1"/>
    <s v="Stormy"/>
    <x v="1"/>
    <s v="Dry"/>
    <s v="26-35"/>
    <n v="2"/>
    <s v="Medium"/>
    <s v="Expired"/>
    <b v="1"/>
    <n v="16"/>
    <s v="Delhi"/>
    <n v="10"/>
    <n v="2"/>
    <n v="2235"/>
    <x v="0"/>
    <s v="Not an Outliers"/>
  </r>
  <r>
    <d v="2024-04-05T00:00:00"/>
    <x v="9"/>
    <x v="4"/>
    <x v="1"/>
    <n v="1000"/>
    <b v="0"/>
    <s v="Stormy"/>
    <x v="0"/>
    <s v="Dry"/>
    <s v="50+"/>
    <n v="4"/>
    <s v="Medium"/>
    <s v="Suspended"/>
    <b v="1"/>
    <n v="117"/>
    <s v="Delhi"/>
    <n v="1"/>
    <n v="3"/>
    <n v="1550"/>
    <x v="2"/>
    <s v="Not an Outliers"/>
  </r>
  <r>
    <d v="2024-04-05T00:00:00"/>
    <x v="14"/>
    <x v="4"/>
    <x v="3"/>
    <n v="2520"/>
    <b v="0"/>
    <s v="Stormy"/>
    <x v="0"/>
    <s v="Wet"/>
    <s v="18-25"/>
    <n v="1"/>
    <s v="High"/>
    <s v="Learner"/>
    <b v="0"/>
    <n v="50"/>
    <s v="Uttar Pradesh"/>
    <n v="8"/>
    <n v="2"/>
    <n v="1306"/>
    <x v="0"/>
    <s v="Not an Outliers"/>
  </r>
  <r>
    <d v="2024-04-06T00:00:00"/>
    <x v="7"/>
    <x v="1"/>
    <x v="3"/>
    <n v="2595"/>
    <b v="0"/>
    <s v="Cloudy"/>
    <x v="0"/>
    <s v="Under Construction"/>
    <s v="50+"/>
    <n v="4"/>
    <s v="High"/>
    <s v="Suspended"/>
    <b v="1"/>
    <n v="27"/>
    <s v="Haryana"/>
    <n v="7"/>
    <n v="3"/>
    <n v="568"/>
    <x v="1"/>
    <s v="Not an Outliers"/>
  </r>
  <r>
    <d v="2024-04-06T00:00:00"/>
    <x v="8"/>
    <x v="2"/>
    <x v="5"/>
    <n v="6172"/>
    <b v="0"/>
    <s v="Foggy"/>
    <x v="3"/>
    <s v="Slippery"/>
    <s v="50+"/>
    <n v="5"/>
    <s v="Medium"/>
    <s v="Expired"/>
    <b v="0"/>
    <n v="86"/>
    <s v="Haryana"/>
    <n v="7"/>
    <n v="3"/>
    <n v="3519"/>
    <x v="1"/>
    <s v="Not an Outliers"/>
  </r>
  <r>
    <d v="2024-04-06T00:00:00"/>
    <x v="8"/>
    <x v="0"/>
    <x v="5"/>
    <n v="3488"/>
    <b v="0"/>
    <s v="Rainy"/>
    <x v="1"/>
    <s v="Wet"/>
    <s v="50+"/>
    <n v="2"/>
    <s v="Low"/>
    <s v="Valid"/>
    <b v="1"/>
    <n v="55"/>
    <s v="Uttar Pradesh"/>
    <n v="2"/>
    <n v="2"/>
    <n v="1899"/>
    <x v="1"/>
    <s v="Not an Outliers"/>
  </r>
  <r>
    <d v="2024-04-07T00:00:00"/>
    <x v="13"/>
    <x v="3"/>
    <x v="2"/>
    <n v="3161"/>
    <b v="1"/>
    <s v="Foggy"/>
    <x v="1"/>
    <s v="Dry"/>
    <s v="36-50"/>
    <n v="5"/>
    <s v="Medium"/>
    <s v="Expired"/>
    <b v="0"/>
    <n v="12"/>
    <s v="Delhi"/>
    <n v="9"/>
    <n v="1"/>
    <n v="3737"/>
    <x v="1"/>
    <s v="Not an Outliers"/>
  </r>
  <r>
    <d v="2024-04-07T00:00:00"/>
    <x v="11"/>
    <x v="2"/>
    <x v="1"/>
    <n v="1000"/>
    <b v="0"/>
    <s v="Cloudy"/>
    <x v="0"/>
    <s v="Wet"/>
    <s v="36-50"/>
    <n v="5"/>
    <s v="Medium"/>
    <s v="Valid"/>
    <b v="0"/>
    <n v="8"/>
    <s v="Delhi"/>
    <n v="5"/>
    <n v="2"/>
    <n v="4001"/>
    <x v="2"/>
    <s v="Not an Outliers"/>
  </r>
  <r>
    <d v="2024-04-07T00:00:00"/>
    <x v="0"/>
    <x v="0"/>
    <x v="5"/>
    <n v="6115"/>
    <b v="0"/>
    <s v="Rainy"/>
    <x v="2"/>
    <s v="Under Construction"/>
    <s v="18-25"/>
    <n v="3"/>
    <s v="High"/>
    <s v="Suspended"/>
    <b v="0"/>
    <n v="74"/>
    <s v="Punjab"/>
    <n v="2"/>
    <n v="3"/>
    <n v="1380"/>
    <x v="2"/>
    <s v="Not an Outliers"/>
  </r>
  <r>
    <d v="2024-04-07T00:00:00"/>
    <x v="5"/>
    <x v="3"/>
    <x v="1"/>
    <n v="1000"/>
    <b v="0"/>
    <s v="Clear"/>
    <x v="2"/>
    <s v="Slippery"/>
    <s v="18-25"/>
    <n v="1"/>
    <s v="Medium"/>
    <s v="Suspended"/>
    <b v="1"/>
    <n v="70"/>
    <s v="Haryana"/>
    <n v="4"/>
    <n v="2"/>
    <n v="3842"/>
    <x v="1"/>
    <s v="Not an Outliers"/>
  </r>
  <r>
    <d v="2024-04-07T00:00:00"/>
    <x v="13"/>
    <x v="1"/>
    <x v="4"/>
    <n v="6344"/>
    <b v="0"/>
    <s v="Stormy"/>
    <x v="2"/>
    <s v="Dry"/>
    <s v="26-35"/>
    <n v="2"/>
    <s v="High"/>
    <s v="Expired"/>
    <b v="0"/>
    <n v="29"/>
    <s v="Delhi"/>
    <n v="10"/>
    <n v="3"/>
    <n v="4027"/>
    <x v="1"/>
    <s v="Not an Outliers"/>
  </r>
  <r>
    <d v="2024-04-08T00:00:00"/>
    <x v="6"/>
    <x v="2"/>
    <x v="4"/>
    <n v="5407"/>
    <b v="0"/>
    <s v="Cloudy"/>
    <x v="2"/>
    <s v="Wet"/>
    <s v="50+"/>
    <n v="1"/>
    <s v="Medium"/>
    <s v="Expired"/>
    <b v="0"/>
    <n v="12"/>
    <s v="Punjab"/>
    <n v="4"/>
    <n v="1"/>
    <n v="4023"/>
    <x v="0"/>
    <s v="Not an Outliers"/>
  </r>
  <r>
    <d v="2024-04-08T00:00:00"/>
    <x v="11"/>
    <x v="4"/>
    <x v="3"/>
    <n v="3752"/>
    <b v="0"/>
    <s v="Cloudy"/>
    <x v="3"/>
    <s v="Dry"/>
    <s v="50+"/>
    <n v="0"/>
    <s v="Medium"/>
    <s v="Learner"/>
    <b v="1"/>
    <n v="28"/>
    <s v="Punjab"/>
    <n v="4"/>
    <n v="1"/>
    <n v="1920"/>
    <x v="2"/>
    <s v="Not an Outliers"/>
  </r>
  <r>
    <d v="2024-04-08T00:00:00"/>
    <x v="11"/>
    <x v="4"/>
    <x v="1"/>
    <n v="1000"/>
    <b v="1"/>
    <s v="Cloudy"/>
    <x v="0"/>
    <s v="Dry"/>
    <s v="26-35"/>
    <n v="5"/>
    <s v="Low"/>
    <s v="Learner"/>
    <b v="1"/>
    <n v="41"/>
    <s v="Punjab"/>
    <n v="9"/>
    <n v="2"/>
    <n v="3283"/>
    <x v="2"/>
    <s v="Not an Outliers"/>
  </r>
  <r>
    <d v="2024-04-08T00:00:00"/>
    <x v="14"/>
    <x v="4"/>
    <x v="2"/>
    <n v="2447"/>
    <b v="1"/>
    <s v="Clear"/>
    <x v="3"/>
    <s v="Slippery"/>
    <s v="26-35"/>
    <n v="0"/>
    <s v="High"/>
    <s v="Suspended"/>
    <b v="0"/>
    <n v="9"/>
    <s v="Uttar Pradesh"/>
    <n v="9"/>
    <n v="3"/>
    <n v="827"/>
    <x v="0"/>
    <s v="Not an Outliers"/>
  </r>
  <r>
    <d v="2024-04-10T00:00:00"/>
    <x v="11"/>
    <x v="3"/>
    <x v="4"/>
    <n v="8389"/>
    <b v="0"/>
    <s v="Stormy"/>
    <x v="2"/>
    <s v="Dry"/>
    <s v="36-50"/>
    <n v="4"/>
    <s v="Low"/>
    <s v="Expired"/>
    <b v="1"/>
    <n v="18"/>
    <s v="Haryana"/>
    <n v="6"/>
    <n v="1"/>
    <n v="4594"/>
    <x v="2"/>
    <s v="Not an Outliers"/>
  </r>
  <r>
    <d v="2024-04-11T00:00:00"/>
    <x v="12"/>
    <x v="3"/>
    <x v="5"/>
    <n v="3204"/>
    <b v="0"/>
    <s v="Clear"/>
    <x v="2"/>
    <s v="Wet"/>
    <s v="36-50"/>
    <n v="1"/>
    <s v="High"/>
    <s v="Expired"/>
    <b v="0"/>
    <n v="40"/>
    <s v="Rajasthan"/>
    <n v="8"/>
    <n v="2"/>
    <n v="2433"/>
    <x v="2"/>
    <s v="Not an Outliers"/>
  </r>
  <r>
    <d v="2024-04-11T00:00:00"/>
    <x v="3"/>
    <x v="0"/>
    <x v="0"/>
    <n v="1000"/>
    <b v="0"/>
    <s v="Stormy"/>
    <x v="2"/>
    <s v="Slippery"/>
    <s v="18-25"/>
    <n v="3"/>
    <s v="Medium"/>
    <s v="Learner"/>
    <b v="0"/>
    <n v="43"/>
    <s v="Delhi"/>
    <n v="4"/>
    <n v="1"/>
    <n v="2835"/>
    <x v="2"/>
    <s v="Not an Outliers"/>
  </r>
  <r>
    <d v="2024-04-11T00:00:00"/>
    <x v="13"/>
    <x v="4"/>
    <x v="4"/>
    <n v="6696"/>
    <b v="1"/>
    <s v="Stormy"/>
    <x v="0"/>
    <s v="Wet"/>
    <s v="18-25"/>
    <n v="2"/>
    <s v="High"/>
    <s v="Suspended"/>
    <b v="0"/>
    <n v="119"/>
    <s v="Haryana"/>
    <n v="6"/>
    <n v="3"/>
    <n v="4419"/>
    <x v="1"/>
    <s v="Not an Outliers"/>
  </r>
  <r>
    <d v="2024-04-13T00:00:00"/>
    <x v="8"/>
    <x v="2"/>
    <x v="3"/>
    <n v="3391"/>
    <b v="1"/>
    <s v="Stormy"/>
    <x v="1"/>
    <s v="Slippery"/>
    <s v="26-35"/>
    <n v="4"/>
    <s v="Low"/>
    <s v="Valid"/>
    <b v="1"/>
    <n v="12"/>
    <s v="Rajasthan"/>
    <n v="3"/>
    <n v="2"/>
    <n v="655"/>
    <x v="0"/>
    <s v="Not an Outliers"/>
  </r>
  <r>
    <d v="2024-04-13T00:00:00"/>
    <x v="6"/>
    <x v="4"/>
    <x v="2"/>
    <n v="4207"/>
    <b v="1"/>
    <s v="Foggy"/>
    <x v="3"/>
    <s v="Wet"/>
    <s v="26-35"/>
    <n v="3"/>
    <s v="High"/>
    <s v="Valid"/>
    <b v="0"/>
    <n v="88"/>
    <s v="Delhi"/>
    <n v="9"/>
    <n v="3"/>
    <n v="988"/>
    <x v="1"/>
    <s v="Not an Outliers"/>
  </r>
  <r>
    <d v="2024-04-14T00:00:00"/>
    <x v="1"/>
    <x v="1"/>
    <x v="5"/>
    <n v="6756"/>
    <b v="1"/>
    <s v="Cloudy"/>
    <x v="2"/>
    <s v="Under Construction"/>
    <s v="36-50"/>
    <n v="0"/>
    <s v="High"/>
    <s v="Expired"/>
    <b v="1"/>
    <n v="98"/>
    <s v="Rajasthan"/>
    <n v="7"/>
    <n v="3"/>
    <n v="3864"/>
    <x v="0"/>
    <s v="Not an Outliers"/>
  </r>
  <r>
    <d v="2024-04-15T00:00:00"/>
    <x v="6"/>
    <x v="2"/>
    <x v="2"/>
    <n v="1899"/>
    <b v="0"/>
    <s v="Cloudy"/>
    <x v="0"/>
    <s v="Slippery"/>
    <s v="26-35"/>
    <n v="4"/>
    <s v="Medium"/>
    <s v="Learner"/>
    <b v="0"/>
    <n v="28"/>
    <s v="Rajasthan"/>
    <n v="10"/>
    <n v="3"/>
    <n v="768"/>
    <x v="2"/>
    <s v="Not an Outliers"/>
  </r>
  <r>
    <d v="2024-04-16T00:00:00"/>
    <x v="13"/>
    <x v="2"/>
    <x v="3"/>
    <n v="2433"/>
    <b v="0"/>
    <s v="Clear"/>
    <x v="0"/>
    <s v="Wet"/>
    <s v="36-50"/>
    <n v="1"/>
    <s v="High"/>
    <s v="Suspended"/>
    <b v="1"/>
    <n v="59"/>
    <s v="Delhi"/>
    <n v="5"/>
    <n v="1"/>
    <n v="1479"/>
    <x v="1"/>
    <s v="Not an Outliers"/>
  </r>
  <r>
    <d v="2024-04-16T00:00:00"/>
    <x v="3"/>
    <x v="0"/>
    <x v="3"/>
    <n v="4507"/>
    <b v="0"/>
    <s v="Stormy"/>
    <x v="2"/>
    <s v="Slippery"/>
    <s v="26-35"/>
    <n v="2"/>
    <s v="Medium"/>
    <s v="Expired"/>
    <b v="0"/>
    <n v="46"/>
    <s v="Punjab"/>
    <n v="10"/>
    <n v="1"/>
    <n v="519"/>
    <x v="0"/>
    <s v="Not an Outliers"/>
  </r>
  <r>
    <d v="2024-04-16T00:00:00"/>
    <x v="10"/>
    <x v="0"/>
    <x v="2"/>
    <n v="3781"/>
    <b v="0"/>
    <s v="Foggy"/>
    <x v="3"/>
    <s v="Slippery"/>
    <s v="50+"/>
    <n v="4"/>
    <s v="Low"/>
    <s v="Learner"/>
    <b v="0"/>
    <n v="87"/>
    <s v="Rajasthan"/>
    <n v="3"/>
    <n v="2"/>
    <n v="2163"/>
    <x v="1"/>
    <s v="Not an Outliers"/>
  </r>
  <r>
    <d v="2024-04-17T00:00:00"/>
    <x v="1"/>
    <x v="4"/>
    <x v="1"/>
    <n v="1000"/>
    <b v="0"/>
    <s v="Cloudy"/>
    <x v="0"/>
    <s v="Under Construction"/>
    <s v="36-50"/>
    <n v="0"/>
    <s v="High"/>
    <s v="Suspended"/>
    <b v="0"/>
    <n v="70"/>
    <s v="Punjab"/>
    <n v="10"/>
    <n v="1"/>
    <n v="1495"/>
    <x v="0"/>
    <s v="Not an Outliers"/>
  </r>
  <r>
    <d v="2024-04-17T00:00:00"/>
    <x v="3"/>
    <x v="3"/>
    <x v="5"/>
    <n v="6476"/>
    <b v="1"/>
    <s v="Stormy"/>
    <x v="3"/>
    <s v="Under Construction"/>
    <s v="18-25"/>
    <n v="4"/>
    <s v="Medium"/>
    <s v="Valid"/>
    <b v="1"/>
    <n v="95"/>
    <s v="Haryana"/>
    <n v="1"/>
    <n v="2"/>
    <n v="2242"/>
    <x v="2"/>
    <s v="Not an Outliers"/>
  </r>
  <r>
    <d v="2024-04-17T00:00:00"/>
    <x v="13"/>
    <x v="4"/>
    <x v="5"/>
    <n v="7712"/>
    <b v="0"/>
    <s v="Clear"/>
    <x v="1"/>
    <s v="Wet"/>
    <s v="36-50"/>
    <n v="3"/>
    <s v="High"/>
    <s v="Expired"/>
    <b v="0"/>
    <n v="110"/>
    <s v="Punjab"/>
    <n v="10"/>
    <n v="1"/>
    <n v="1048"/>
    <x v="2"/>
    <s v="Not an Outliers"/>
  </r>
  <r>
    <d v="2024-04-18T00:00:00"/>
    <x v="2"/>
    <x v="1"/>
    <x v="2"/>
    <n v="1385"/>
    <b v="1"/>
    <s v="Foggy"/>
    <x v="2"/>
    <s v="Wet"/>
    <s v="18-25"/>
    <n v="5"/>
    <s v="Medium"/>
    <s v="Learner"/>
    <b v="0"/>
    <n v="11"/>
    <s v="Haryana"/>
    <n v="6"/>
    <n v="1"/>
    <n v="2577"/>
    <x v="2"/>
    <s v="Not an Outliers"/>
  </r>
  <r>
    <d v="2024-04-18T00:00:00"/>
    <x v="1"/>
    <x v="2"/>
    <x v="2"/>
    <n v="4260"/>
    <b v="1"/>
    <s v="Cloudy"/>
    <x v="0"/>
    <s v="Dry"/>
    <s v="18-25"/>
    <n v="0"/>
    <s v="High"/>
    <s v="Suspended"/>
    <b v="1"/>
    <n v="105"/>
    <s v="Delhi"/>
    <n v="1"/>
    <n v="1"/>
    <n v="4455"/>
    <x v="2"/>
    <s v="Not an Outliers"/>
  </r>
  <r>
    <d v="2024-04-20T00:00:00"/>
    <x v="3"/>
    <x v="2"/>
    <x v="1"/>
    <n v="1000"/>
    <b v="0"/>
    <s v="Cloudy"/>
    <x v="0"/>
    <s v="Dry"/>
    <s v="36-50"/>
    <n v="3"/>
    <s v="Medium"/>
    <s v="Learner"/>
    <b v="0"/>
    <n v="50"/>
    <s v="Rajasthan"/>
    <n v="1"/>
    <n v="1"/>
    <n v="4727"/>
    <x v="2"/>
    <s v="Not an Outliers"/>
  </r>
  <r>
    <d v="2024-04-20T00:00:00"/>
    <x v="5"/>
    <x v="1"/>
    <x v="5"/>
    <n v="7565"/>
    <b v="1"/>
    <s v="Foggy"/>
    <x v="0"/>
    <s v="Slippery"/>
    <s v="50+"/>
    <n v="2"/>
    <s v="Low"/>
    <s v="Learner"/>
    <b v="1"/>
    <n v="63"/>
    <s v="Haryana"/>
    <n v="4"/>
    <n v="3"/>
    <n v="2251"/>
    <x v="0"/>
    <s v="Not an Outliers"/>
  </r>
  <r>
    <d v="2024-04-21T00:00:00"/>
    <x v="9"/>
    <x v="2"/>
    <x v="3"/>
    <n v="1763"/>
    <b v="0"/>
    <s v="Rainy"/>
    <x v="1"/>
    <s v="Slippery"/>
    <s v="18-25"/>
    <n v="1"/>
    <s v="Low"/>
    <s v="Expired"/>
    <b v="0"/>
    <n v="64"/>
    <s v="Rajasthan"/>
    <n v="3"/>
    <n v="1"/>
    <n v="2871"/>
    <x v="0"/>
    <s v="Not an Outliers"/>
  </r>
  <r>
    <d v="2024-04-21T00:00:00"/>
    <x v="13"/>
    <x v="3"/>
    <x v="1"/>
    <n v="1000"/>
    <b v="0"/>
    <s v="Cloudy"/>
    <x v="1"/>
    <s v="Slippery"/>
    <s v="50+"/>
    <n v="1"/>
    <s v="Medium"/>
    <s v="Valid"/>
    <b v="1"/>
    <n v="43"/>
    <s v="Delhi"/>
    <n v="6"/>
    <n v="1"/>
    <n v="3059"/>
    <x v="2"/>
    <s v="Not an Outliers"/>
  </r>
  <r>
    <d v="2024-04-21T00:00:00"/>
    <x v="9"/>
    <x v="3"/>
    <x v="2"/>
    <n v="2953"/>
    <b v="1"/>
    <s v="Rainy"/>
    <x v="1"/>
    <s v="Slippery"/>
    <s v="18-25"/>
    <n v="2"/>
    <s v="Low"/>
    <s v="Valid"/>
    <b v="1"/>
    <n v="67"/>
    <s v="Delhi"/>
    <n v="9"/>
    <n v="2"/>
    <n v="4842"/>
    <x v="2"/>
    <s v="Not an Outliers"/>
  </r>
  <r>
    <d v="2024-04-22T00:00:00"/>
    <x v="6"/>
    <x v="4"/>
    <x v="1"/>
    <n v="1000"/>
    <b v="1"/>
    <s v="Foggy"/>
    <x v="1"/>
    <s v="Under Construction"/>
    <s v="26-35"/>
    <n v="4"/>
    <s v="Medium"/>
    <s v="Suspended"/>
    <b v="0"/>
    <n v="109"/>
    <s v="Punjab"/>
    <n v="7"/>
    <n v="3"/>
    <n v="1804"/>
    <x v="0"/>
    <s v="Not an Outliers"/>
  </r>
  <r>
    <d v="2024-04-22T00:00:00"/>
    <x v="8"/>
    <x v="3"/>
    <x v="2"/>
    <n v="1787"/>
    <b v="1"/>
    <s v="Foggy"/>
    <x v="0"/>
    <s v="Slippery"/>
    <s v="26-35"/>
    <n v="1"/>
    <s v="High"/>
    <s v="Learner"/>
    <b v="0"/>
    <n v="56"/>
    <s v="Punjab"/>
    <n v="6"/>
    <n v="2"/>
    <n v="915"/>
    <x v="1"/>
    <s v="Not an Outliers"/>
  </r>
  <r>
    <d v="2024-04-23T00:00:00"/>
    <x v="1"/>
    <x v="1"/>
    <x v="3"/>
    <n v="3804"/>
    <b v="0"/>
    <s v="Rainy"/>
    <x v="2"/>
    <s v="Dry"/>
    <s v="50+"/>
    <n v="0"/>
    <s v="Medium"/>
    <s v="Learner"/>
    <b v="1"/>
    <n v="118"/>
    <s v="Delhi"/>
    <n v="6"/>
    <n v="3"/>
    <n v="2326"/>
    <x v="1"/>
    <s v="Not an Outliers"/>
  </r>
  <r>
    <d v="2024-04-23T00:00:00"/>
    <x v="0"/>
    <x v="2"/>
    <x v="5"/>
    <n v="6672"/>
    <b v="1"/>
    <s v="Clear"/>
    <x v="0"/>
    <s v="Slippery"/>
    <s v="36-50"/>
    <n v="5"/>
    <s v="Medium"/>
    <s v="Learner"/>
    <b v="0"/>
    <n v="4"/>
    <s v="Rajasthan"/>
    <n v="4"/>
    <n v="2"/>
    <n v="1429"/>
    <x v="1"/>
    <s v="Not an Outliers"/>
  </r>
  <r>
    <d v="2024-04-23T00:00:00"/>
    <x v="13"/>
    <x v="4"/>
    <x v="4"/>
    <n v="8427"/>
    <b v="0"/>
    <s v="Foggy"/>
    <x v="1"/>
    <s v="Wet"/>
    <s v="50+"/>
    <n v="4"/>
    <s v="Medium"/>
    <s v="Learner"/>
    <b v="0"/>
    <n v="48"/>
    <s v="Rajasthan"/>
    <n v="4"/>
    <n v="2"/>
    <n v="2039"/>
    <x v="0"/>
    <s v="Not an Outliers"/>
  </r>
  <r>
    <d v="2024-04-23T00:00:00"/>
    <x v="6"/>
    <x v="1"/>
    <x v="4"/>
    <n v="8838"/>
    <b v="1"/>
    <s v="Clear"/>
    <x v="1"/>
    <s v="Under Construction"/>
    <s v="36-50"/>
    <n v="3"/>
    <s v="High"/>
    <s v="Suspended"/>
    <b v="0"/>
    <n v="76"/>
    <s v="Haryana"/>
    <n v="10"/>
    <n v="2"/>
    <n v="1429"/>
    <x v="2"/>
    <s v="Not an Outliers"/>
  </r>
  <r>
    <d v="2024-04-23T00:00:00"/>
    <x v="3"/>
    <x v="3"/>
    <x v="2"/>
    <n v="2857"/>
    <b v="0"/>
    <s v="Clear"/>
    <x v="0"/>
    <s v="Slippery"/>
    <s v="26-35"/>
    <n v="5"/>
    <s v="Low"/>
    <s v="Expired"/>
    <b v="1"/>
    <n v="54"/>
    <s v="Haryana"/>
    <n v="5"/>
    <n v="3"/>
    <n v="2542"/>
    <x v="1"/>
    <s v="Not an Outliers"/>
  </r>
  <r>
    <d v="2024-04-24T00:00:00"/>
    <x v="11"/>
    <x v="1"/>
    <x v="4"/>
    <n v="6212"/>
    <b v="0"/>
    <s v="Foggy"/>
    <x v="1"/>
    <s v="Dry"/>
    <s v="50+"/>
    <n v="1"/>
    <s v="Low"/>
    <s v="Expired"/>
    <b v="0"/>
    <n v="34"/>
    <s v="Delhi"/>
    <n v="8"/>
    <n v="1"/>
    <n v="4111"/>
    <x v="2"/>
    <s v="Not an Outliers"/>
  </r>
  <r>
    <d v="2024-04-24T00:00:00"/>
    <x v="13"/>
    <x v="0"/>
    <x v="3"/>
    <n v="1543"/>
    <b v="0"/>
    <s v="Stormy"/>
    <x v="2"/>
    <s v="Dry"/>
    <s v="50+"/>
    <n v="2"/>
    <s v="Low"/>
    <s v="Suspended"/>
    <b v="0"/>
    <n v="45"/>
    <s v="Punjab"/>
    <n v="4"/>
    <n v="1"/>
    <n v="1715"/>
    <x v="2"/>
    <s v="Not an Outliers"/>
  </r>
  <r>
    <d v="2024-04-24T00:00:00"/>
    <x v="6"/>
    <x v="1"/>
    <x v="5"/>
    <n v="7005"/>
    <b v="1"/>
    <s v="Foggy"/>
    <x v="1"/>
    <s v="Under Construction"/>
    <s v="50+"/>
    <n v="2"/>
    <s v="Low"/>
    <s v="Suspended"/>
    <b v="0"/>
    <n v="98"/>
    <s v="Punjab"/>
    <n v="1"/>
    <n v="3"/>
    <n v="2838"/>
    <x v="1"/>
    <s v="Not an Outliers"/>
  </r>
  <r>
    <d v="2024-04-26T00:00:00"/>
    <x v="6"/>
    <x v="3"/>
    <x v="1"/>
    <n v="1000"/>
    <b v="0"/>
    <s v="Stormy"/>
    <x v="0"/>
    <s v="Slippery"/>
    <s v="50+"/>
    <n v="2"/>
    <s v="Low"/>
    <s v="Expired"/>
    <b v="1"/>
    <n v="75"/>
    <s v="Uttar Pradesh"/>
    <n v="1"/>
    <n v="1"/>
    <n v="1786"/>
    <x v="1"/>
    <s v="Not an Outliers"/>
  </r>
  <r>
    <d v="2024-04-26T00:00:00"/>
    <x v="1"/>
    <x v="4"/>
    <x v="5"/>
    <n v="5418"/>
    <b v="1"/>
    <s v="Clear"/>
    <x v="0"/>
    <s v="Under Construction"/>
    <s v="36-50"/>
    <n v="0"/>
    <s v="High"/>
    <s v="Learner"/>
    <b v="0"/>
    <n v="60"/>
    <s v="Haryana"/>
    <n v="10"/>
    <n v="1"/>
    <n v="3262"/>
    <x v="1"/>
    <s v="Not an Outliers"/>
  </r>
  <r>
    <d v="2024-04-27T00:00:00"/>
    <x v="2"/>
    <x v="2"/>
    <x v="1"/>
    <n v="1000"/>
    <b v="0"/>
    <s v="Stormy"/>
    <x v="3"/>
    <s v="Wet"/>
    <s v="26-35"/>
    <n v="3"/>
    <s v="High"/>
    <s v="Learner"/>
    <b v="1"/>
    <n v="0"/>
    <s v="Haryana"/>
    <n v="6"/>
    <n v="1"/>
    <n v="4687"/>
    <x v="0"/>
    <s v="Not an Outliers"/>
  </r>
  <r>
    <d v="2024-04-27T00:00:00"/>
    <x v="14"/>
    <x v="0"/>
    <x v="5"/>
    <n v="2950"/>
    <b v="0"/>
    <s v="Cloudy"/>
    <x v="0"/>
    <s v="Wet"/>
    <s v="26-35"/>
    <n v="0"/>
    <s v="High"/>
    <s v="Expired"/>
    <b v="1"/>
    <n v="101"/>
    <s v="Haryana"/>
    <n v="4"/>
    <n v="2"/>
    <n v="1288"/>
    <x v="0"/>
    <s v="Not an Outliers"/>
  </r>
  <r>
    <d v="2024-04-28T00:00:00"/>
    <x v="13"/>
    <x v="3"/>
    <x v="2"/>
    <n v="3053"/>
    <b v="0"/>
    <s v="Clear"/>
    <x v="1"/>
    <s v="Under Construction"/>
    <s v="26-35"/>
    <n v="3"/>
    <s v="Low"/>
    <s v="Expired"/>
    <b v="0"/>
    <n v="109"/>
    <s v="Haryana"/>
    <n v="7"/>
    <n v="3"/>
    <n v="2044"/>
    <x v="0"/>
    <s v="Not an Outliers"/>
  </r>
  <r>
    <d v="2024-04-28T00:00:00"/>
    <x v="13"/>
    <x v="0"/>
    <x v="2"/>
    <n v="4480"/>
    <b v="0"/>
    <s v="Stormy"/>
    <x v="1"/>
    <s v="Slippery"/>
    <s v="36-50"/>
    <n v="4"/>
    <s v="Low"/>
    <s v="Valid"/>
    <b v="0"/>
    <n v="20"/>
    <s v="Uttar Pradesh"/>
    <n v="7"/>
    <n v="1"/>
    <n v="2960"/>
    <x v="1"/>
    <s v="Not an Outliers"/>
  </r>
  <r>
    <d v="2024-04-28T00:00:00"/>
    <x v="10"/>
    <x v="4"/>
    <x v="3"/>
    <n v="2503"/>
    <b v="1"/>
    <s v="Clear"/>
    <x v="1"/>
    <s v="Under Construction"/>
    <s v="18-25"/>
    <n v="3"/>
    <s v="Low"/>
    <s v="Learner"/>
    <b v="1"/>
    <n v="40"/>
    <s v="Punjab"/>
    <n v="1"/>
    <n v="1"/>
    <n v="3223"/>
    <x v="2"/>
    <s v="Not an Outliers"/>
  </r>
  <r>
    <d v="2024-04-28T00:00:00"/>
    <x v="12"/>
    <x v="2"/>
    <x v="4"/>
    <n v="6798"/>
    <b v="0"/>
    <s v="Foggy"/>
    <x v="3"/>
    <s v="Wet"/>
    <s v="26-35"/>
    <n v="10"/>
    <s v="Medium"/>
    <s v="Valid"/>
    <b v="0"/>
    <n v="60"/>
    <s v="Punjab"/>
    <n v="10"/>
    <n v="2"/>
    <n v="4098"/>
    <x v="1"/>
    <s v="Not an Outliers"/>
  </r>
  <r>
    <d v="2024-05-01T00:00:00"/>
    <x v="10"/>
    <x v="2"/>
    <x v="5"/>
    <n v="5402"/>
    <b v="1"/>
    <s v="Foggy"/>
    <x v="0"/>
    <s v="Dry"/>
    <s v="50+"/>
    <n v="3"/>
    <s v="High"/>
    <s v="Suspended"/>
    <b v="1"/>
    <n v="119"/>
    <s v="Punjab"/>
    <n v="1"/>
    <n v="2"/>
    <n v="2384"/>
    <x v="1"/>
    <s v="Not an Outliers"/>
  </r>
  <r>
    <d v="2024-05-01T00:00:00"/>
    <x v="0"/>
    <x v="3"/>
    <x v="4"/>
    <n v="7385"/>
    <b v="1"/>
    <s v="Rainy"/>
    <x v="1"/>
    <s v="Slippery"/>
    <s v="50+"/>
    <n v="0"/>
    <s v="High"/>
    <s v="Valid"/>
    <b v="0"/>
    <n v="51"/>
    <s v="Rajasthan"/>
    <n v="4"/>
    <n v="2"/>
    <n v="2202"/>
    <x v="1"/>
    <s v="Not an Outliers"/>
  </r>
  <r>
    <d v="2024-05-01T00:00:00"/>
    <x v="1"/>
    <x v="0"/>
    <x v="0"/>
    <n v="1000"/>
    <b v="0"/>
    <s v="Cloudy"/>
    <x v="3"/>
    <s v="Dry"/>
    <s v="18-25"/>
    <n v="0"/>
    <s v="Low"/>
    <s v="Learner"/>
    <b v="1"/>
    <n v="47"/>
    <s v="Delhi"/>
    <n v="9"/>
    <n v="3"/>
    <n v="596"/>
    <x v="1"/>
    <s v="Not an Outliers"/>
  </r>
  <r>
    <d v="2024-05-02T00:00:00"/>
    <x v="7"/>
    <x v="1"/>
    <x v="4"/>
    <n v="6168"/>
    <b v="0"/>
    <s v="Foggy"/>
    <x v="3"/>
    <s v="Slippery"/>
    <s v="36-50"/>
    <n v="3"/>
    <s v="Low"/>
    <s v="Valid"/>
    <b v="1"/>
    <n v="92"/>
    <s v="Rajasthan"/>
    <n v="1"/>
    <n v="2"/>
    <n v="4747"/>
    <x v="0"/>
    <s v="Not an Outliers"/>
  </r>
  <r>
    <d v="2024-05-02T00:00:00"/>
    <x v="11"/>
    <x v="0"/>
    <x v="2"/>
    <n v="2272"/>
    <b v="0"/>
    <s v="Cloudy"/>
    <x v="3"/>
    <s v="Wet"/>
    <s v="50+"/>
    <n v="0"/>
    <s v="High"/>
    <s v="Learner"/>
    <b v="1"/>
    <n v="112"/>
    <s v="Uttar Pradesh"/>
    <n v="4"/>
    <n v="1"/>
    <n v="548"/>
    <x v="1"/>
    <s v="Not an Outliers"/>
  </r>
  <r>
    <d v="2024-05-02T00:00:00"/>
    <x v="2"/>
    <x v="1"/>
    <x v="1"/>
    <n v="1000"/>
    <b v="0"/>
    <s v="Rainy"/>
    <x v="1"/>
    <s v="Wet"/>
    <s v="18-25"/>
    <n v="0"/>
    <s v="Medium"/>
    <s v="Expired"/>
    <b v="1"/>
    <n v="101"/>
    <s v="Rajasthan"/>
    <n v="9"/>
    <n v="1"/>
    <n v="3048"/>
    <x v="0"/>
    <s v="Not an Outliers"/>
  </r>
  <r>
    <d v="2024-05-02T00:00:00"/>
    <x v="5"/>
    <x v="4"/>
    <x v="5"/>
    <n v="4870"/>
    <b v="1"/>
    <s v="Rainy"/>
    <x v="1"/>
    <s v="Under Construction"/>
    <s v="26-35"/>
    <n v="1"/>
    <s v="Medium"/>
    <s v="Learner"/>
    <b v="0"/>
    <n v="65"/>
    <s v="Delhi"/>
    <n v="9"/>
    <n v="3"/>
    <n v="2826"/>
    <x v="2"/>
    <s v="Not an Outliers"/>
  </r>
  <r>
    <d v="2024-05-03T00:00:00"/>
    <x v="5"/>
    <x v="3"/>
    <x v="3"/>
    <n v="2256"/>
    <b v="0"/>
    <s v="Rainy"/>
    <x v="3"/>
    <s v="Under Construction"/>
    <s v="36-50"/>
    <n v="4"/>
    <s v="Medium"/>
    <s v="Learner"/>
    <b v="0"/>
    <n v="56"/>
    <s v="Punjab"/>
    <n v="6"/>
    <n v="1"/>
    <n v="1281"/>
    <x v="1"/>
    <s v="Not an Outliers"/>
  </r>
  <r>
    <d v="2024-05-03T00:00:00"/>
    <x v="6"/>
    <x v="1"/>
    <x v="4"/>
    <n v="8621"/>
    <b v="0"/>
    <s v="Rainy"/>
    <x v="1"/>
    <s v="Slippery"/>
    <s v="26-35"/>
    <n v="3"/>
    <s v="High"/>
    <s v="Suspended"/>
    <b v="0"/>
    <n v="42"/>
    <s v="Rajasthan"/>
    <n v="6"/>
    <n v="1"/>
    <n v="3300"/>
    <x v="1"/>
    <s v="Not an Outliers"/>
  </r>
  <r>
    <d v="2024-05-03T00:00:00"/>
    <x v="6"/>
    <x v="4"/>
    <x v="2"/>
    <n v="3167"/>
    <b v="1"/>
    <s v="Stormy"/>
    <x v="2"/>
    <s v="Dry"/>
    <s v="36-50"/>
    <n v="1"/>
    <s v="Low"/>
    <s v="Expired"/>
    <b v="1"/>
    <n v="22"/>
    <s v="Punjab"/>
    <n v="5"/>
    <n v="1"/>
    <n v="4700"/>
    <x v="0"/>
    <s v="Not an Outliers"/>
  </r>
  <r>
    <d v="2024-05-03T00:00:00"/>
    <x v="2"/>
    <x v="3"/>
    <x v="5"/>
    <n v="7813"/>
    <b v="0"/>
    <s v="Cloudy"/>
    <x v="1"/>
    <s v="Dry"/>
    <s v="26-35"/>
    <n v="0"/>
    <s v="Low"/>
    <s v="Valid"/>
    <b v="0"/>
    <n v="87"/>
    <s v="Punjab"/>
    <n v="10"/>
    <n v="1"/>
    <n v="2793"/>
    <x v="0"/>
    <s v="Not an Outliers"/>
  </r>
  <r>
    <d v="2024-05-04T00:00:00"/>
    <x v="2"/>
    <x v="2"/>
    <x v="2"/>
    <n v="1926"/>
    <b v="1"/>
    <s v="Rainy"/>
    <x v="0"/>
    <s v="Under Construction"/>
    <s v="26-35"/>
    <n v="2"/>
    <s v="Medium"/>
    <s v="Valid"/>
    <b v="1"/>
    <n v="89"/>
    <s v="Uttar Pradesh"/>
    <n v="3"/>
    <n v="1"/>
    <n v="3532"/>
    <x v="0"/>
    <s v="Not an Outliers"/>
  </r>
  <r>
    <d v="2024-05-04T00:00:00"/>
    <x v="5"/>
    <x v="4"/>
    <x v="3"/>
    <n v="1518"/>
    <b v="0"/>
    <s v="Cloudy"/>
    <x v="2"/>
    <s v="Wet"/>
    <s v="26-35"/>
    <n v="4"/>
    <s v="Medium"/>
    <s v="Expired"/>
    <b v="0"/>
    <n v="69"/>
    <s v="Haryana"/>
    <n v="1"/>
    <n v="3"/>
    <n v="2457"/>
    <x v="1"/>
    <s v="Not an Outliers"/>
  </r>
  <r>
    <d v="2024-05-04T00:00:00"/>
    <x v="5"/>
    <x v="1"/>
    <x v="1"/>
    <n v="1000"/>
    <b v="0"/>
    <s v="Foggy"/>
    <x v="2"/>
    <s v="Wet"/>
    <s v="18-25"/>
    <n v="3"/>
    <s v="Medium"/>
    <s v="Learner"/>
    <b v="1"/>
    <n v="58"/>
    <s v="Delhi"/>
    <n v="6"/>
    <n v="1"/>
    <n v="4164"/>
    <x v="2"/>
    <s v="Not an Outliers"/>
  </r>
  <r>
    <d v="2024-05-05T00:00:00"/>
    <x v="1"/>
    <x v="1"/>
    <x v="2"/>
    <n v="4243"/>
    <b v="0"/>
    <s v="Cloudy"/>
    <x v="0"/>
    <s v="Slippery"/>
    <s v="18-25"/>
    <n v="5"/>
    <s v="High"/>
    <s v="Valid"/>
    <b v="0"/>
    <n v="24"/>
    <s v="Punjab"/>
    <n v="1"/>
    <n v="1"/>
    <n v="1004"/>
    <x v="2"/>
    <s v="Not an Outliers"/>
  </r>
  <r>
    <d v="2024-05-05T00:00:00"/>
    <x v="7"/>
    <x v="4"/>
    <x v="1"/>
    <n v="1000"/>
    <b v="1"/>
    <s v="Foggy"/>
    <x v="0"/>
    <s v="Wet"/>
    <s v="18-25"/>
    <n v="5"/>
    <s v="High"/>
    <s v="Suspended"/>
    <b v="1"/>
    <n v="15"/>
    <s v="Punjab"/>
    <n v="5"/>
    <n v="1"/>
    <n v="4223"/>
    <x v="0"/>
    <s v="Not an Outliers"/>
  </r>
  <r>
    <d v="2024-05-05T00:00:00"/>
    <x v="4"/>
    <x v="0"/>
    <x v="2"/>
    <n v="1083"/>
    <b v="1"/>
    <s v="Stormy"/>
    <x v="2"/>
    <s v="Under Construction"/>
    <s v="36-50"/>
    <n v="3"/>
    <s v="Low"/>
    <s v="Valid"/>
    <b v="0"/>
    <n v="101"/>
    <s v="Delhi"/>
    <n v="3"/>
    <n v="3"/>
    <n v="2523"/>
    <x v="0"/>
    <s v="Not an Outliers"/>
  </r>
  <r>
    <d v="2024-05-06T00:00:00"/>
    <x v="5"/>
    <x v="3"/>
    <x v="4"/>
    <n v="6867"/>
    <b v="1"/>
    <s v="Foggy"/>
    <x v="0"/>
    <s v="Wet"/>
    <s v="26-35"/>
    <n v="2"/>
    <s v="Low"/>
    <s v="Valid"/>
    <b v="1"/>
    <n v="20"/>
    <s v="Delhi"/>
    <n v="3"/>
    <n v="3"/>
    <n v="3766"/>
    <x v="0"/>
    <s v="Not an Outliers"/>
  </r>
  <r>
    <d v="2024-05-06T00:00:00"/>
    <x v="3"/>
    <x v="2"/>
    <x v="4"/>
    <n v="7670"/>
    <b v="0"/>
    <s v="Cloudy"/>
    <x v="0"/>
    <s v="Wet"/>
    <s v="36-50"/>
    <n v="3"/>
    <s v="High"/>
    <s v="Expired"/>
    <b v="0"/>
    <n v="50"/>
    <s v="Rajasthan"/>
    <n v="3"/>
    <n v="1"/>
    <n v="4324"/>
    <x v="0"/>
    <s v="Not an Outliers"/>
  </r>
  <r>
    <d v="2024-05-06T00:00:00"/>
    <x v="1"/>
    <x v="1"/>
    <x v="5"/>
    <n v="4876"/>
    <b v="0"/>
    <s v="Rainy"/>
    <x v="2"/>
    <s v="Wet"/>
    <s v="36-50"/>
    <n v="4"/>
    <s v="High"/>
    <s v="Valid"/>
    <b v="0"/>
    <n v="118"/>
    <s v="Uttar Pradesh"/>
    <n v="4"/>
    <n v="3"/>
    <n v="2372"/>
    <x v="2"/>
    <s v="Not an Outliers"/>
  </r>
  <r>
    <d v="2024-05-07T00:00:00"/>
    <x v="11"/>
    <x v="1"/>
    <x v="4"/>
    <n v="6500"/>
    <b v="0"/>
    <s v="Foggy"/>
    <x v="3"/>
    <s v="Slippery"/>
    <s v="18-25"/>
    <n v="1"/>
    <s v="Medium"/>
    <s v="Valid"/>
    <b v="1"/>
    <n v="6"/>
    <s v="Punjab"/>
    <n v="1"/>
    <n v="3"/>
    <n v="2125"/>
    <x v="2"/>
    <s v="Not an Outliers"/>
  </r>
  <r>
    <d v="2024-05-07T00:00:00"/>
    <x v="12"/>
    <x v="0"/>
    <x v="5"/>
    <n v="4235"/>
    <b v="1"/>
    <s v="Clear"/>
    <x v="2"/>
    <s v="Wet"/>
    <s v="50+"/>
    <n v="3"/>
    <s v="Low"/>
    <s v="Valid"/>
    <b v="1"/>
    <n v="47"/>
    <s v="Rajasthan"/>
    <n v="7"/>
    <n v="3"/>
    <n v="654"/>
    <x v="2"/>
    <s v="Not an Outliers"/>
  </r>
  <r>
    <d v="2024-05-07T00:00:00"/>
    <x v="12"/>
    <x v="3"/>
    <x v="2"/>
    <n v="2257"/>
    <b v="1"/>
    <s v="Stormy"/>
    <x v="2"/>
    <s v="Dry"/>
    <s v="36-50"/>
    <n v="2"/>
    <s v="Medium"/>
    <s v="Suspended"/>
    <b v="1"/>
    <n v="29"/>
    <s v="Delhi"/>
    <n v="5"/>
    <n v="1"/>
    <n v="2539"/>
    <x v="1"/>
    <s v="Not an Outliers"/>
  </r>
  <r>
    <d v="2024-05-08T00:00:00"/>
    <x v="9"/>
    <x v="4"/>
    <x v="5"/>
    <n v="3225"/>
    <b v="1"/>
    <s v="Rainy"/>
    <x v="1"/>
    <s v="Under Construction"/>
    <s v="50+"/>
    <n v="5"/>
    <s v="Medium"/>
    <s v="Suspended"/>
    <b v="0"/>
    <n v="66"/>
    <s v="Haryana"/>
    <n v="1"/>
    <n v="1"/>
    <n v="1217"/>
    <x v="0"/>
    <s v="Not an Outliers"/>
  </r>
  <r>
    <d v="2024-05-08T00:00:00"/>
    <x v="3"/>
    <x v="3"/>
    <x v="1"/>
    <n v="1000"/>
    <b v="0"/>
    <s v="Stormy"/>
    <x v="3"/>
    <s v="Wet"/>
    <s v="50+"/>
    <n v="3"/>
    <s v="Low"/>
    <s v="Valid"/>
    <b v="0"/>
    <n v="103"/>
    <s v="Rajasthan"/>
    <n v="10"/>
    <n v="1"/>
    <n v="4307"/>
    <x v="2"/>
    <s v="Not an Outliers"/>
  </r>
  <r>
    <d v="2024-05-08T00:00:00"/>
    <x v="10"/>
    <x v="1"/>
    <x v="1"/>
    <n v="1000"/>
    <b v="1"/>
    <s v="Clear"/>
    <x v="3"/>
    <s v="Dry"/>
    <s v="36-50"/>
    <n v="2"/>
    <s v="Medium"/>
    <s v="Valid"/>
    <b v="0"/>
    <n v="65"/>
    <s v="Uttar Pradesh"/>
    <n v="9"/>
    <n v="1"/>
    <n v="4677"/>
    <x v="0"/>
    <s v="Not an Outliers"/>
  </r>
  <r>
    <d v="2024-05-08T00:00:00"/>
    <x v="1"/>
    <x v="0"/>
    <x v="0"/>
    <n v="1000"/>
    <b v="1"/>
    <s v="Foggy"/>
    <x v="3"/>
    <s v="Under Construction"/>
    <s v="26-35"/>
    <n v="2"/>
    <s v="Low"/>
    <s v="Valid"/>
    <b v="1"/>
    <n v="101"/>
    <s v="Punjab"/>
    <n v="7"/>
    <n v="1"/>
    <n v="816"/>
    <x v="0"/>
    <s v="Not an Outliers"/>
  </r>
  <r>
    <d v="2024-05-08T00:00:00"/>
    <x v="14"/>
    <x v="4"/>
    <x v="5"/>
    <n v="4100"/>
    <b v="0"/>
    <s v="Cloudy"/>
    <x v="1"/>
    <s v="Dry"/>
    <s v="36-50"/>
    <n v="3"/>
    <s v="Low"/>
    <s v="Valid"/>
    <b v="1"/>
    <n v="11"/>
    <s v="Punjab"/>
    <n v="2"/>
    <n v="1"/>
    <n v="1952"/>
    <x v="1"/>
    <s v="Not an Outliers"/>
  </r>
  <r>
    <d v="2024-05-09T00:00:00"/>
    <x v="9"/>
    <x v="1"/>
    <x v="5"/>
    <n v="3524"/>
    <b v="1"/>
    <s v="Clear"/>
    <x v="2"/>
    <s v="Dry"/>
    <s v="36-50"/>
    <n v="1"/>
    <s v="High"/>
    <s v="Suspended"/>
    <b v="0"/>
    <n v="4"/>
    <s v="Punjab"/>
    <n v="9"/>
    <n v="2"/>
    <n v="1950"/>
    <x v="0"/>
    <s v="Not an Outliers"/>
  </r>
  <r>
    <d v="2024-05-09T00:00:00"/>
    <x v="13"/>
    <x v="3"/>
    <x v="2"/>
    <n v="1822"/>
    <b v="0"/>
    <s v="Clear"/>
    <x v="1"/>
    <s v="Under Construction"/>
    <s v="50+"/>
    <n v="2"/>
    <s v="High"/>
    <s v="Expired"/>
    <b v="1"/>
    <n v="95"/>
    <s v="Delhi"/>
    <n v="6"/>
    <n v="1"/>
    <n v="1871"/>
    <x v="2"/>
    <s v="Not an Outliers"/>
  </r>
  <r>
    <d v="2024-05-10T00:00:00"/>
    <x v="2"/>
    <x v="2"/>
    <x v="4"/>
    <n v="7512"/>
    <b v="0"/>
    <s v="Cloudy"/>
    <x v="0"/>
    <s v="Slippery"/>
    <s v="18-25"/>
    <n v="1"/>
    <s v="Medium"/>
    <s v="Suspended"/>
    <b v="1"/>
    <n v="84"/>
    <s v="Haryana"/>
    <n v="2"/>
    <n v="1"/>
    <n v="1102"/>
    <x v="2"/>
    <s v="Not an Outliers"/>
  </r>
  <r>
    <d v="2024-05-10T00:00:00"/>
    <x v="2"/>
    <x v="4"/>
    <x v="5"/>
    <n v="5718"/>
    <b v="0"/>
    <s v="Clear"/>
    <x v="0"/>
    <s v="Dry"/>
    <s v="26-35"/>
    <n v="4"/>
    <s v="Medium"/>
    <s v="Valid"/>
    <b v="1"/>
    <n v="106"/>
    <s v="Delhi"/>
    <n v="8"/>
    <n v="3"/>
    <n v="927"/>
    <x v="0"/>
    <s v="Not an Outliers"/>
  </r>
  <r>
    <d v="2024-05-10T00:00:00"/>
    <x v="8"/>
    <x v="4"/>
    <x v="1"/>
    <n v="1000"/>
    <b v="1"/>
    <s v="Cloudy"/>
    <x v="2"/>
    <s v="Slippery"/>
    <s v="18-25"/>
    <n v="4"/>
    <s v="Medium"/>
    <s v="Suspended"/>
    <b v="0"/>
    <n v="84"/>
    <s v="Uttar Pradesh"/>
    <n v="5"/>
    <n v="2"/>
    <n v="1035"/>
    <x v="0"/>
    <s v="Not an Outliers"/>
  </r>
  <r>
    <d v="2024-05-11T00:00:00"/>
    <x v="7"/>
    <x v="0"/>
    <x v="0"/>
    <n v="1000"/>
    <b v="0"/>
    <s v="Stormy"/>
    <x v="2"/>
    <s v="Slippery"/>
    <s v="26-35"/>
    <n v="0"/>
    <s v="Low"/>
    <s v="Valid"/>
    <b v="0"/>
    <n v="89"/>
    <s v="Delhi"/>
    <n v="9"/>
    <n v="3"/>
    <n v="525"/>
    <x v="2"/>
    <s v="Not an Outliers"/>
  </r>
  <r>
    <d v="2024-05-12T00:00:00"/>
    <x v="6"/>
    <x v="1"/>
    <x v="2"/>
    <n v="3247"/>
    <b v="0"/>
    <s v="Stormy"/>
    <x v="1"/>
    <s v="Slippery"/>
    <s v="26-35"/>
    <n v="0"/>
    <s v="Low"/>
    <s v="Suspended"/>
    <b v="1"/>
    <n v="10"/>
    <s v="Delhi"/>
    <n v="1"/>
    <n v="3"/>
    <n v="4182"/>
    <x v="0"/>
    <s v="Not an Outliers"/>
  </r>
  <r>
    <d v="2024-05-12T00:00:00"/>
    <x v="9"/>
    <x v="1"/>
    <x v="5"/>
    <n v="7312"/>
    <b v="1"/>
    <s v="Rainy"/>
    <x v="1"/>
    <s v="Under Construction"/>
    <s v="36-50"/>
    <n v="0"/>
    <s v="High"/>
    <s v="Expired"/>
    <b v="0"/>
    <n v="109"/>
    <s v="Uttar Pradesh"/>
    <n v="2"/>
    <n v="1"/>
    <n v="4252"/>
    <x v="0"/>
    <s v="Not an Outliers"/>
  </r>
  <r>
    <d v="2024-05-12T00:00:00"/>
    <x v="14"/>
    <x v="0"/>
    <x v="3"/>
    <n v="2980"/>
    <b v="0"/>
    <s v="Clear"/>
    <x v="3"/>
    <s v="Under Construction"/>
    <s v="50+"/>
    <n v="1"/>
    <s v="High"/>
    <s v="Expired"/>
    <b v="1"/>
    <n v="44"/>
    <s v="Delhi"/>
    <n v="4"/>
    <n v="1"/>
    <n v="4892"/>
    <x v="0"/>
    <s v="Not an Outliers"/>
  </r>
  <r>
    <d v="2024-05-14T00:00:00"/>
    <x v="9"/>
    <x v="1"/>
    <x v="5"/>
    <n v="5629"/>
    <b v="0"/>
    <s v="Rainy"/>
    <x v="3"/>
    <s v="Wet"/>
    <s v="26-35"/>
    <n v="1"/>
    <s v="High"/>
    <s v="Expired"/>
    <b v="0"/>
    <n v="44"/>
    <s v="Uttar Pradesh"/>
    <n v="1"/>
    <n v="2"/>
    <n v="3297"/>
    <x v="0"/>
    <s v="Not an Outliers"/>
  </r>
  <r>
    <d v="2024-05-15T00:00:00"/>
    <x v="6"/>
    <x v="2"/>
    <x v="3"/>
    <n v="4402"/>
    <b v="0"/>
    <s v="Foggy"/>
    <x v="2"/>
    <s v="Dry"/>
    <s v="18-25"/>
    <n v="1"/>
    <s v="High"/>
    <s v="Expired"/>
    <b v="1"/>
    <n v="59"/>
    <s v="Haryana"/>
    <n v="4"/>
    <n v="1"/>
    <n v="1739"/>
    <x v="1"/>
    <s v="Not an Outliers"/>
  </r>
  <r>
    <d v="2024-05-16T00:00:00"/>
    <x v="1"/>
    <x v="4"/>
    <x v="3"/>
    <n v="2945"/>
    <b v="0"/>
    <s v="Rainy"/>
    <x v="1"/>
    <s v="Slippery"/>
    <s v="50+"/>
    <n v="0"/>
    <s v="Medium"/>
    <s v="Learner"/>
    <b v="1"/>
    <n v="55"/>
    <s v="Haryana"/>
    <n v="10"/>
    <n v="2"/>
    <n v="1377"/>
    <x v="0"/>
    <s v="Not an Outliers"/>
  </r>
  <r>
    <d v="2024-05-17T00:00:00"/>
    <x v="11"/>
    <x v="2"/>
    <x v="5"/>
    <n v="6103"/>
    <b v="1"/>
    <s v="Foggy"/>
    <x v="1"/>
    <s v="Dry"/>
    <s v="50+"/>
    <n v="3"/>
    <s v="High"/>
    <s v="Learner"/>
    <b v="1"/>
    <n v="99"/>
    <s v="Rajasthan"/>
    <n v="6"/>
    <n v="2"/>
    <n v="1226"/>
    <x v="1"/>
    <s v="Not an Outliers"/>
  </r>
  <r>
    <d v="2024-05-17T00:00:00"/>
    <x v="11"/>
    <x v="1"/>
    <x v="5"/>
    <n v="4463"/>
    <b v="0"/>
    <s v="Clear"/>
    <x v="2"/>
    <s v="Dry"/>
    <s v="36-50"/>
    <n v="1"/>
    <s v="Low"/>
    <s v="Expired"/>
    <b v="0"/>
    <n v="120"/>
    <s v="Uttar Pradesh"/>
    <n v="6"/>
    <n v="3"/>
    <n v="4228"/>
    <x v="2"/>
    <s v="Not an Outliers"/>
  </r>
  <r>
    <d v="2024-05-17T00:00:00"/>
    <x v="8"/>
    <x v="2"/>
    <x v="5"/>
    <n v="3827"/>
    <b v="0"/>
    <s v="Foggy"/>
    <x v="3"/>
    <s v="Dry"/>
    <s v="50+"/>
    <n v="3"/>
    <s v="High"/>
    <s v="Expired"/>
    <b v="1"/>
    <n v="104"/>
    <s v="Punjab"/>
    <n v="3"/>
    <n v="3"/>
    <n v="4904"/>
    <x v="1"/>
    <s v="Not an Outliers"/>
  </r>
  <r>
    <d v="2024-05-17T00:00:00"/>
    <x v="6"/>
    <x v="3"/>
    <x v="3"/>
    <n v="3475"/>
    <b v="0"/>
    <s v="Stormy"/>
    <x v="1"/>
    <s v="Under Construction"/>
    <s v="50+"/>
    <n v="5"/>
    <s v="High"/>
    <s v="Valid"/>
    <b v="0"/>
    <n v="93"/>
    <s v="Delhi"/>
    <n v="9"/>
    <n v="3"/>
    <n v="2655"/>
    <x v="2"/>
    <s v="Not an Outliers"/>
  </r>
  <r>
    <d v="2024-05-17T00:00:00"/>
    <x v="13"/>
    <x v="4"/>
    <x v="5"/>
    <n v="4176"/>
    <b v="1"/>
    <s v="Cloudy"/>
    <x v="2"/>
    <s v="Dry"/>
    <s v="26-35"/>
    <n v="2"/>
    <s v="Low"/>
    <s v="Valid"/>
    <b v="1"/>
    <n v="65"/>
    <s v="Uttar Pradesh"/>
    <n v="6"/>
    <n v="1"/>
    <n v="4274"/>
    <x v="0"/>
    <s v="Not an Outliers"/>
  </r>
  <r>
    <d v="2024-05-18T00:00:00"/>
    <x v="8"/>
    <x v="0"/>
    <x v="2"/>
    <n v="2812"/>
    <b v="1"/>
    <s v="Rainy"/>
    <x v="3"/>
    <s v="Slippery"/>
    <s v="18-25"/>
    <n v="1"/>
    <s v="High"/>
    <s v="Valid"/>
    <b v="1"/>
    <n v="64"/>
    <s v="Rajasthan"/>
    <n v="7"/>
    <n v="1"/>
    <n v="975"/>
    <x v="1"/>
    <s v="Not an Outliers"/>
  </r>
  <r>
    <d v="2024-05-18T00:00:00"/>
    <x v="0"/>
    <x v="4"/>
    <x v="3"/>
    <n v="2697"/>
    <b v="0"/>
    <s v="Stormy"/>
    <x v="2"/>
    <s v="Under Construction"/>
    <s v="36-50"/>
    <n v="4"/>
    <s v="High"/>
    <s v="Suspended"/>
    <b v="1"/>
    <n v="112"/>
    <s v="Punjab"/>
    <n v="5"/>
    <n v="3"/>
    <n v="3863"/>
    <x v="2"/>
    <s v="Not an Outliers"/>
  </r>
  <r>
    <d v="2024-05-18T00:00:00"/>
    <x v="12"/>
    <x v="2"/>
    <x v="4"/>
    <n v="5072"/>
    <b v="0"/>
    <s v="Clear"/>
    <x v="1"/>
    <s v="Slippery"/>
    <s v="26-35"/>
    <n v="2"/>
    <s v="Medium"/>
    <s v="Expired"/>
    <b v="1"/>
    <n v="57"/>
    <s v="Haryana"/>
    <n v="5"/>
    <n v="1"/>
    <n v="4010"/>
    <x v="0"/>
    <s v="Not an Outliers"/>
  </r>
  <r>
    <d v="2024-05-18T00:00:00"/>
    <x v="4"/>
    <x v="3"/>
    <x v="3"/>
    <n v="4626"/>
    <b v="0"/>
    <s v="Foggy"/>
    <x v="3"/>
    <s v="Slippery"/>
    <s v="50+"/>
    <n v="5"/>
    <s v="Low"/>
    <s v="Expired"/>
    <b v="0"/>
    <n v="27"/>
    <s v="Punjab"/>
    <n v="3"/>
    <n v="2"/>
    <n v="1801"/>
    <x v="2"/>
    <s v="Not an Outliers"/>
  </r>
  <r>
    <d v="2024-05-18T00:00:00"/>
    <x v="10"/>
    <x v="4"/>
    <x v="3"/>
    <n v="3256"/>
    <b v="0"/>
    <s v="Rainy"/>
    <x v="3"/>
    <s v="Dry"/>
    <s v="36-50"/>
    <n v="2"/>
    <s v="Low"/>
    <s v="Suspended"/>
    <b v="1"/>
    <n v="11"/>
    <s v="Haryana"/>
    <n v="6"/>
    <n v="1"/>
    <n v="1606"/>
    <x v="1"/>
    <s v="Not an Outliers"/>
  </r>
  <r>
    <d v="2024-05-20T00:00:00"/>
    <x v="10"/>
    <x v="4"/>
    <x v="5"/>
    <n v="7974"/>
    <b v="1"/>
    <s v="Foggy"/>
    <x v="0"/>
    <s v="Slippery"/>
    <s v="26-35"/>
    <n v="2"/>
    <s v="High"/>
    <s v="Valid"/>
    <b v="1"/>
    <n v="25"/>
    <s v="Punjab"/>
    <n v="2"/>
    <n v="3"/>
    <n v="4313"/>
    <x v="2"/>
    <s v="Not an Outliers"/>
  </r>
  <r>
    <d v="2024-05-20T00:00:00"/>
    <x v="3"/>
    <x v="0"/>
    <x v="5"/>
    <n v="7655"/>
    <b v="0"/>
    <s v="Foggy"/>
    <x v="0"/>
    <s v="Under Construction"/>
    <s v="18-25"/>
    <n v="1"/>
    <s v="Low"/>
    <s v="Learner"/>
    <b v="0"/>
    <n v="61"/>
    <s v="Delhi"/>
    <n v="1"/>
    <n v="1"/>
    <n v="1855"/>
    <x v="0"/>
    <s v="Not an Outliers"/>
  </r>
  <r>
    <d v="2024-05-20T00:00:00"/>
    <x v="4"/>
    <x v="2"/>
    <x v="1"/>
    <n v="1000"/>
    <b v="0"/>
    <s v="Clear"/>
    <x v="1"/>
    <s v="Slippery"/>
    <s v="18-25"/>
    <n v="0"/>
    <s v="Medium"/>
    <s v="Suspended"/>
    <b v="0"/>
    <n v="18"/>
    <s v="Punjab"/>
    <n v="6"/>
    <n v="1"/>
    <n v="1938"/>
    <x v="0"/>
    <s v="Not an Outliers"/>
  </r>
  <r>
    <d v="2024-05-20T00:00:00"/>
    <x v="14"/>
    <x v="4"/>
    <x v="4"/>
    <n v="6802"/>
    <b v="0"/>
    <s v="Cloudy"/>
    <x v="2"/>
    <s v="Under Construction"/>
    <s v="18-25"/>
    <n v="4"/>
    <s v="High"/>
    <s v="Suspended"/>
    <b v="0"/>
    <n v="49"/>
    <s v="Uttar Pradesh"/>
    <n v="9"/>
    <n v="1"/>
    <n v="3834"/>
    <x v="2"/>
    <s v="Not an Outliers"/>
  </r>
  <r>
    <d v="2024-05-20T00:00:00"/>
    <x v="2"/>
    <x v="1"/>
    <x v="5"/>
    <n v="2476"/>
    <b v="0"/>
    <s v="Clear"/>
    <x v="0"/>
    <s v="Under Construction"/>
    <s v="26-35"/>
    <n v="1"/>
    <s v="Medium"/>
    <s v="Learner"/>
    <b v="1"/>
    <n v="40"/>
    <s v="Delhi"/>
    <n v="4"/>
    <n v="1"/>
    <n v="1260"/>
    <x v="1"/>
    <s v="Not an Outliers"/>
  </r>
  <r>
    <d v="2024-05-21T00:00:00"/>
    <x v="1"/>
    <x v="2"/>
    <x v="2"/>
    <n v="1608"/>
    <b v="1"/>
    <s v="Foggy"/>
    <x v="1"/>
    <s v="Dry"/>
    <s v="26-35"/>
    <n v="0"/>
    <s v="Medium"/>
    <s v="Expired"/>
    <b v="1"/>
    <n v="17"/>
    <s v="Delhi"/>
    <n v="6"/>
    <n v="1"/>
    <n v="1864"/>
    <x v="2"/>
    <s v="Not an Outliers"/>
  </r>
  <r>
    <d v="2024-05-21T00:00:00"/>
    <x v="1"/>
    <x v="0"/>
    <x v="2"/>
    <n v="2449"/>
    <b v="0"/>
    <s v="Stormy"/>
    <x v="3"/>
    <s v="Slippery"/>
    <s v="26-35"/>
    <n v="3"/>
    <s v="Low"/>
    <s v="Learner"/>
    <b v="0"/>
    <n v="98"/>
    <s v="Rajasthan"/>
    <n v="9"/>
    <n v="2"/>
    <n v="3476"/>
    <x v="2"/>
    <s v="Not an Outliers"/>
  </r>
  <r>
    <d v="2024-05-22T00:00:00"/>
    <x v="3"/>
    <x v="3"/>
    <x v="5"/>
    <n v="7055"/>
    <b v="0"/>
    <s v="Rainy"/>
    <x v="2"/>
    <s v="Wet"/>
    <s v="36-50"/>
    <n v="4"/>
    <s v="High"/>
    <s v="Expired"/>
    <b v="0"/>
    <n v="77"/>
    <s v="Punjab"/>
    <n v="1"/>
    <n v="2"/>
    <n v="2267"/>
    <x v="0"/>
    <s v="Not an Outliers"/>
  </r>
  <r>
    <d v="2024-05-22T00:00:00"/>
    <x v="3"/>
    <x v="4"/>
    <x v="1"/>
    <n v="1000"/>
    <b v="0"/>
    <s v="Foggy"/>
    <x v="1"/>
    <s v="Dry"/>
    <s v="18-25"/>
    <n v="2"/>
    <s v="High"/>
    <s v="Learner"/>
    <b v="1"/>
    <n v="2"/>
    <s v="Haryana"/>
    <n v="8"/>
    <n v="3"/>
    <n v="4192"/>
    <x v="2"/>
    <s v="Not an Outliers"/>
  </r>
  <r>
    <d v="2024-05-22T00:00:00"/>
    <x v="6"/>
    <x v="1"/>
    <x v="5"/>
    <n v="4381"/>
    <b v="0"/>
    <s v="Cloudy"/>
    <x v="3"/>
    <s v="Dry"/>
    <s v="18-25"/>
    <n v="1"/>
    <s v="Medium"/>
    <s v="Valid"/>
    <b v="1"/>
    <n v="22"/>
    <s v="Haryana"/>
    <n v="4"/>
    <n v="2"/>
    <n v="2923"/>
    <x v="0"/>
    <s v="Not an Outliers"/>
  </r>
  <r>
    <d v="2024-05-23T00:00:00"/>
    <x v="8"/>
    <x v="1"/>
    <x v="1"/>
    <n v="1000"/>
    <b v="0"/>
    <s v="Cloudy"/>
    <x v="3"/>
    <s v="Dry"/>
    <s v="50+"/>
    <n v="4"/>
    <s v="Medium"/>
    <s v="Expired"/>
    <b v="0"/>
    <n v="28"/>
    <s v="Haryana"/>
    <n v="3"/>
    <n v="1"/>
    <n v="3674"/>
    <x v="1"/>
    <s v="Not an Outliers"/>
  </r>
  <r>
    <d v="2024-05-23T00:00:00"/>
    <x v="11"/>
    <x v="4"/>
    <x v="2"/>
    <n v="3313"/>
    <b v="1"/>
    <s v="Cloudy"/>
    <x v="3"/>
    <s v="Wet"/>
    <s v="26-35"/>
    <n v="3"/>
    <s v="Low"/>
    <s v="Suspended"/>
    <b v="0"/>
    <n v="48"/>
    <s v="Delhi"/>
    <n v="4"/>
    <n v="1"/>
    <n v="2635"/>
    <x v="2"/>
    <s v="Not an Outliers"/>
  </r>
  <r>
    <d v="2024-05-24T00:00:00"/>
    <x v="2"/>
    <x v="0"/>
    <x v="5"/>
    <n v="4781"/>
    <b v="1"/>
    <s v="Rainy"/>
    <x v="2"/>
    <s v="Wet"/>
    <s v="36-50"/>
    <n v="0"/>
    <s v="Low"/>
    <s v="Valid"/>
    <b v="0"/>
    <n v="118"/>
    <s v="Uttar Pradesh"/>
    <n v="9"/>
    <n v="1"/>
    <n v="3258"/>
    <x v="1"/>
    <s v="Not an Outliers"/>
  </r>
  <r>
    <d v="2024-05-24T00:00:00"/>
    <x v="3"/>
    <x v="0"/>
    <x v="4"/>
    <n v="6280"/>
    <b v="0"/>
    <s v="Rainy"/>
    <x v="1"/>
    <s v="Slippery"/>
    <s v="50+"/>
    <n v="2"/>
    <s v="High"/>
    <s v="Expired"/>
    <b v="1"/>
    <n v="43"/>
    <s v="Uttar Pradesh"/>
    <n v="1"/>
    <n v="1"/>
    <n v="3428"/>
    <x v="2"/>
    <s v="Not an Outliers"/>
  </r>
  <r>
    <d v="2024-05-24T00:00:00"/>
    <x v="3"/>
    <x v="1"/>
    <x v="2"/>
    <n v="1429"/>
    <b v="0"/>
    <s v="Clear"/>
    <x v="2"/>
    <s v="Dry"/>
    <s v="50+"/>
    <n v="1"/>
    <s v="Low"/>
    <s v="Suspended"/>
    <b v="0"/>
    <n v="101"/>
    <s v="Delhi"/>
    <n v="4"/>
    <n v="3"/>
    <n v="3224"/>
    <x v="1"/>
    <s v="Not an Outliers"/>
  </r>
  <r>
    <d v="2024-05-26T00:00:00"/>
    <x v="3"/>
    <x v="3"/>
    <x v="4"/>
    <n v="6047"/>
    <b v="0"/>
    <s v="Rainy"/>
    <x v="3"/>
    <s v="Under Construction"/>
    <s v="36-50"/>
    <n v="1"/>
    <s v="Medium"/>
    <s v="Suspended"/>
    <b v="1"/>
    <n v="63"/>
    <s v="Delhi"/>
    <n v="3"/>
    <n v="3"/>
    <n v="2121"/>
    <x v="2"/>
    <s v="Not an Outliers"/>
  </r>
  <r>
    <d v="2024-05-26T00:00:00"/>
    <x v="1"/>
    <x v="4"/>
    <x v="2"/>
    <n v="3263"/>
    <b v="1"/>
    <s v="Cloudy"/>
    <x v="3"/>
    <s v="Under Construction"/>
    <s v="18-25"/>
    <n v="3"/>
    <s v="Medium"/>
    <s v="Learner"/>
    <b v="0"/>
    <n v="13"/>
    <s v="Rajasthan"/>
    <n v="6"/>
    <n v="2"/>
    <n v="2748"/>
    <x v="1"/>
    <s v="Not an Outliers"/>
  </r>
  <r>
    <d v="2024-05-26T00:00:00"/>
    <x v="13"/>
    <x v="4"/>
    <x v="1"/>
    <n v="1000"/>
    <b v="0"/>
    <s v="Stormy"/>
    <x v="0"/>
    <s v="Wet"/>
    <s v="18-25"/>
    <n v="5"/>
    <s v="Medium"/>
    <s v="Valid"/>
    <b v="1"/>
    <n v="64"/>
    <s v="Haryana"/>
    <n v="5"/>
    <n v="3"/>
    <n v="864"/>
    <x v="0"/>
    <s v="Not an Outliers"/>
  </r>
  <r>
    <d v="2024-05-26T00:00:00"/>
    <x v="3"/>
    <x v="2"/>
    <x v="5"/>
    <n v="7216"/>
    <b v="1"/>
    <s v="Clear"/>
    <x v="1"/>
    <s v="Dry"/>
    <s v="36-50"/>
    <n v="5"/>
    <s v="Medium"/>
    <s v="Learner"/>
    <b v="1"/>
    <n v="16"/>
    <s v="Rajasthan"/>
    <n v="8"/>
    <n v="1"/>
    <n v="754"/>
    <x v="1"/>
    <s v="Not an Outliers"/>
  </r>
  <r>
    <d v="2024-05-27T00:00:00"/>
    <x v="14"/>
    <x v="0"/>
    <x v="0"/>
    <n v="1000"/>
    <b v="1"/>
    <s v="Cloudy"/>
    <x v="2"/>
    <s v="Dry"/>
    <s v="36-50"/>
    <n v="3"/>
    <s v="Medium"/>
    <s v="Valid"/>
    <b v="1"/>
    <n v="13"/>
    <s v="Punjab"/>
    <n v="3"/>
    <n v="2"/>
    <n v="4237"/>
    <x v="0"/>
    <s v="Not an Outliers"/>
  </r>
  <r>
    <d v="2024-05-27T00:00:00"/>
    <x v="10"/>
    <x v="3"/>
    <x v="3"/>
    <n v="3992"/>
    <b v="0"/>
    <s v="Rainy"/>
    <x v="3"/>
    <s v="Slippery"/>
    <s v="50+"/>
    <n v="3"/>
    <s v="High"/>
    <s v="Learner"/>
    <b v="0"/>
    <n v="70"/>
    <s v="Delhi"/>
    <n v="7"/>
    <n v="2"/>
    <n v="3420"/>
    <x v="2"/>
    <s v="Not an Outliers"/>
  </r>
  <r>
    <d v="2024-05-27T00:00:00"/>
    <x v="12"/>
    <x v="1"/>
    <x v="2"/>
    <n v="1282"/>
    <b v="0"/>
    <s v="Cloudy"/>
    <x v="2"/>
    <s v="Under Construction"/>
    <s v="36-50"/>
    <n v="5"/>
    <s v="Low"/>
    <s v="Expired"/>
    <b v="1"/>
    <n v="65"/>
    <s v="Uttar Pradesh"/>
    <n v="4"/>
    <n v="1"/>
    <n v="2735"/>
    <x v="1"/>
    <s v="Not an Outliers"/>
  </r>
  <r>
    <d v="2024-05-27T00:00:00"/>
    <x v="4"/>
    <x v="3"/>
    <x v="3"/>
    <n v="2079"/>
    <b v="0"/>
    <s v="Stormy"/>
    <x v="1"/>
    <s v="Dry"/>
    <s v="18-25"/>
    <n v="1"/>
    <s v="High"/>
    <s v="Expired"/>
    <b v="1"/>
    <n v="101"/>
    <s v="Haryana"/>
    <n v="5"/>
    <n v="2"/>
    <n v="1222"/>
    <x v="2"/>
    <s v="Not an Outliers"/>
  </r>
  <r>
    <d v="2024-05-27T00:00:00"/>
    <x v="13"/>
    <x v="3"/>
    <x v="2"/>
    <n v="4726"/>
    <b v="1"/>
    <s v="Clear"/>
    <x v="2"/>
    <s v="Wet"/>
    <s v="26-35"/>
    <n v="2"/>
    <s v="Medium"/>
    <s v="Suspended"/>
    <b v="1"/>
    <n v="99"/>
    <s v="Delhi"/>
    <n v="8"/>
    <n v="2"/>
    <n v="1838"/>
    <x v="1"/>
    <s v="Not an Outliers"/>
  </r>
  <r>
    <d v="2024-05-27T00:00:00"/>
    <x v="11"/>
    <x v="2"/>
    <x v="3"/>
    <n v="2272"/>
    <b v="0"/>
    <s v="Cloudy"/>
    <x v="0"/>
    <s v="Under Construction"/>
    <s v="26-35"/>
    <n v="14"/>
    <s v="High"/>
    <s v="Suspended"/>
    <b v="0"/>
    <n v="4"/>
    <s v="Punjab"/>
    <n v="7"/>
    <n v="2"/>
    <n v="1805"/>
    <x v="2"/>
    <s v="Not an Outliers"/>
  </r>
  <r>
    <d v="2024-05-27T00:00:00"/>
    <x v="5"/>
    <x v="2"/>
    <x v="4"/>
    <n v="6433"/>
    <b v="1"/>
    <s v="Stormy"/>
    <x v="0"/>
    <s v="Dry"/>
    <s v="26-35"/>
    <n v="3"/>
    <s v="High"/>
    <s v="Learner"/>
    <b v="0"/>
    <n v="37"/>
    <s v="Uttar Pradesh"/>
    <n v="10"/>
    <n v="3"/>
    <n v="1365"/>
    <x v="0"/>
    <s v="Not an Outliers"/>
  </r>
  <r>
    <d v="2024-05-28T00:00:00"/>
    <x v="13"/>
    <x v="4"/>
    <x v="3"/>
    <n v="4106"/>
    <b v="1"/>
    <s v="Stormy"/>
    <x v="3"/>
    <s v="Under Construction"/>
    <s v="36-50"/>
    <n v="5"/>
    <s v="Low"/>
    <s v="Learner"/>
    <b v="1"/>
    <n v="77"/>
    <s v="Punjab"/>
    <n v="1"/>
    <n v="2"/>
    <n v="2945"/>
    <x v="2"/>
    <s v="Not an Outliers"/>
  </r>
  <r>
    <d v="2024-05-28T00:00:00"/>
    <x v="13"/>
    <x v="4"/>
    <x v="2"/>
    <n v="2349"/>
    <b v="0"/>
    <s v="Clear"/>
    <x v="1"/>
    <s v="Under Construction"/>
    <s v="50+"/>
    <n v="3"/>
    <s v="Medium"/>
    <s v="Valid"/>
    <b v="1"/>
    <n v="84"/>
    <s v="Punjab"/>
    <n v="10"/>
    <n v="3"/>
    <n v="3048"/>
    <x v="2"/>
    <s v="Not an Outliers"/>
  </r>
  <r>
    <d v="2024-05-28T00:00:00"/>
    <x v="14"/>
    <x v="1"/>
    <x v="4"/>
    <n v="6251"/>
    <b v="0"/>
    <s v="Stormy"/>
    <x v="3"/>
    <s v="Slippery"/>
    <s v="36-50"/>
    <n v="5"/>
    <s v="Medium"/>
    <s v="Expired"/>
    <b v="1"/>
    <n v="16"/>
    <s v="Delhi"/>
    <n v="1"/>
    <n v="3"/>
    <n v="3624"/>
    <x v="0"/>
    <s v="Not an Outliers"/>
  </r>
  <r>
    <d v="2024-05-28T00:00:00"/>
    <x v="0"/>
    <x v="1"/>
    <x v="4"/>
    <n v="6644"/>
    <b v="0"/>
    <s v="Clear"/>
    <x v="1"/>
    <s v="Dry"/>
    <s v="50+"/>
    <n v="0"/>
    <s v="Low"/>
    <s v="Learner"/>
    <b v="1"/>
    <n v="6"/>
    <s v="Delhi"/>
    <n v="9"/>
    <n v="3"/>
    <n v="3292"/>
    <x v="2"/>
    <s v="Not an Outliers"/>
  </r>
  <r>
    <d v="2024-05-28T00:00:00"/>
    <x v="14"/>
    <x v="3"/>
    <x v="1"/>
    <n v="1000"/>
    <b v="1"/>
    <s v="Rainy"/>
    <x v="1"/>
    <s v="Slippery"/>
    <s v="18-25"/>
    <n v="0"/>
    <s v="High"/>
    <s v="Valid"/>
    <b v="0"/>
    <n v="66"/>
    <s v="Delhi"/>
    <n v="10"/>
    <n v="2"/>
    <n v="1385"/>
    <x v="1"/>
    <s v="Not an Outliers"/>
  </r>
  <r>
    <d v="2024-06-01T00:00:00"/>
    <x v="7"/>
    <x v="2"/>
    <x v="4"/>
    <n v="8121"/>
    <b v="0"/>
    <s v="Clear"/>
    <x v="1"/>
    <s v="Dry"/>
    <s v="36-50"/>
    <n v="2"/>
    <s v="Medium"/>
    <s v="Suspended"/>
    <b v="1"/>
    <n v="28"/>
    <s v="Punjab"/>
    <n v="8"/>
    <n v="2"/>
    <n v="2668"/>
    <x v="0"/>
    <s v="Not an Outliers"/>
  </r>
  <r>
    <d v="2024-06-02T00:00:00"/>
    <x v="1"/>
    <x v="1"/>
    <x v="4"/>
    <n v="9492"/>
    <b v="0"/>
    <s v="Rainy"/>
    <x v="0"/>
    <s v="Wet"/>
    <s v="50+"/>
    <n v="3"/>
    <s v="High"/>
    <s v="Suspended"/>
    <b v="0"/>
    <n v="61"/>
    <s v="Punjab"/>
    <n v="8"/>
    <n v="1"/>
    <n v="4724"/>
    <x v="0"/>
    <s v="Not an Outliers"/>
  </r>
  <r>
    <d v="2024-06-02T00:00:00"/>
    <x v="9"/>
    <x v="0"/>
    <x v="5"/>
    <n v="5510"/>
    <b v="1"/>
    <s v="Cloudy"/>
    <x v="0"/>
    <s v="Dry"/>
    <s v="50+"/>
    <n v="2"/>
    <s v="Low"/>
    <s v="Learner"/>
    <b v="0"/>
    <n v="13"/>
    <s v="Punjab"/>
    <n v="5"/>
    <n v="3"/>
    <n v="4846"/>
    <x v="1"/>
    <s v="Not an Outliers"/>
  </r>
  <r>
    <d v="2024-06-02T00:00:00"/>
    <x v="2"/>
    <x v="2"/>
    <x v="5"/>
    <n v="3071"/>
    <b v="0"/>
    <s v="Cloudy"/>
    <x v="1"/>
    <s v="Under Construction"/>
    <s v="18-25"/>
    <n v="3"/>
    <s v="High"/>
    <s v="Learner"/>
    <b v="0"/>
    <n v="106"/>
    <s v="Haryana"/>
    <n v="7"/>
    <n v="1"/>
    <n v="3266"/>
    <x v="2"/>
    <s v="Not an Outliers"/>
  </r>
  <r>
    <d v="2024-06-03T00:00:00"/>
    <x v="2"/>
    <x v="2"/>
    <x v="1"/>
    <n v="1000"/>
    <b v="1"/>
    <s v="Rainy"/>
    <x v="2"/>
    <s v="Slippery"/>
    <s v="36-50"/>
    <n v="0"/>
    <s v="High"/>
    <s v="Learner"/>
    <b v="0"/>
    <n v="60"/>
    <s v="Punjab"/>
    <n v="7"/>
    <n v="3"/>
    <n v="1886"/>
    <x v="0"/>
    <s v="Not an Outliers"/>
  </r>
  <r>
    <d v="2024-06-03T00:00:00"/>
    <x v="11"/>
    <x v="1"/>
    <x v="1"/>
    <n v="1000"/>
    <b v="0"/>
    <s v="Clear"/>
    <x v="1"/>
    <s v="Slippery"/>
    <s v="50+"/>
    <n v="5"/>
    <s v="High"/>
    <s v="Valid"/>
    <b v="1"/>
    <n v="19"/>
    <s v="Punjab"/>
    <n v="4"/>
    <n v="1"/>
    <n v="1995"/>
    <x v="0"/>
    <s v="Not an Outliers"/>
  </r>
  <r>
    <d v="2024-06-03T00:00:00"/>
    <x v="4"/>
    <x v="3"/>
    <x v="1"/>
    <n v="1000"/>
    <b v="0"/>
    <s v="Cloudy"/>
    <x v="1"/>
    <s v="Dry"/>
    <s v="50+"/>
    <n v="2"/>
    <s v="Low"/>
    <s v="Suspended"/>
    <b v="1"/>
    <n v="18"/>
    <s v="Haryana"/>
    <n v="4"/>
    <n v="1"/>
    <n v="547"/>
    <x v="2"/>
    <s v="Not an Outliers"/>
  </r>
  <r>
    <d v="2024-06-04T00:00:00"/>
    <x v="6"/>
    <x v="0"/>
    <x v="0"/>
    <n v="1000"/>
    <b v="0"/>
    <s v="Rainy"/>
    <x v="2"/>
    <s v="Dry"/>
    <s v="18-25"/>
    <n v="2"/>
    <s v="High"/>
    <s v="Suspended"/>
    <b v="1"/>
    <n v="31"/>
    <s v="Uttar Pradesh"/>
    <n v="2"/>
    <n v="1"/>
    <n v="925"/>
    <x v="0"/>
    <s v="Not an Outliers"/>
  </r>
  <r>
    <d v="2024-06-04T00:00:00"/>
    <x v="7"/>
    <x v="2"/>
    <x v="2"/>
    <n v="1976"/>
    <b v="1"/>
    <s v="Cloudy"/>
    <x v="2"/>
    <s v="Wet"/>
    <s v="50+"/>
    <n v="1"/>
    <s v="High"/>
    <s v="Suspended"/>
    <b v="0"/>
    <n v="94"/>
    <s v="Punjab"/>
    <n v="10"/>
    <n v="3"/>
    <n v="3981"/>
    <x v="1"/>
    <s v="Not an Outliers"/>
  </r>
  <r>
    <d v="2024-06-04T00:00:00"/>
    <x v="4"/>
    <x v="0"/>
    <x v="0"/>
    <n v="1000"/>
    <b v="0"/>
    <s v="Cloudy"/>
    <x v="1"/>
    <s v="Under Construction"/>
    <s v="36-50"/>
    <n v="4"/>
    <s v="Medium"/>
    <s v="Suspended"/>
    <b v="1"/>
    <n v="56"/>
    <s v="Haryana"/>
    <n v="1"/>
    <n v="3"/>
    <n v="2694"/>
    <x v="1"/>
    <s v="Not an Outliers"/>
  </r>
  <r>
    <d v="2024-06-04T00:00:00"/>
    <x v="0"/>
    <x v="0"/>
    <x v="3"/>
    <n v="2103"/>
    <b v="0"/>
    <s v="Stormy"/>
    <x v="2"/>
    <s v="Dry"/>
    <s v="36-50"/>
    <n v="1"/>
    <s v="Low"/>
    <s v="Learner"/>
    <b v="1"/>
    <n v="42"/>
    <s v="Uttar Pradesh"/>
    <n v="9"/>
    <n v="2"/>
    <n v="4333"/>
    <x v="2"/>
    <s v="Not an Outliers"/>
  </r>
  <r>
    <d v="2024-06-04T00:00:00"/>
    <x v="0"/>
    <x v="2"/>
    <x v="1"/>
    <n v="1000"/>
    <b v="0"/>
    <s v="Rainy"/>
    <x v="3"/>
    <s v="Slippery"/>
    <s v="50+"/>
    <n v="3"/>
    <s v="Low"/>
    <s v="Suspended"/>
    <b v="0"/>
    <n v="5"/>
    <s v="Punjab"/>
    <n v="7"/>
    <n v="2"/>
    <n v="856"/>
    <x v="0"/>
    <s v="Not an Outliers"/>
  </r>
  <r>
    <d v="2024-06-05T00:00:00"/>
    <x v="0"/>
    <x v="4"/>
    <x v="3"/>
    <n v="2771"/>
    <b v="1"/>
    <s v="Cloudy"/>
    <x v="3"/>
    <s v="Slippery"/>
    <s v="36-50"/>
    <n v="2"/>
    <s v="Medium"/>
    <s v="Expired"/>
    <b v="0"/>
    <n v="66"/>
    <s v="Rajasthan"/>
    <n v="7"/>
    <n v="2"/>
    <n v="4424"/>
    <x v="2"/>
    <s v="Not an Outliers"/>
  </r>
  <r>
    <d v="2024-06-05T00:00:00"/>
    <x v="7"/>
    <x v="1"/>
    <x v="2"/>
    <n v="4308"/>
    <b v="1"/>
    <s v="Foggy"/>
    <x v="3"/>
    <s v="Under Construction"/>
    <s v="36-50"/>
    <n v="5"/>
    <s v="Low"/>
    <s v="Expired"/>
    <b v="0"/>
    <n v="120"/>
    <s v="Punjab"/>
    <n v="5"/>
    <n v="2"/>
    <n v="2210"/>
    <x v="1"/>
    <s v="Not an Outliers"/>
  </r>
  <r>
    <d v="2024-06-05T00:00:00"/>
    <x v="2"/>
    <x v="4"/>
    <x v="3"/>
    <n v="4806"/>
    <b v="0"/>
    <s v="Foggy"/>
    <x v="2"/>
    <s v="Under Construction"/>
    <s v="26-35"/>
    <n v="5"/>
    <s v="Low"/>
    <s v="Valid"/>
    <b v="1"/>
    <n v="103"/>
    <s v="Punjab"/>
    <n v="9"/>
    <n v="3"/>
    <n v="2114"/>
    <x v="1"/>
    <s v="Not an Outliers"/>
  </r>
  <r>
    <d v="2024-06-05T00:00:00"/>
    <x v="5"/>
    <x v="4"/>
    <x v="5"/>
    <n v="3873"/>
    <b v="0"/>
    <s v="Stormy"/>
    <x v="1"/>
    <s v="Under Construction"/>
    <s v="26-35"/>
    <n v="4"/>
    <s v="High"/>
    <s v="Expired"/>
    <b v="1"/>
    <n v="50"/>
    <s v="Rajasthan"/>
    <n v="4"/>
    <n v="3"/>
    <n v="4108"/>
    <x v="0"/>
    <s v="Not an Outliers"/>
  </r>
  <r>
    <d v="2024-06-05T00:00:00"/>
    <x v="0"/>
    <x v="1"/>
    <x v="3"/>
    <n v="3508"/>
    <b v="0"/>
    <s v="Foggy"/>
    <x v="2"/>
    <s v="Slippery"/>
    <s v="36-50"/>
    <n v="4"/>
    <s v="High"/>
    <s v="Valid"/>
    <b v="0"/>
    <n v="86"/>
    <s v="Punjab"/>
    <n v="9"/>
    <n v="3"/>
    <n v="4514"/>
    <x v="1"/>
    <s v="Not an Outliers"/>
  </r>
  <r>
    <d v="2024-06-05T00:00:00"/>
    <x v="10"/>
    <x v="2"/>
    <x v="2"/>
    <n v="1523"/>
    <b v="0"/>
    <s v="Cloudy"/>
    <x v="3"/>
    <s v="Slippery"/>
    <s v="50+"/>
    <n v="2"/>
    <s v="Low"/>
    <s v="Valid"/>
    <b v="0"/>
    <n v="6"/>
    <s v="Rajasthan"/>
    <n v="8"/>
    <n v="1"/>
    <n v="3878"/>
    <x v="2"/>
    <s v="Not an Outliers"/>
  </r>
  <r>
    <d v="2024-06-06T00:00:00"/>
    <x v="2"/>
    <x v="4"/>
    <x v="3"/>
    <n v="4783"/>
    <b v="0"/>
    <s v="Foggy"/>
    <x v="1"/>
    <s v="Dry"/>
    <s v="36-50"/>
    <n v="1"/>
    <s v="High"/>
    <s v="Learner"/>
    <b v="1"/>
    <n v="114"/>
    <s v="Uttar Pradesh"/>
    <n v="8"/>
    <n v="1"/>
    <n v="4969"/>
    <x v="1"/>
    <s v="Not an Outliers"/>
  </r>
  <r>
    <d v="2024-06-06T00:00:00"/>
    <x v="7"/>
    <x v="3"/>
    <x v="1"/>
    <n v="1000"/>
    <b v="0"/>
    <s v="Clear"/>
    <x v="2"/>
    <s v="Under Construction"/>
    <s v="36-50"/>
    <n v="4"/>
    <s v="Low"/>
    <s v="Valid"/>
    <b v="1"/>
    <n v="102"/>
    <s v="Haryana"/>
    <n v="3"/>
    <n v="1"/>
    <n v="797"/>
    <x v="1"/>
    <s v="Not an Outliers"/>
  </r>
  <r>
    <d v="2024-06-07T00:00:00"/>
    <x v="3"/>
    <x v="2"/>
    <x v="2"/>
    <n v="18340"/>
    <b v="0"/>
    <s v="Rainy"/>
    <x v="1"/>
    <s v="Slippery"/>
    <s v="18-25"/>
    <n v="3"/>
    <s v="High"/>
    <s v="Learner"/>
    <b v="0"/>
    <n v="116"/>
    <s v="Uttar Pradesh"/>
    <n v="4"/>
    <n v="1"/>
    <n v="3391"/>
    <x v="1"/>
    <s v="Outliers"/>
  </r>
  <r>
    <d v="2024-06-07T00:00:00"/>
    <x v="14"/>
    <x v="4"/>
    <x v="1"/>
    <n v="1000"/>
    <b v="0"/>
    <s v="Rainy"/>
    <x v="3"/>
    <s v="Under Construction"/>
    <s v="18-25"/>
    <n v="3"/>
    <s v="Low"/>
    <s v="Expired"/>
    <b v="1"/>
    <n v="34"/>
    <s v="Punjab"/>
    <n v="6"/>
    <n v="2"/>
    <n v="698"/>
    <x v="0"/>
    <s v="Not an Outliers"/>
  </r>
  <r>
    <d v="2024-06-07T00:00:00"/>
    <x v="5"/>
    <x v="1"/>
    <x v="1"/>
    <n v="1000"/>
    <b v="1"/>
    <s v="Rainy"/>
    <x v="0"/>
    <s v="Dry"/>
    <s v="18-25"/>
    <n v="5"/>
    <s v="High"/>
    <s v="Suspended"/>
    <b v="0"/>
    <n v="89"/>
    <s v="Punjab"/>
    <n v="3"/>
    <n v="2"/>
    <n v="4222"/>
    <x v="0"/>
    <s v="Not an Outliers"/>
  </r>
  <r>
    <d v="2024-06-07T00:00:00"/>
    <x v="13"/>
    <x v="4"/>
    <x v="1"/>
    <n v="1000"/>
    <b v="0"/>
    <s v="Cloudy"/>
    <x v="1"/>
    <s v="Slippery"/>
    <s v="36-50"/>
    <n v="2"/>
    <s v="Medium"/>
    <s v="Suspended"/>
    <b v="0"/>
    <n v="102"/>
    <s v="Rajasthan"/>
    <n v="9"/>
    <n v="2"/>
    <n v="2821"/>
    <x v="2"/>
    <s v="Not an Outliers"/>
  </r>
  <r>
    <d v="2024-06-07T00:00:00"/>
    <x v="0"/>
    <x v="0"/>
    <x v="4"/>
    <n v="9901"/>
    <b v="0"/>
    <s v="Rainy"/>
    <x v="2"/>
    <s v="Slippery"/>
    <s v="26-35"/>
    <n v="3"/>
    <s v="Low"/>
    <s v="Expired"/>
    <b v="0"/>
    <n v="69"/>
    <s v="Uttar Pradesh"/>
    <n v="8"/>
    <n v="1"/>
    <n v="3617"/>
    <x v="0"/>
    <s v="Not an Outliers"/>
  </r>
  <r>
    <d v="2024-06-08T00:00:00"/>
    <x v="14"/>
    <x v="3"/>
    <x v="4"/>
    <n v="6399"/>
    <b v="0"/>
    <s v="Cloudy"/>
    <x v="1"/>
    <s v="Under Construction"/>
    <s v="36-50"/>
    <n v="5"/>
    <s v="Medium"/>
    <s v="Valid"/>
    <b v="1"/>
    <n v="32"/>
    <s v="Rajasthan"/>
    <n v="10"/>
    <n v="1"/>
    <n v="2463"/>
    <x v="1"/>
    <s v="Not an Outliers"/>
  </r>
  <r>
    <d v="2024-06-08T00:00:00"/>
    <x v="12"/>
    <x v="1"/>
    <x v="2"/>
    <n v="3306"/>
    <b v="1"/>
    <s v="Stormy"/>
    <x v="0"/>
    <s v="Wet"/>
    <s v="18-25"/>
    <n v="1"/>
    <s v="Medium"/>
    <s v="Valid"/>
    <b v="0"/>
    <n v="115"/>
    <s v="Haryana"/>
    <n v="7"/>
    <n v="1"/>
    <n v="3706"/>
    <x v="0"/>
    <s v="Not an Outliers"/>
  </r>
  <r>
    <d v="2024-06-08T00:00:00"/>
    <x v="11"/>
    <x v="1"/>
    <x v="2"/>
    <n v="2547"/>
    <b v="0"/>
    <s v="Stormy"/>
    <x v="1"/>
    <s v="Slippery"/>
    <s v="36-50"/>
    <n v="5"/>
    <s v="Low"/>
    <s v="Suspended"/>
    <b v="1"/>
    <n v="73"/>
    <s v="Rajasthan"/>
    <n v="6"/>
    <n v="3"/>
    <n v="1832"/>
    <x v="2"/>
    <s v="Not an Outliers"/>
  </r>
  <r>
    <d v="2024-06-08T00:00:00"/>
    <x v="12"/>
    <x v="4"/>
    <x v="2"/>
    <n v="4953"/>
    <b v="0"/>
    <s v="Foggy"/>
    <x v="3"/>
    <s v="Dry"/>
    <s v="50+"/>
    <n v="5"/>
    <s v="High"/>
    <s v="Valid"/>
    <b v="1"/>
    <n v="116"/>
    <s v="Punjab"/>
    <n v="1"/>
    <n v="2"/>
    <n v="1113"/>
    <x v="0"/>
    <s v="Not an Outliers"/>
  </r>
  <r>
    <d v="2024-06-09T00:00:00"/>
    <x v="5"/>
    <x v="0"/>
    <x v="0"/>
    <n v="1000"/>
    <b v="0"/>
    <s v="Foggy"/>
    <x v="0"/>
    <s v="Wet"/>
    <s v="36-50"/>
    <n v="1"/>
    <s v="High"/>
    <s v="Suspended"/>
    <b v="0"/>
    <n v="49"/>
    <s v="Punjab"/>
    <n v="7"/>
    <n v="3"/>
    <n v="3962"/>
    <x v="0"/>
    <s v="Not an Outliers"/>
  </r>
  <r>
    <d v="2024-06-09T00:00:00"/>
    <x v="2"/>
    <x v="0"/>
    <x v="3"/>
    <n v="4193"/>
    <b v="0"/>
    <s v="Rainy"/>
    <x v="1"/>
    <s v="Under Construction"/>
    <s v="18-25"/>
    <n v="3"/>
    <s v="High"/>
    <s v="Learner"/>
    <b v="1"/>
    <n v="68"/>
    <s v="Haryana"/>
    <n v="8"/>
    <n v="1"/>
    <n v="3225"/>
    <x v="0"/>
    <s v="Not an Outliers"/>
  </r>
  <r>
    <d v="2024-06-09T00:00:00"/>
    <x v="11"/>
    <x v="0"/>
    <x v="4"/>
    <n v="8376"/>
    <b v="0"/>
    <s v="Rainy"/>
    <x v="3"/>
    <s v="Wet"/>
    <s v="26-35"/>
    <n v="1"/>
    <s v="High"/>
    <s v="Expired"/>
    <b v="0"/>
    <n v="33"/>
    <s v="Haryana"/>
    <n v="9"/>
    <n v="2"/>
    <n v="3103"/>
    <x v="0"/>
    <s v="Not an Outliers"/>
  </r>
  <r>
    <d v="2024-06-10T00:00:00"/>
    <x v="1"/>
    <x v="0"/>
    <x v="4"/>
    <n v="9434"/>
    <b v="0"/>
    <s v="Cloudy"/>
    <x v="0"/>
    <s v="Slippery"/>
    <s v="36-50"/>
    <n v="2"/>
    <s v="High"/>
    <s v="Suspended"/>
    <b v="0"/>
    <n v="58"/>
    <s v="Rajasthan"/>
    <n v="7"/>
    <n v="2"/>
    <n v="3998"/>
    <x v="2"/>
    <s v="Not an Outliers"/>
  </r>
  <r>
    <d v="2024-06-11T00:00:00"/>
    <x v="12"/>
    <x v="2"/>
    <x v="5"/>
    <n v="5610"/>
    <b v="0"/>
    <s v="Cloudy"/>
    <x v="3"/>
    <s v="Slippery"/>
    <s v="36-50"/>
    <n v="18"/>
    <s v="High"/>
    <s v="Learner"/>
    <b v="0"/>
    <n v="61"/>
    <s v="Uttar Pradesh"/>
    <n v="5"/>
    <n v="3"/>
    <n v="4411"/>
    <x v="0"/>
    <s v="Not an Outliers"/>
  </r>
  <r>
    <d v="2024-06-12T00:00:00"/>
    <x v="3"/>
    <x v="4"/>
    <x v="4"/>
    <n v="9693"/>
    <b v="0"/>
    <s v="Foggy"/>
    <x v="2"/>
    <s v="Slippery"/>
    <s v="26-35"/>
    <n v="2"/>
    <s v="High"/>
    <s v="Learner"/>
    <b v="1"/>
    <n v="115"/>
    <s v="Delhi"/>
    <n v="4"/>
    <n v="3"/>
    <n v="1417"/>
    <x v="2"/>
    <s v="Not an Outliers"/>
  </r>
  <r>
    <d v="2024-06-12T00:00:00"/>
    <x v="1"/>
    <x v="2"/>
    <x v="1"/>
    <n v="1000"/>
    <b v="1"/>
    <s v="Stormy"/>
    <x v="0"/>
    <s v="Dry"/>
    <s v="26-35"/>
    <n v="4"/>
    <s v="Medium"/>
    <s v="Expired"/>
    <b v="0"/>
    <n v="96"/>
    <s v="Uttar Pradesh"/>
    <n v="10"/>
    <n v="1"/>
    <n v="2446"/>
    <x v="0"/>
    <s v="Not an Outliers"/>
  </r>
  <r>
    <d v="2024-06-13T00:00:00"/>
    <x v="6"/>
    <x v="1"/>
    <x v="5"/>
    <n v="2307"/>
    <b v="1"/>
    <s v="Rainy"/>
    <x v="2"/>
    <s v="Under Construction"/>
    <s v="26-35"/>
    <n v="2"/>
    <s v="Medium"/>
    <s v="Expired"/>
    <b v="0"/>
    <n v="0"/>
    <s v="Uttar Pradesh"/>
    <n v="4"/>
    <n v="1"/>
    <n v="4228"/>
    <x v="0"/>
    <s v="Not an Outliers"/>
  </r>
  <r>
    <d v="2024-06-13T00:00:00"/>
    <x v="10"/>
    <x v="4"/>
    <x v="1"/>
    <n v="1000"/>
    <b v="0"/>
    <s v="Foggy"/>
    <x v="2"/>
    <s v="Under Construction"/>
    <s v="36-50"/>
    <n v="2"/>
    <s v="High"/>
    <s v="Valid"/>
    <b v="1"/>
    <n v="66"/>
    <s v="Uttar Pradesh"/>
    <n v="8"/>
    <n v="2"/>
    <n v="1492"/>
    <x v="1"/>
    <s v="Not an Outliers"/>
  </r>
  <r>
    <d v="2024-06-14T00:00:00"/>
    <x v="1"/>
    <x v="3"/>
    <x v="4"/>
    <n v="9602"/>
    <b v="0"/>
    <s v="Rainy"/>
    <x v="3"/>
    <s v="Slippery"/>
    <s v="36-50"/>
    <n v="5"/>
    <s v="High"/>
    <s v="Expired"/>
    <b v="1"/>
    <n v="91"/>
    <s v="Haryana"/>
    <n v="7"/>
    <n v="2"/>
    <n v="1434"/>
    <x v="1"/>
    <s v="Not an Outliers"/>
  </r>
  <r>
    <d v="2024-06-15T00:00:00"/>
    <x v="10"/>
    <x v="0"/>
    <x v="4"/>
    <n v="7629"/>
    <b v="0"/>
    <s v="Clear"/>
    <x v="0"/>
    <s v="Slippery"/>
    <s v="26-35"/>
    <n v="1"/>
    <s v="Low"/>
    <s v="Suspended"/>
    <b v="0"/>
    <n v="60"/>
    <s v="Haryana"/>
    <n v="4"/>
    <n v="2"/>
    <n v="966"/>
    <x v="0"/>
    <s v="Not an Outliers"/>
  </r>
  <r>
    <d v="2024-06-15T00:00:00"/>
    <x v="5"/>
    <x v="3"/>
    <x v="5"/>
    <n v="2596"/>
    <b v="1"/>
    <s v="Clear"/>
    <x v="1"/>
    <s v="Under Construction"/>
    <s v="26-35"/>
    <n v="5"/>
    <s v="High"/>
    <s v="Learner"/>
    <b v="0"/>
    <n v="19"/>
    <s v="Rajasthan"/>
    <n v="2"/>
    <n v="2"/>
    <n v="2131"/>
    <x v="2"/>
    <s v="Not an Outliers"/>
  </r>
  <r>
    <d v="2024-06-15T00:00:00"/>
    <x v="2"/>
    <x v="1"/>
    <x v="3"/>
    <n v="4613"/>
    <b v="1"/>
    <s v="Rainy"/>
    <x v="1"/>
    <s v="Under Construction"/>
    <s v="18-25"/>
    <n v="1"/>
    <s v="Medium"/>
    <s v="Suspended"/>
    <b v="1"/>
    <n v="73"/>
    <s v="Haryana"/>
    <n v="9"/>
    <n v="3"/>
    <n v="1800"/>
    <x v="0"/>
    <s v="Not an Outliers"/>
  </r>
  <r>
    <d v="2024-06-16T00:00:00"/>
    <x v="8"/>
    <x v="3"/>
    <x v="1"/>
    <n v="1000"/>
    <b v="1"/>
    <s v="Clear"/>
    <x v="2"/>
    <s v="Under Construction"/>
    <s v="18-25"/>
    <n v="5"/>
    <s v="Medium"/>
    <s v="Valid"/>
    <b v="1"/>
    <n v="88"/>
    <s v="Haryana"/>
    <n v="8"/>
    <n v="3"/>
    <n v="1430"/>
    <x v="2"/>
    <s v="Not an Outliers"/>
  </r>
  <r>
    <d v="2024-06-16T00:00:00"/>
    <x v="6"/>
    <x v="0"/>
    <x v="0"/>
    <n v="1000"/>
    <b v="0"/>
    <s v="Clear"/>
    <x v="3"/>
    <s v="Dry"/>
    <s v="36-50"/>
    <n v="3"/>
    <s v="Medium"/>
    <s v="Valid"/>
    <b v="0"/>
    <n v="25"/>
    <s v="Uttar Pradesh"/>
    <n v="5"/>
    <n v="1"/>
    <n v="2848"/>
    <x v="1"/>
    <s v="Not an Outliers"/>
  </r>
  <r>
    <d v="2024-06-17T00:00:00"/>
    <x v="3"/>
    <x v="0"/>
    <x v="3"/>
    <n v="2468"/>
    <b v="1"/>
    <s v="Stormy"/>
    <x v="1"/>
    <s v="Slippery"/>
    <s v="26-35"/>
    <n v="2"/>
    <s v="Medium"/>
    <s v="Suspended"/>
    <b v="0"/>
    <n v="41"/>
    <s v="Delhi"/>
    <n v="4"/>
    <n v="1"/>
    <n v="2730"/>
    <x v="2"/>
    <s v="Not an Outliers"/>
  </r>
  <r>
    <d v="2024-06-17T00:00:00"/>
    <x v="3"/>
    <x v="4"/>
    <x v="5"/>
    <n v="7693"/>
    <b v="0"/>
    <s v="Cloudy"/>
    <x v="3"/>
    <s v="Slippery"/>
    <s v="26-35"/>
    <n v="5"/>
    <s v="Medium"/>
    <s v="Suspended"/>
    <b v="0"/>
    <n v="65"/>
    <s v="Haryana"/>
    <n v="7"/>
    <n v="2"/>
    <n v="4674"/>
    <x v="2"/>
    <s v="Not an Outliers"/>
  </r>
  <r>
    <d v="2024-06-20T00:00:00"/>
    <x v="12"/>
    <x v="0"/>
    <x v="4"/>
    <n v="8413"/>
    <b v="0"/>
    <s v="Stormy"/>
    <x v="0"/>
    <s v="Slippery"/>
    <s v="18-25"/>
    <n v="0"/>
    <s v="Low"/>
    <s v="Expired"/>
    <b v="1"/>
    <n v="90"/>
    <s v="Rajasthan"/>
    <n v="6"/>
    <n v="2"/>
    <n v="2806"/>
    <x v="0"/>
    <s v="Not an Outliers"/>
  </r>
  <r>
    <d v="2024-06-20T00:00:00"/>
    <x v="1"/>
    <x v="2"/>
    <x v="1"/>
    <n v="1000"/>
    <b v="0"/>
    <s v="Rainy"/>
    <x v="0"/>
    <s v="Slippery"/>
    <s v="26-35"/>
    <n v="9"/>
    <s v="Medium"/>
    <s v="Suspended"/>
    <b v="0"/>
    <n v="19"/>
    <s v="Delhi"/>
    <n v="10"/>
    <n v="2"/>
    <n v="1019"/>
    <x v="0"/>
    <s v="Not an Outliers"/>
  </r>
  <r>
    <d v="2024-06-20T00:00:00"/>
    <x v="2"/>
    <x v="2"/>
    <x v="2"/>
    <n v="2158"/>
    <b v="1"/>
    <s v="Rainy"/>
    <x v="1"/>
    <s v="Under Construction"/>
    <s v="26-35"/>
    <n v="1"/>
    <s v="High"/>
    <s v="Valid"/>
    <b v="0"/>
    <n v="120"/>
    <s v="Delhi"/>
    <n v="3"/>
    <n v="3"/>
    <n v="2781"/>
    <x v="2"/>
    <s v="Not an Outliers"/>
  </r>
  <r>
    <d v="2024-06-20T00:00:00"/>
    <x v="8"/>
    <x v="0"/>
    <x v="4"/>
    <n v="5779"/>
    <b v="0"/>
    <s v="Rainy"/>
    <x v="3"/>
    <s v="Dry"/>
    <s v="50+"/>
    <n v="2"/>
    <s v="High"/>
    <s v="Expired"/>
    <b v="0"/>
    <n v="38"/>
    <s v="Delhi"/>
    <n v="7"/>
    <n v="1"/>
    <n v="4666"/>
    <x v="2"/>
    <s v="Not an Outliers"/>
  </r>
  <r>
    <d v="2024-06-21T00:00:00"/>
    <x v="11"/>
    <x v="4"/>
    <x v="4"/>
    <n v="9581"/>
    <b v="0"/>
    <s v="Stormy"/>
    <x v="1"/>
    <s v="Under Construction"/>
    <s v="18-25"/>
    <n v="3"/>
    <s v="Low"/>
    <s v="Expired"/>
    <b v="1"/>
    <n v="35"/>
    <s v="Uttar Pradesh"/>
    <n v="10"/>
    <n v="2"/>
    <n v="2343"/>
    <x v="0"/>
    <s v="Not an Outliers"/>
  </r>
  <r>
    <d v="2024-06-21T00:00:00"/>
    <x v="6"/>
    <x v="0"/>
    <x v="0"/>
    <n v="1000"/>
    <b v="1"/>
    <s v="Rainy"/>
    <x v="0"/>
    <s v="Dry"/>
    <s v="26-35"/>
    <n v="2"/>
    <s v="High"/>
    <s v="Valid"/>
    <b v="1"/>
    <n v="2"/>
    <s v="Delhi"/>
    <n v="1"/>
    <n v="3"/>
    <n v="3373"/>
    <x v="0"/>
    <s v="Not an Outliers"/>
  </r>
  <r>
    <d v="2024-06-21T00:00:00"/>
    <x v="5"/>
    <x v="2"/>
    <x v="5"/>
    <n v="2666"/>
    <b v="0"/>
    <s v="Rainy"/>
    <x v="1"/>
    <s v="Wet"/>
    <s v="18-25"/>
    <n v="2"/>
    <s v="Medium"/>
    <s v="Suspended"/>
    <b v="1"/>
    <n v="71"/>
    <s v="Delhi"/>
    <n v="10"/>
    <n v="2"/>
    <n v="2660"/>
    <x v="1"/>
    <s v="Not an Outliers"/>
  </r>
  <r>
    <d v="2024-06-22T00:00:00"/>
    <x v="8"/>
    <x v="0"/>
    <x v="2"/>
    <n v="1080"/>
    <b v="1"/>
    <s v="Clear"/>
    <x v="2"/>
    <s v="Wet"/>
    <s v="50+"/>
    <n v="2"/>
    <s v="Medium"/>
    <s v="Expired"/>
    <b v="0"/>
    <n v="67"/>
    <s v="Punjab"/>
    <n v="9"/>
    <n v="1"/>
    <n v="4568"/>
    <x v="0"/>
    <s v="Not an Outliers"/>
  </r>
  <r>
    <d v="2024-06-23T00:00:00"/>
    <x v="5"/>
    <x v="1"/>
    <x v="3"/>
    <n v="2045"/>
    <b v="1"/>
    <s v="Clear"/>
    <x v="3"/>
    <s v="Under Construction"/>
    <s v="18-25"/>
    <n v="3"/>
    <s v="Medium"/>
    <s v="Valid"/>
    <b v="0"/>
    <n v="79"/>
    <s v="Delhi"/>
    <n v="4"/>
    <n v="3"/>
    <n v="4151"/>
    <x v="1"/>
    <s v="Not an Outliers"/>
  </r>
  <r>
    <d v="2024-06-23T00:00:00"/>
    <x v="3"/>
    <x v="4"/>
    <x v="5"/>
    <n v="5383"/>
    <b v="1"/>
    <s v="Clear"/>
    <x v="0"/>
    <s v="Under Construction"/>
    <s v="50+"/>
    <n v="2"/>
    <s v="Low"/>
    <s v="Expired"/>
    <b v="0"/>
    <n v="21"/>
    <s v="Delhi"/>
    <n v="3"/>
    <n v="1"/>
    <n v="3774"/>
    <x v="2"/>
    <s v="Not an Outliers"/>
  </r>
  <r>
    <d v="2024-06-23T00:00:00"/>
    <x v="9"/>
    <x v="0"/>
    <x v="4"/>
    <n v="9615"/>
    <b v="0"/>
    <s v="Foggy"/>
    <x v="0"/>
    <s v="Under Construction"/>
    <s v="18-25"/>
    <n v="4"/>
    <s v="High"/>
    <s v="Valid"/>
    <b v="0"/>
    <n v="47"/>
    <s v="Rajasthan"/>
    <n v="2"/>
    <n v="1"/>
    <n v="1705"/>
    <x v="2"/>
    <s v="Not an Outliers"/>
  </r>
  <r>
    <d v="2024-06-23T00:00:00"/>
    <x v="14"/>
    <x v="0"/>
    <x v="2"/>
    <n v="3748"/>
    <b v="1"/>
    <s v="Rainy"/>
    <x v="0"/>
    <s v="Slippery"/>
    <s v="18-25"/>
    <n v="2"/>
    <s v="High"/>
    <s v="Suspended"/>
    <b v="0"/>
    <n v="81"/>
    <s v="Haryana"/>
    <n v="3"/>
    <n v="2"/>
    <n v="3807"/>
    <x v="2"/>
    <s v="Not an Outliers"/>
  </r>
  <r>
    <d v="2024-06-24T00:00:00"/>
    <x v="12"/>
    <x v="3"/>
    <x v="5"/>
    <n v="3508"/>
    <b v="0"/>
    <s v="Cloudy"/>
    <x v="2"/>
    <s v="Under Construction"/>
    <s v="50+"/>
    <n v="3"/>
    <s v="High"/>
    <s v="Expired"/>
    <b v="0"/>
    <n v="30"/>
    <s v="Punjab"/>
    <n v="7"/>
    <n v="1"/>
    <n v="4045"/>
    <x v="1"/>
    <s v="Not an Outliers"/>
  </r>
  <r>
    <d v="2024-06-24T00:00:00"/>
    <x v="6"/>
    <x v="4"/>
    <x v="3"/>
    <n v="3014"/>
    <b v="0"/>
    <s v="Clear"/>
    <x v="0"/>
    <s v="Under Construction"/>
    <s v="26-35"/>
    <n v="0"/>
    <s v="Medium"/>
    <s v="Learner"/>
    <b v="0"/>
    <n v="61"/>
    <s v="Haryana"/>
    <n v="10"/>
    <n v="3"/>
    <n v="4917"/>
    <x v="0"/>
    <s v="Not an Outliers"/>
  </r>
  <r>
    <d v="2024-06-24T00:00:00"/>
    <x v="2"/>
    <x v="1"/>
    <x v="1"/>
    <n v="1000"/>
    <b v="1"/>
    <s v="Foggy"/>
    <x v="1"/>
    <s v="Slippery"/>
    <s v="26-35"/>
    <n v="3"/>
    <s v="Low"/>
    <s v="Learner"/>
    <b v="1"/>
    <n v="50"/>
    <s v="Delhi"/>
    <n v="2"/>
    <n v="1"/>
    <n v="2122"/>
    <x v="1"/>
    <s v="Not an Outliers"/>
  </r>
  <r>
    <d v="2024-06-24T00:00:00"/>
    <x v="3"/>
    <x v="0"/>
    <x v="0"/>
    <n v="1000"/>
    <b v="0"/>
    <s v="Stormy"/>
    <x v="1"/>
    <s v="Wet"/>
    <s v="36-50"/>
    <n v="2"/>
    <s v="Low"/>
    <s v="Learner"/>
    <b v="1"/>
    <n v="54"/>
    <s v="Rajasthan"/>
    <n v="7"/>
    <n v="3"/>
    <n v="2655"/>
    <x v="1"/>
    <s v="Not an Outliers"/>
  </r>
  <r>
    <d v="2024-06-24T00:00:00"/>
    <x v="0"/>
    <x v="2"/>
    <x v="5"/>
    <n v="2252"/>
    <b v="0"/>
    <s v="Foggy"/>
    <x v="3"/>
    <s v="Slippery"/>
    <s v="18-25"/>
    <n v="1"/>
    <s v="Medium"/>
    <s v="Expired"/>
    <b v="1"/>
    <n v="61"/>
    <s v="Punjab"/>
    <n v="9"/>
    <n v="2"/>
    <n v="4808"/>
    <x v="2"/>
    <s v="Not an Outliers"/>
  </r>
  <r>
    <d v="2024-06-25T00:00:00"/>
    <x v="6"/>
    <x v="4"/>
    <x v="5"/>
    <n v="3268"/>
    <b v="1"/>
    <s v="Rainy"/>
    <x v="1"/>
    <s v="Under Construction"/>
    <s v="26-35"/>
    <n v="0"/>
    <s v="High"/>
    <s v="Valid"/>
    <b v="0"/>
    <n v="112"/>
    <s v="Punjab"/>
    <n v="4"/>
    <n v="1"/>
    <n v="1985"/>
    <x v="0"/>
    <s v="Not an Outliers"/>
  </r>
  <r>
    <d v="2024-06-25T00:00:00"/>
    <x v="6"/>
    <x v="3"/>
    <x v="5"/>
    <n v="2255"/>
    <b v="1"/>
    <s v="Clear"/>
    <x v="2"/>
    <s v="Under Construction"/>
    <s v="50+"/>
    <n v="0"/>
    <s v="Low"/>
    <s v="Expired"/>
    <b v="1"/>
    <n v="52"/>
    <s v="Delhi"/>
    <n v="9"/>
    <n v="2"/>
    <n v="1429"/>
    <x v="0"/>
    <s v="Not an Outliers"/>
  </r>
  <r>
    <d v="2024-06-25T00:00:00"/>
    <x v="9"/>
    <x v="3"/>
    <x v="3"/>
    <n v="2158"/>
    <b v="0"/>
    <s v="Foggy"/>
    <x v="3"/>
    <s v="Wet"/>
    <s v="18-25"/>
    <n v="5"/>
    <s v="Medium"/>
    <s v="Learner"/>
    <b v="0"/>
    <n v="13"/>
    <s v="Uttar Pradesh"/>
    <n v="6"/>
    <n v="3"/>
    <n v="3122"/>
    <x v="2"/>
    <s v="Not an Outliers"/>
  </r>
  <r>
    <d v="2024-06-25T00:00:00"/>
    <x v="2"/>
    <x v="0"/>
    <x v="3"/>
    <n v="3001"/>
    <b v="0"/>
    <s v="Foggy"/>
    <x v="1"/>
    <s v="Dry"/>
    <s v="26-35"/>
    <n v="1"/>
    <s v="Low"/>
    <s v="Suspended"/>
    <b v="1"/>
    <n v="64"/>
    <s v="Punjab"/>
    <n v="5"/>
    <n v="2"/>
    <n v="1249"/>
    <x v="1"/>
    <s v="Not an Outliers"/>
  </r>
  <r>
    <d v="2024-06-26T00:00:00"/>
    <x v="5"/>
    <x v="4"/>
    <x v="2"/>
    <n v="1325"/>
    <b v="0"/>
    <s v="Foggy"/>
    <x v="1"/>
    <s v="Dry"/>
    <s v="26-35"/>
    <n v="5"/>
    <s v="Low"/>
    <s v="Expired"/>
    <b v="0"/>
    <n v="114"/>
    <s v="Uttar Pradesh"/>
    <n v="10"/>
    <n v="2"/>
    <n v="721"/>
    <x v="0"/>
    <s v="Not an Outliers"/>
  </r>
  <r>
    <d v="2024-06-26T00:00:00"/>
    <x v="12"/>
    <x v="3"/>
    <x v="3"/>
    <n v="3725"/>
    <b v="0"/>
    <s v="Stormy"/>
    <x v="3"/>
    <s v="Slippery"/>
    <s v="26-35"/>
    <n v="1"/>
    <s v="Low"/>
    <s v="Valid"/>
    <b v="0"/>
    <n v="79"/>
    <s v="Delhi"/>
    <n v="9"/>
    <n v="2"/>
    <n v="870"/>
    <x v="1"/>
    <s v="Not an Outliers"/>
  </r>
  <r>
    <d v="2024-06-26T00:00:00"/>
    <x v="9"/>
    <x v="1"/>
    <x v="1"/>
    <n v="1000"/>
    <b v="0"/>
    <s v="Foggy"/>
    <x v="1"/>
    <s v="Slippery"/>
    <s v="26-35"/>
    <n v="0"/>
    <s v="Medium"/>
    <s v="Learner"/>
    <b v="0"/>
    <n v="54"/>
    <s v="Haryana"/>
    <n v="6"/>
    <n v="1"/>
    <n v="3748"/>
    <x v="2"/>
    <s v="Not an Outliers"/>
  </r>
  <r>
    <d v="2024-06-26T00:00:00"/>
    <x v="8"/>
    <x v="0"/>
    <x v="3"/>
    <n v="2874"/>
    <b v="0"/>
    <s v="Stormy"/>
    <x v="3"/>
    <s v="Wet"/>
    <s v="36-50"/>
    <n v="0"/>
    <s v="High"/>
    <s v="Valid"/>
    <b v="0"/>
    <n v="7"/>
    <s v="Delhi"/>
    <n v="6"/>
    <n v="1"/>
    <n v="3394"/>
    <x v="0"/>
    <s v="Not an Outliers"/>
  </r>
  <r>
    <d v="2024-06-26T00:00:00"/>
    <x v="10"/>
    <x v="4"/>
    <x v="2"/>
    <n v="1593"/>
    <b v="1"/>
    <s v="Clear"/>
    <x v="3"/>
    <s v="Wet"/>
    <s v="26-35"/>
    <n v="3"/>
    <s v="Medium"/>
    <s v="Valid"/>
    <b v="0"/>
    <n v="71"/>
    <s v="Haryana"/>
    <n v="6"/>
    <n v="1"/>
    <n v="1376"/>
    <x v="1"/>
    <s v="Not an Outliers"/>
  </r>
  <r>
    <d v="2024-06-27T00:00:00"/>
    <x v="1"/>
    <x v="4"/>
    <x v="1"/>
    <n v="1000"/>
    <b v="0"/>
    <s v="Cloudy"/>
    <x v="2"/>
    <s v="Slippery"/>
    <s v="50+"/>
    <n v="2"/>
    <s v="High"/>
    <s v="Suspended"/>
    <b v="0"/>
    <n v="119"/>
    <s v="Rajasthan"/>
    <n v="9"/>
    <n v="1"/>
    <n v="763"/>
    <x v="1"/>
    <s v="Not an Outliers"/>
  </r>
  <r>
    <d v="2024-06-27T00:00:00"/>
    <x v="12"/>
    <x v="0"/>
    <x v="0"/>
    <n v="1000"/>
    <b v="0"/>
    <s v="Stormy"/>
    <x v="2"/>
    <s v="Slippery"/>
    <s v="50+"/>
    <n v="0"/>
    <s v="Low"/>
    <s v="Learner"/>
    <b v="0"/>
    <n v="4"/>
    <s v="Uttar Pradesh"/>
    <n v="8"/>
    <n v="3"/>
    <n v="598"/>
    <x v="1"/>
    <s v="Not an Outliers"/>
  </r>
  <r>
    <d v="2024-06-27T00:00:00"/>
    <x v="11"/>
    <x v="4"/>
    <x v="4"/>
    <n v="5282"/>
    <b v="0"/>
    <s v="Stormy"/>
    <x v="3"/>
    <s v="Dry"/>
    <s v="18-25"/>
    <n v="1"/>
    <s v="Medium"/>
    <s v="Learner"/>
    <b v="1"/>
    <n v="24"/>
    <s v="Uttar Pradesh"/>
    <n v="3"/>
    <n v="3"/>
    <n v="4391"/>
    <x v="2"/>
    <s v="Not an Outliers"/>
  </r>
  <r>
    <d v="2024-06-27T00:00:00"/>
    <x v="11"/>
    <x v="2"/>
    <x v="1"/>
    <n v="1000"/>
    <b v="0"/>
    <s v="Stormy"/>
    <x v="1"/>
    <s v="Dry"/>
    <s v="26-35"/>
    <n v="3"/>
    <s v="Medium"/>
    <s v="Valid"/>
    <b v="1"/>
    <n v="58"/>
    <s v="Delhi"/>
    <n v="1"/>
    <n v="2"/>
    <n v="3201"/>
    <x v="0"/>
    <s v="Not an Outliers"/>
  </r>
  <r>
    <d v="2024-06-28T00:00:00"/>
    <x v="0"/>
    <x v="4"/>
    <x v="1"/>
    <n v="1000"/>
    <b v="0"/>
    <s v="Cloudy"/>
    <x v="2"/>
    <s v="Wet"/>
    <s v="36-50"/>
    <n v="2"/>
    <s v="Low"/>
    <s v="Learner"/>
    <b v="1"/>
    <n v="24"/>
    <s v="Haryana"/>
    <n v="4"/>
    <n v="3"/>
    <n v="4220"/>
    <x v="2"/>
    <s v="Not an Outliers"/>
  </r>
  <r>
    <d v="2024-06-28T00:00:00"/>
    <x v="1"/>
    <x v="0"/>
    <x v="3"/>
    <n v="2386"/>
    <b v="1"/>
    <s v="Stormy"/>
    <x v="3"/>
    <s v="Under Construction"/>
    <s v="26-35"/>
    <n v="2"/>
    <s v="High"/>
    <s v="Learner"/>
    <b v="0"/>
    <n v="52"/>
    <s v="Uttar Pradesh"/>
    <n v="9"/>
    <n v="1"/>
    <n v="1361"/>
    <x v="0"/>
    <s v="Not an Outliers"/>
  </r>
  <r>
    <d v="2024-06-28T00:00:00"/>
    <x v="7"/>
    <x v="1"/>
    <x v="2"/>
    <n v="2062"/>
    <b v="1"/>
    <s v="Stormy"/>
    <x v="0"/>
    <s v="Wet"/>
    <s v="26-35"/>
    <n v="5"/>
    <s v="Low"/>
    <s v="Expired"/>
    <b v="0"/>
    <n v="113"/>
    <s v="Haryana"/>
    <n v="6"/>
    <n v="3"/>
    <n v="976"/>
    <x v="2"/>
    <s v="Not an Outliers"/>
  </r>
  <r>
    <d v="2024-07-01T00:00:00"/>
    <x v="1"/>
    <x v="2"/>
    <x v="2"/>
    <n v="3787"/>
    <b v="1"/>
    <s v="Foggy"/>
    <x v="0"/>
    <s v="Slippery"/>
    <s v="26-35"/>
    <n v="4"/>
    <s v="High"/>
    <s v="Expired"/>
    <b v="1"/>
    <n v="24"/>
    <s v="Haryana"/>
    <n v="3"/>
    <n v="2"/>
    <n v="3284"/>
    <x v="0"/>
    <s v="Not an Outliers"/>
  </r>
  <r>
    <d v="2024-07-01T00:00:00"/>
    <x v="2"/>
    <x v="1"/>
    <x v="1"/>
    <n v="1000"/>
    <b v="1"/>
    <s v="Clear"/>
    <x v="1"/>
    <s v="Wet"/>
    <s v="36-50"/>
    <n v="2"/>
    <s v="Low"/>
    <s v="Learner"/>
    <b v="0"/>
    <n v="76"/>
    <s v="Punjab"/>
    <n v="1"/>
    <n v="1"/>
    <n v="3443"/>
    <x v="0"/>
    <s v="Not an Outliers"/>
  </r>
  <r>
    <d v="2024-07-01T00:00:00"/>
    <x v="8"/>
    <x v="3"/>
    <x v="4"/>
    <n v="7471"/>
    <b v="0"/>
    <s v="Foggy"/>
    <x v="3"/>
    <s v="Slippery"/>
    <s v="18-25"/>
    <n v="4"/>
    <s v="Low"/>
    <s v="Expired"/>
    <b v="1"/>
    <n v="56"/>
    <s v="Haryana"/>
    <n v="9"/>
    <n v="1"/>
    <n v="3439"/>
    <x v="1"/>
    <s v="Not an Outliers"/>
  </r>
  <r>
    <d v="2024-07-02T00:00:00"/>
    <x v="4"/>
    <x v="3"/>
    <x v="1"/>
    <n v="1000"/>
    <b v="0"/>
    <s v="Foggy"/>
    <x v="2"/>
    <s v="Dry"/>
    <s v="18-25"/>
    <n v="0"/>
    <s v="Medium"/>
    <s v="Expired"/>
    <b v="1"/>
    <n v="77"/>
    <s v="Delhi"/>
    <n v="5"/>
    <n v="2"/>
    <n v="2011"/>
    <x v="0"/>
    <s v="Not an Outliers"/>
  </r>
  <r>
    <d v="2024-07-02T00:00:00"/>
    <x v="1"/>
    <x v="4"/>
    <x v="1"/>
    <n v="1000"/>
    <b v="0"/>
    <s v="Cloudy"/>
    <x v="1"/>
    <s v="Wet"/>
    <s v="50+"/>
    <n v="2"/>
    <s v="Medium"/>
    <s v="Learner"/>
    <b v="1"/>
    <n v="24"/>
    <s v="Delhi"/>
    <n v="4"/>
    <n v="3"/>
    <n v="4062"/>
    <x v="2"/>
    <s v="Not an Outliers"/>
  </r>
  <r>
    <d v="2024-07-02T00:00:00"/>
    <x v="3"/>
    <x v="0"/>
    <x v="2"/>
    <n v="4403"/>
    <b v="1"/>
    <s v="Foggy"/>
    <x v="2"/>
    <s v="Under Construction"/>
    <s v="36-50"/>
    <n v="3"/>
    <s v="Medium"/>
    <s v="Suspended"/>
    <b v="1"/>
    <n v="52"/>
    <s v="Rajasthan"/>
    <n v="9"/>
    <n v="3"/>
    <n v="1006"/>
    <x v="1"/>
    <s v="Not an Outliers"/>
  </r>
  <r>
    <d v="2024-07-03T00:00:00"/>
    <x v="13"/>
    <x v="3"/>
    <x v="1"/>
    <n v="1000"/>
    <b v="0"/>
    <s v="Foggy"/>
    <x v="3"/>
    <s v="Dry"/>
    <s v="50+"/>
    <n v="0"/>
    <s v="Medium"/>
    <s v="Learner"/>
    <b v="1"/>
    <n v="16"/>
    <s v="Rajasthan"/>
    <n v="2"/>
    <n v="2"/>
    <n v="1347"/>
    <x v="2"/>
    <s v="Not an Outliers"/>
  </r>
  <r>
    <d v="2024-07-03T00:00:00"/>
    <x v="5"/>
    <x v="0"/>
    <x v="4"/>
    <n v="5856"/>
    <b v="0"/>
    <s v="Cloudy"/>
    <x v="0"/>
    <s v="Slippery"/>
    <s v="26-35"/>
    <n v="2"/>
    <s v="Medium"/>
    <s v="Suspended"/>
    <b v="0"/>
    <n v="17"/>
    <s v="Haryana"/>
    <n v="4"/>
    <n v="2"/>
    <n v="1748"/>
    <x v="0"/>
    <s v="Not an Outliers"/>
  </r>
  <r>
    <d v="2024-07-04T00:00:00"/>
    <x v="6"/>
    <x v="2"/>
    <x v="4"/>
    <n v="9452"/>
    <b v="0"/>
    <s v="Cloudy"/>
    <x v="0"/>
    <s v="Wet"/>
    <s v="26-35"/>
    <n v="5"/>
    <s v="Low"/>
    <s v="Suspended"/>
    <b v="0"/>
    <n v="41"/>
    <s v="Haryana"/>
    <n v="6"/>
    <n v="2"/>
    <n v="4316"/>
    <x v="2"/>
    <s v="Not an Outliers"/>
  </r>
  <r>
    <d v="2024-07-04T00:00:00"/>
    <x v="1"/>
    <x v="1"/>
    <x v="2"/>
    <n v="1885"/>
    <b v="0"/>
    <s v="Cloudy"/>
    <x v="2"/>
    <s v="Under Construction"/>
    <s v="50+"/>
    <n v="1"/>
    <s v="Low"/>
    <s v="Valid"/>
    <b v="0"/>
    <n v="57"/>
    <s v="Uttar Pradesh"/>
    <n v="2"/>
    <n v="3"/>
    <n v="2752"/>
    <x v="2"/>
    <s v="Not an Outliers"/>
  </r>
  <r>
    <d v="2024-07-04T00:00:00"/>
    <x v="12"/>
    <x v="4"/>
    <x v="5"/>
    <n v="3584"/>
    <b v="0"/>
    <s v="Clear"/>
    <x v="0"/>
    <s v="Slippery"/>
    <s v="36-50"/>
    <n v="4"/>
    <s v="Medium"/>
    <s v="Learner"/>
    <b v="0"/>
    <n v="104"/>
    <s v="Haryana"/>
    <n v="10"/>
    <n v="1"/>
    <n v="838"/>
    <x v="2"/>
    <s v="Not an Outliers"/>
  </r>
  <r>
    <d v="2024-07-05T00:00:00"/>
    <x v="8"/>
    <x v="2"/>
    <x v="1"/>
    <n v="1000"/>
    <b v="0"/>
    <s v="Clear"/>
    <x v="0"/>
    <s v="Dry"/>
    <s v="26-35"/>
    <n v="2"/>
    <s v="Low"/>
    <s v="Suspended"/>
    <b v="1"/>
    <n v="70"/>
    <s v="Rajasthan"/>
    <n v="10"/>
    <n v="1"/>
    <n v="3087"/>
    <x v="1"/>
    <s v="Not an Outliers"/>
  </r>
  <r>
    <d v="2024-07-06T00:00:00"/>
    <x v="8"/>
    <x v="2"/>
    <x v="3"/>
    <n v="3725"/>
    <b v="1"/>
    <s v="Clear"/>
    <x v="0"/>
    <s v="Dry"/>
    <s v="36-50"/>
    <n v="1"/>
    <s v="High"/>
    <s v="Valid"/>
    <b v="0"/>
    <n v="31"/>
    <s v="Delhi"/>
    <n v="7"/>
    <n v="1"/>
    <n v="1819"/>
    <x v="0"/>
    <s v="Not an Outliers"/>
  </r>
  <r>
    <d v="2024-07-06T00:00:00"/>
    <x v="1"/>
    <x v="3"/>
    <x v="2"/>
    <n v="4076"/>
    <b v="0"/>
    <s v="Rainy"/>
    <x v="1"/>
    <s v="Dry"/>
    <s v="36-50"/>
    <n v="1"/>
    <s v="Low"/>
    <s v="Suspended"/>
    <b v="0"/>
    <n v="5"/>
    <s v="Delhi"/>
    <n v="8"/>
    <n v="2"/>
    <n v="4100"/>
    <x v="2"/>
    <s v="Not an Outliers"/>
  </r>
  <r>
    <d v="2024-07-06T00:00:00"/>
    <x v="0"/>
    <x v="1"/>
    <x v="5"/>
    <n v="4915"/>
    <b v="0"/>
    <s v="Rainy"/>
    <x v="2"/>
    <s v="Slippery"/>
    <s v="36-50"/>
    <n v="3"/>
    <s v="Low"/>
    <s v="Suspended"/>
    <b v="0"/>
    <n v="7"/>
    <s v="Uttar Pradesh"/>
    <n v="1"/>
    <n v="2"/>
    <n v="3719"/>
    <x v="2"/>
    <s v="Not an Outliers"/>
  </r>
  <r>
    <d v="2024-07-07T00:00:00"/>
    <x v="9"/>
    <x v="1"/>
    <x v="5"/>
    <n v="2274"/>
    <b v="1"/>
    <s v="Foggy"/>
    <x v="3"/>
    <s v="Wet"/>
    <s v="50+"/>
    <n v="3"/>
    <s v="High"/>
    <s v="Expired"/>
    <b v="1"/>
    <n v="36"/>
    <s v="Rajasthan"/>
    <n v="10"/>
    <n v="3"/>
    <n v="4605"/>
    <x v="1"/>
    <s v="Not an Outliers"/>
  </r>
  <r>
    <d v="2024-07-07T00:00:00"/>
    <x v="0"/>
    <x v="3"/>
    <x v="4"/>
    <n v="6606"/>
    <b v="0"/>
    <s v="Rainy"/>
    <x v="1"/>
    <s v="Under Construction"/>
    <s v="36-50"/>
    <n v="0"/>
    <s v="Low"/>
    <s v="Expired"/>
    <b v="0"/>
    <n v="13"/>
    <s v="Rajasthan"/>
    <n v="10"/>
    <n v="1"/>
    <n v="764"/>
    <x v="2"/>
    <s v="Not an Outliers"/>
  </r>
  <r>
    <d v="2024-07-07T00:00:00"/>
    <x v="6"/>
    <x v="4"/>
    <x v="2"/>
    <n v="4085"/>
    <b v="1"/>
    <s v="Clear"/>
    <x v="0"/>
    <s v="Dry"/>
    <s v="36-50"/>
    <n v="5"/>
    <s v="Low"/>
    <s v="Learner"/>
    <b v="1"/>
    <n v="101"/>
    <s v="Rajasthan"/>
    <n v="2"/>
    <n v="1"/>
    <n v="830"/>
    <x v="1"/>
    <s v="Not an Outliers"/>
  </r>
  <r>
    <d v="2024-07-08T00:00:00"/>
    <x v="14"/>
    <x v="3"/>
    <x v="5"/>
    <n v="5378"/>
    <b v="0"/>
    <s v="Cloudy"/>
    <x v="2"/>
    <s v="Slippery"/>
    <s v="36-50"/>
    <n v="3"/>
    <s v="Medium"/>
    <s v="Expired"/>
    <b v="1"/>
    <n v="24"/>
    <s v="Punjab"/>
    <n v="4"/>
    <n v="1"/>
    <n v="3865"/>
    <x v="1"/>
    <s v="Not an Outliers"/>
  </r>
  <r>
    <d v="2024-07-08T00:00:00"/>
    <x v="0"/>
    <x v="2"/>
    <x v="1"/>
    <n v="1000"/>
    <b v="0"/>
    <s v="Rainy"/>
    <x v="2"/>
    <s v="Under Construction"/>
    <s v="36-50"/>
    <n v="4"/>
    <s v="High"/>
    <s v="Learner"/>
    <b v="1"/>
    <n v="42"/>
    <s v="Rajasthan"/>
    <n v="6"/>
    <n v="3"/>
    <n v="564"/>
    <x v="1"/>
    <s v="Not an Outliers"/>
  </r>
  <r>
    <d v="2024-07-09T00:00:00"/>
    <x v="1"/>
    <x v="1"/>
    <x v="5"/>
    <n v="2722"/>
    <b v="0"/>
    <s v="Cloudy"/>
    <x v="3"/>
    <s v="Slippery"/>
    <s v="36-50"/>
    <n v="2"/>
    <s v="High"/>
    <s v="Suspended"/>
    <b v="0"/>
    <n v="18"/>
    <s v="Rajasthan"/>
    <n v="5"/>
    <n v="1"/>
    <n v="2004"/>
    <x v="0"/>
    <s v="Not an Outliers"/>
  </r>
  <r>
    <d v="2024-07-09T00:00:00"/>
    <x v="12"/>
    <x v="4"/>
    <x v="1"/>
    <n v="1000"/>
    <b v="0"/>
    <s v="Clear"/>
    <x v="1"/>
    <s v="Dry"/>
    <s v="36-50"/>
    <n v="0"/>
    <s v="High"/>
    <s v="Suspended"/>
    <b v="0"/>
    <n v="105"/>
    <s v="Uttar Pradesh"/>
    <n v="4"/>
    <n v="2"/>
    <n v="1557"/>
    <x v="0"/>
    <s v="Not an Outliers"/>
  </r>
  <r>
    <d v="2024-07-09T00:00:00"/>
    <x v="11"/>
    <x v="4"/>
    <x v="4"/>
    <n v="9345"/>
    <b v="1"/>
    <s v="Stormy"/>
    <x v="0"/>
    <s v="Slippery"/>
    <s v="36-50"/>
    <n v="4"/>
    <s v="High"/>
    <s v="Learner"/>
    <b v="0"/>
    <n v="18"/>
    <s v="Uttar Pradesh"/>
    <n v="3"/>
    <n v="3"/>
    <n v="3125"/>
    <x v="2"/>
    <s v="Not an Outliers"/>
  </r>
  <r>
    <d v="2024-07-10T00:00:00"/>
    <x v="12"/>
    <x v="1"/>
    <x v="4"/>
    <n v="5562"/>
    <b v="0"/>
    <s v="Clear"/>
    <x v="3"/>
    <s v="Under Construction"/>
    <s v="26-35"/>
    <n v="4"/>
    <s v="Medium"/>
    <s v="Suspended"/>
    <b v="0"/>
    <n v="77"/>
    <s v="Haryana"/>
    <n v="2"/>
    <n v="1"/>
    <n v="2046"/>
    <x v="1"/>
    <s v="Not an Outliers"/>
  </r>
  <r>
    <d v="2024-07-10T00:00:00"/>
    <x v="8"/>
    <x v="3"/>
    <x v="4"/>
    <n v="9264"/>
    <b v="1"/>
    <s v="Rainy"/>
    <x v="0"/>
    <s v="Slippery"/>
    <s v="26-35"/>
    <n v="5"/>
    <s v="High"/>
    <s v="Learner"/>
    <b v="0"/>
    <n v="111"/>
    <s v="Delhi"/>
    <n v="3"/>
    <n v="1"/>
    <n v="1740"/>
    <x v="2"/>
    <s v="Not an Outliers"/>
  </r>
  <r>
    <d v="2024-07-10T00:00:00"/>
    <x v="4"/>
    <x v="4"/>
    <x v="4"/>
    <n v="9857"/>
    <b v="0"/>
    <s v="Foggy"/>
    <x v="3"/>
    <s v="Wet"/>
    <s v="18-25"/>
    <n v="5"/>
    <s v="Medium"/>
    <s v="Suspended"/>
    <b v="1"/>
    <n v="83"/>
    <s v="Delhi"/>
    <n v="10"/>
    <n v="2"/>
    <n v="977"/>
    <x v="2"/>
    <s v="Not an Outliers"/>
  </r>
  <r>
    <d v="2024-07-11T00:00:00"/>
    <x v="1"/>
    <x v="0"/>
    <x v="0"/>
    <n v="1000"/>
    <b v="1"/>
    <s v="Cloudy"/>
    <x v="2"/>
    <s v="Under Construction"/>
    <s v="18-25"/>
    <n v="1"/>
    <s v="High"/>
    <s v="Valid"/>
    <b v="0"/>
    <n v="31"/>
    <s v="Haryana"/>
    <n v="2"/>
    <n v="2"/>
    <n v="2737"/>
    <x v="1"/>
    <s v="Not an Outliers"/>
  </r>
  <r>
    <d v="2024-07-11T00:00:00"/>
    <x v="9"/>
    <x v="4"/>
    <x v="1"/>
    <n v="1000"/>
    <b v="1"/>
    <s v="Foggy"/>
    <x v="1"/>
    <s v="Dry"/>
    <s v="26-35"/>
    <n v="5"/>
    <s v="Low"/>
    <s v="Learner"/>
    <b v="1"/>
    <n v="71"/>
    <s v="Uttar Pradesh"/>
    <n v="2"/>
    <n v="1"/>
    <n v="637"/>
    <x v="0"/>
    <s v="Not an Outliers"/>
  </r>
  <r>
    <d v="2024-07-11T00:00:00"/>
    <x v="0"/>
    <x v="4"/>
    <x v="1"/>
    <n v="1000"/>
    <b v="0"/>
    <s v="Stormy"/>
    <x v="2"/>
    <s v="Slippery"/>
    <s v="36-50"/>
    <n v="1"/>
    <s v="Medium"/>
    <s v="Learner"/>
    <b v="1"/>
    <n v="116"/>
    <s v="Haryana"/>
    <n v="6"/>
    <n v="3"/>
    <n v="3416"/>
    <x v="0"/>
    <s v="Not an Outliers"/>
  </r>
  <r>
    <d v="2024-07-11T00:00:00"/>
    <x v="10"/>
    <x v="4"/>
    <x v="2"/>
    <n v="1471"/>
    <b v="0"/>
    <s v="Clear"/>
    <x v="2"/>
    <s v="Slippery"/>
    <s v="36-50"/>
    <n v="3"/>
    <s v="High"/>
    <s v="Suspended"/>
    <b v="0"/>
    <n v="5"/>
    <s v="Haryana"/>
    <n v="3"/>
    <n v="1"/>
    <n v="876"/>
    <x v="0"/>
    <s v="Not an Outliers"/>
  </r>
  <r>
    <d v="2024-07-12T00:00:00"/>
    <x v="13"/>
    <x v="4"/>
    <x v="2"/>
    <n v="3483"/>
    <b v="1"/>
    <s v="Clear"/>
    <x v="0"/>
    <s v="Dry"/>
    <s v="50+"/>
    <n v="4"/>
    <s v="Medium"/>
    <s v="Valid"/>
    <b v="0"/>
    <n v="7"/>
    <s v="Haryana"/>
    <n v="1"/>
    <n v="2"/>
    <n v="716"/>
    <x v="1"/>
    <s v="Not an Outliers"/>
  </r>
  <r>
    <d v="2024-07-13T00:00:00"/>
    <x v="9"/>
    <x v="1"/>
    <x v="3"/>
    <n v="3910"/>
    <b v="1"/>
    <s v="Rainy"/>
    <x v="3"/>
    <s v="Dry"/>
    <s v="18-25"/>
    <n v="2"/>
    <s v="High"/>
    <s v="Valid"/>
    <b v="1"/>
    <n v="27"/>
    <s v="Rajasthan"/>
    <n v="2"/>
    <n v="2"/>
    <n v="4390"/>
    <x v="0"/>
    <s v="Not an Outliers"/>
  </r>
  <r>
    <d v="2024-07-13T00:00:00"/>
    <x v="0"/>
    <x v="3"/>
    <x v="1"/>
    <n v="1000"/>
    <b v="0"/>
    <s v="Rainy"/>
    <x v="3"/>
    <s v="Dry"/>
    <s v="18-25"/>
    <n v="5"/>
    <s v="High"/>
    <s v="Suspended"/>
    <b v="1"/>
    <n v="71"/>
    <s v="Punjab"/>
    <n v="1"/>
    <n v="3"/>
    <n v="4511"/>
    <x v="0"/>
    <s v="Not an Outliers"/>
  </r>
  <r>
    <d v="2024-07-13T00:00:00"/>
    <x v="11"/>
    <x v="2"/>
    <x v="5"/>
    <n v="4627"/>
    <b v="0"/>
    <s v="Stormy"/>
    <x v="1"/>
    <s v="Under Construction"/>
    <s v="18-25"/>
    <n v="5"/>
    <s v="Low"/>
    <s v="Expired"/>
    <b v="1"/>
    <n v="29"/>
    <s v="Haryana"/>
    <n v="5"/>
    <n v="2"/>
    <n v="3367"/>
    <x v="1"/>
    <s v="Not an Outliers"/>
  </r>
  <r>
    <d v="2024-07-14T00:00:00"/>
    <x v="12"/>
    <x v="1"/>
    <x v="4"/>
    <n v="9744"/>
    <b v="0"/>
    <s v="Foggy"/>
    <x v="0"/>
    <s v="Under Construction"/>
    <s v="18-25"/>
    <n v="5"/>
    <s v="Medium"/>
    <s v="Suspended"/>
    <b v="0"/>
    <n v="115"/>
    <s v="Rajasthan"/>
    <n v="9"/>
    <n v="1"/>
    <n v="2739"/>
    <x v="0"/>
    <s v="Not an Outliers"/>
  </r>
  <r>
    <d v="2024-07-15T00:00:00"/>
    <x v="12"/>
    <x v="0"/>
    <x v="4"/>
    <n v="9051"/>
    <b v="0"/>
    <s v="Rainy"/>
    <x v="2"/>
    <s v="Slippery"/>
    <s v="18-25"/>
    <n v="2"/>
    <s v="High"/>
    <s v="Learner"/>
    <b v="0"/>
    <n v="55"/>
    <s v="Punjab"/>
    <n v="9"/>
    <n v="2"/>
    <n v="4410"/>
    <x v="2"/>
    <s v="Not an Outliers"/>
  </r>
  <r>
    <d v="2024-07-15T00:00:00"/>
    <x v="2"/>
    <x v="3"/>
    <x v="2"/>
    <n v="1247"/>
    <b v="0"/>
    <s v="Rainy"/>
    <x v="2"/>
    <s v="Slippery"/>
    <s v="50+"/>
    <n v="3"/>
    <s v="Low"/>
    <s v="Learner"/>
    <b v="1"/>
    <n v="6"/>
    <s v="Rajasthan"/>
    <n v="4"/>
    <n v="2"/>
    <n v="2385"/>
    <x v="1"/>
    <s v="Not an Outliers"/>
  </r>
  <r>
    <d v="2024-07-15T00:00:00"/>
    <x v="8"/>
    <x v="4"/>
    <x v="1"/>
    <n v="1000"/>
    <b v="1"/>
    <s v="Stormy"/>
    <x v="0"/>
    <s v="Slippery"/>
    <s v="50+"/>
    <n v="0"/>
    <s v="Medium"/>
    <s v="Valid"/>
    <b v="0"/>
    <n v="79"/>
    <s v="Rajasthan"/>
    <n v="3"/>
    <n v="3"/>
    <n v="1436"/>
    <x v="1"/>
    <s v="Not an Outliers"/>
  </r>
  <r>
    <d v="2024-07-16T00:00:00"/>
    <x v="13"/>
    <x v="1"/>
    <x v="3"/>
    <n v="2307"/>
    <b v="1"/>
    <s v="Cloudy"/>
    <x v="0"/>
    <s v="Under Construction"/>
    <s v="50+"/>
    <n v="1"/>
    <s v="Medium"/>
    <s v="Suspended"/>
    <b v="1"/>
    <n v="75"/>
    <s v="Rajasthan"/>
    <n v="5"/>
    <n v="1"/>
    <n v="2446"/>
    <x v="0"/>
    <s v="Not an Outliers"/>
  </r>
  <r>
    <d v="2024-07-16T00:00:00"/>
    <x v="5"/>
    <x v="2"/>
    <x v="3"/>
    <n v="1583"/>
    <b v="1"/>
    <s v="Cloudy"/>
    <x v="1"/>
    <s v="Wet"/>
    <s v="50+"/>
    <n v="22"/>
    <s v="High"/>
    <s v="Suspended"/>
    <b v="0"/>
    <n v="39"/>
    <s v="Rajasthan"/>
    <n v="7"/>
    <n v="3"/>
    <n v="908"/>
    <x v="1"/>
    <s v="Not an Outliers"/>
  </r>
  <r>
    <d v="2024-07-17T00:00:00"/>
    <x v="11"/>
    <x v="1"/>
    <x v="4"/>
    <n v="6948"/>
    <b v="0"/>
    <s v="Stormy"/>
    <x v="0"/>
    <s v="Wet"/>
    <s v="26-35"/>
    <n v="1"/>
    <s v="Low"/>
    <s v="Learner"/>
    <b v="1"/>
    <n v="22"/>
    <s v="Haryana"/>
    <n v="2"/>
    <n v="1"/>
    <n v="4062"/>
    <x v="1"/>
    <s v="Not an Outliers"/>
  </r>
  <r>
    <d v="2024-07-17T00:00:00"/>
    <x v="14"/>
    <x v="0"/>
    <x v="0"/>
    <n v="1000"/>
    <b v="0"/>
    <s v="Cloudy"/>
    <x v="3"/>
    <s v="Slippery"/>
    <s v="36-50"/>
    <n v="2"/>
    <s v="High"/>
    <s v="Learner"/>
    <b v="1"/>
    <n v="69"/>
    <s v="Punjab"/>
    <n v="7"/>
    <n v="2"/>
    <n v="1158"/>
    <x v="1"/>
    <s v="Not an Outliers"/>
  </r>
  <r>
    <d v="2024-07-17T00:00:00"/>
    <x v="1"/>
    <x v="1"/>
    <x v="3"/>
    <n v="1591"/>
    <b v="0"/>
    <s v="Clear"/>
    <x v="2"/>
    <s v="Under Construction"/>
    <s v="18-25"/>
    <n v="0"/>
    <s v="Low"/>
    <s v="Valid"/>
    <b v="1"/>
    <n v="9"/>
    <s v="Haryana"/>
    <n v="10"/>
    <n v="3"/>
    <n v="3282"/>
    <x v="2"/>
    <s v="Not an Outliers"/>
  </r>
  <r>
    <d v="2024-07-18T00:00:00"/>
    <x v="13"/>
    <x v="4"/>
    <x v="4"/>
    <n v="9886"/>
    <b v="0"/>
    <s v="Stormy"/>
    <x v="0"/>
    <s v="Slippery"/>
    <s v="26-35"/>
    <n v="2"/>
    <s v="High"/>
    <s v="Suspended"/>
    <b v="0"/>
    <n v="119"/>
    <s v="Rajasthan"/>
    <n v="1"/>
    <n v="2"/>
    <n v="3914"/>
    <x v="0"/>
    <s v="Not an Outliers"/>
  </r>
  <r>
    <d v="2024-07-19T00:00:00"/>
    <x v="5"/>
    <x v="1"/>
    <x v="4"/>
    <n v="5701"/>
    <b v="0"/>
    <s v="Clear"/>
    <x v="0"/>
    <s v="Under Construction"/>
    <s v="50+"/>
    <n v="1"/>
    <s v="Low"/>
    <s v="Expired"/>
    <b v="1"/>
    <n v="83"/>
    <s v="Punjab"/>
    <n v="10"/>
    <n v="1"/>
    <n v="4799"/>
    <x v="1"/>
    <s v="Not an Outliers"/>
  </r>
  <r>
    <d v="2024-07-19T00:00:00"/>
    <x v="8"/>
    <x v="2"/>
    <x v="5"/>
    <n v="7565"/>
    <b v="0"/>
    <s v="Clear"/>
    <x v="3"/>
    <s v="Slippery"/>
    <s v="36-50"/>
    <n v="2"/>
    <s v="Low"/>
    <s v="Expired"/>
    <b v="0"/>
    <n v="78"/>
    <s v="Punjab"/>
    <n v="9"/>
    <n v="1"/>
    <n v="1916"/>
    <x v="0"/>
    <s v="Not an Outliers"/>
  </r>
  <r>
    <d v="2024-07-19T00:00:00"/>
    <x v="14"/>
    <x v="2"/>
    <x v="1"/>
    <n v="5000"/>
    <b v="0"/>
    <s v="Stormy"/>
    <x v="1"/>
    <s v="Under Construction"/>
    <s v="18-25"/>
    <n v="3"/>
    <s v="Low"/>
    <s v="Suspended"/>
    <b v="0"/>
    <n v="55"/>
    <s v="Haryana"/>
    <n v="1"/>
    <n v="3"/>
    <n v="1040"/>
    <x v="2"/>
    <s v="Not an Outliers"/>
  </r>
  <r>
    <d v="2024-07-19T00:00:00"/>
    <x v="7"/>
    <x v="2"/>
    <x v="3"/>
    <n v="3767"/>
    <b v="0"/>
    <s v="Stormy"/>
    <x v="2"/>
    <s v="Slippery"/>
    <s v="26-35"/>
    <n v="5"/>
    <s v="Low"/>
    <s v="Expired"/>
    <b v="0"/>
    <n v="4"/>
    <s v="Rajasthan"/>
    <n v="6"/>
    <n v="3"/>
    <n v="2189"/>
    <x v="1"/>
    <s v="Not an Outliers"/>
  </r>
  <r>
    <d v="2024-07-20T00:00:00"/>
    <x v="2"/>
    <x v="0"/>
    <x v="5"/>
    <n v="2068"/>
    <b v="0"/>
    <s v="Foggy"/>
    <x v="3"/>
    <s v="Dry"/>
    <s v="50+"/>
    <n v="2"/>
    <s v="High"/>
    <s v="Valid"/>
    <b v="1"/>
    <n v="30"/>
    <s v="Uttar Pradesh"/>
    <n v="6"/>
    <n v="2"/>
    <n v="2121"/>
    <x v="0"/>
    <s v="Not an Outliers"/>
  </r>
  <r>
    <d v="2024-07-20T00:00:00"/>
    <x v="7"/>
    <x v="3"/>
    <x v="1"/>
    <n v="1000"/>
    <b v="0"/>
    <s v="Rainy"/>
    <x v="1"/>
    <s v="Dry"/>
    <s v="26-35"/>
    <n v="0"/>
    <s v="Medium"/>
    <s v="Learner"/>
    <b v="1"/>
    <n v="36"/>
    <s v="Rajasthan"/>
    <n v="1"/>
    <n v="3"/>
    <n v="681"/>
    <x v="0"/>
    <s v="Not an Outliers"/>
  </r>
  <r>
    <d v="2024-07-20T00:00:00"/>
    <x v="9"/>
    <x v="3"/>
    <x v="1"/>
    <n v="1000"/>
    <b v="0"/>
    <s v="Foggy"/>
    <x v="3"/>
    <s v="Wet"/>
    <s v="26-35"/>
    <n v="2"/>
    <s v="Low"/>
    <s v="Expired"/>
    <b v="0"/>
    <n v="32"/>
    <s v="Haryana"/>
    <n v="3"/>
    <n v="2"/>
    <n v="4741"/>
    <x v="0"/>
    <s v="Not an Outliers"/>
  </r>
  <r>
    <d v="2024-07-20T00:00:00"/>
    <x v="14"/>
    <x v="4"/>
    <x v="5"/>
    <n v="5495"/>
    <b v="0"/>
    <s v="Foggy"/>
    <x v="1"/>
    <s v="Wet"/>
    <s v="50+"/>
    <n v="3"/>
    <s v="Low"/>
    <s v="Expired"/>
    <b v="1"/>
    <n v="119"/>
    <s v="Punjab"/>
    <n v="2"/>
    <n v="3"/>
    <n v="4488"/>
    <x v="2"/>
    <s v="Not an Outliers"/>
  </r>
  <r>
    <d v="2024-07-21T00:00:00"/>
    <x v="5"/>
    <x v="2"/>
    <x v="3"/>
    <n v="3892"/>
    <b v="1"/>
    <s v="Foggy"/>
    <x v="0"/>
    <s v="Wet"/>
    <s v="36-50"/>
    <n v="4"/>
    <s v="Low"/>
    <s v="Expired"/>
    <b v="0"/>
    <n v="22"/>
    <s v="Punjab"/>
    <n v="10"/>
    <n v="2"/>
    <n v="2373"/>
    <x v="2"/>
    <s v="Not an Outliers"/>
  </r>
  <r>
    <d v="2024-07-21T00:00:00"/>
    <x v="14"/>
    <x v="0"/>
    <x v="5"/>
    <n v="2089"/>
    <b v="1"/>
    <s v="Clear"/>
    <x v="2"/>
    <s v="Dry"/>
    <s v="18-25"/>
    <n v="2"/>
    <s v="Low"/>
    <s v="Expired"/>
    <b v="1"/>
    <n v="104"/>
    <s v="Uttar Pradesh"/>
    <n v="3"/>
    <n v="1"/>
    <n v="3595"/>
    <x v="1"/>
    <s v="Not an Outliers"/>
  </r>
  <r>
    <d v="2024-07-22T00:00:00"/>
    <x v="9"/>
    <x v="3"/>
    <x v="1"/>
    <n v="1000"/>
    <b v="0"/>
    <s v="Clear"/>
    <x v="0"/>
    <s v="Under Construction"/>
    <s v="26-35"/>
    <n v="1"/>
    <s v="Low"/>
    <s v="Valid"/>
    <b v="0"/>
    <n v="32"/>
    <s v="Punjab"/>
    <n v="1"/>
    <n v="3"/>
    <n v="2661"/>
    <x v="2"/>
    <s v="Not an Outliers"/>
  </r>
  <r>
    <d v="2024-07-22T00:00:00"/>
    <x v="8"/>
    <x v="2"/>
    <x v="4"/>
    <n v="9205"/>
    <b v="0"/>
    <s v="Rainy"/>
    <x v="3"/>
    <s v="Wet"/>
    <s v="36-50"/>
    <n v="5"/>
    <s v="Medium"/>
    <s v="Suspended"/>
    <b v="0"/>
    <n v="36"/>
    <s v="Uttar Pradesh"/>
    <n v="1"/>
    <n v="2"/>
    <n v="3510"/>
    <x v="0"/>
    <s v="Not an Outliers"/>
  </r>
  <r>
    <d v="2024-07-23T00:00:00"/>
    <x v="1"/>
    <x v="4"/>
    <x v="1"/>
    <n v="1000"/>
    <b v="0"/>
    <s v="Cloudy"/>
    <x v="1"/>
    <s v="Wet"/>
    <s v="36-50"/>
    <n v="4"/>
    <s v="High"/>
    <s v="Expired"/>
    <b v="0"/>
    <n v="25"/>
    <s v="Haryana"/>
    <n v="9"/>
    <n v="3"/>
    <n v="616"/>
    <x v="1"/>
    <s v="Not an Outliers"/>
  </r>
  <r>
    <d v="2024-07-23T00:00:00"/>
    <x v="5"/>
    <x v="2"/>
    <x v="5"/>
    <n v="5304"/>
    <b v="1"/>
    <s v="Cloudy"/>
    <x v="3"/>
    <s v="Wet"/>
    <s v="50+"/>
    <n v="4"/>
    <s v="Medium"/>
    <s v="Suspended"/>
    <b v="0"/>
    <n v="62"/>
    <s v="Rajasthan"/>
    <n v="7"/>
    <n v="3"/>
    <n v="2916"/>
    <x v="0"/>
    <s v="Not an Outliers"/>
  </r>
  <r>
    <d v="2024-07-24T00:00:00"/>
    <x v="6"/>
    <x v="2"/>
    <x v="5"/>
    <n v="3921"/>
    <b v="1"/>
    <s v="Stormy"/>
    <x v="1"/>
    <s v="Slippery"/>
    <s v="50+"/>
    <n v="5"/>
    <s v="Medium"/>
    <s v="Learner"/>
    <b v="0"/>
    <n v="114"/>
    <s v="Uttar Pradesh"/>
    <n v="9"/>
    <n v="3"/>
    <n v="1533"/>
    <x v="1"/>
    <s v="Not an Outliers"/>
  </r>
  <r>
    <d v="2024-07-25T00:00:00"/>
    <x v="4"/>
    <x v="2"/>
    <x v="1"/>
    <n v="1000"/>
    <b v="0"/>
    <s v="Stormy"/>
    <x v="3"/>
    <s v="Dry"/>
    <s v="18-25"/>
    <n v="0"/>
    <s v="Medium"/>
    <s v="Suspended"/>
    <b v="1"/>
    <n v="91"/>
    <s v="Punjab"/>
    <n v="6"/>
    <n v="3"/>
    <n v="1397"/>
    <x v="0"/>
    <s v="Not an Outliers"/>
  </r>
  <r>
    <d v="2024-07-25T00:00:00"/>
    <x v="8"/>
    <x v="0"/>
    <x v="4"/>
    <n v="6863"/>
    <b v="1"/>
    <s v="Foggy"/>
    <x v="1"/>
    <s v="Dry"/>
    <s v="26-35"/>
    <n v="2"/>
    <s v="Medium"/>
    <s v="Expired"/>
    <b v="0"/>
    <n v="109"/>
    <s v="Uttar Pradesh"/>
    <n v="3"/>
    <n v="3"/>
    <n v="1629"/>
    <x v="1"/>
    <s v="Not an Outliers"/>
  </r>
  <r>
    <d v="2024-07-25T00:00:00"/>
    <x v="4"/>
    <x v="4"/>
    <x v="4"/>
    <n v="6027"/>
    <b v="1"/>
    <s v="Foggy"/>
    <x v="1"/>
    <s v="Slippery"/>
    <s v="36-50"/>
    <n v="4"/>
    <s v="Low"/>
    <s v="Expired"/>
    <b v="1"/>
    <n v="73"/>
    <s v="Punjab"/>
    <n v="8"/>
    <n v="1"/>
    <n v="3117"/>
    <x v="0"/>
    <s v="Not an Outliers"/>
  </r>
  <r>
    <d v="2024-07-26T00:00:00"/>
    <x v="2"/>
    <x v="2"/>
    <x v="3"/>
    <n v="3438"/>
    <b v="1"/>
    <s v="Stormy"/>
    <x v="2"/>
    <s v="Wet"/>
    <s v="36-50"/>
    <n v="4"/>
    <s v="Medium"/>
    <s v="Expired"/>
    <b v="1"/>
    <n v="31"/>
    <s v="Haryana"/>
    <n v="9"/>
    <n v="3"/>
    <n v="3377"/>
    <x v="0"/>
    <s v="Not an Outliers"/>
  </r>
  <r>
    <d v="2024-07-26T00:00:00"/>
    <x v="1"/>
    <x v="2"/>
    <x v="1"/>
    <n v="1000"/>
    <b v="1"/>
    <s v="Cloudy"/>
    <x v="3"/>
    <s v="Dry"/>
    <s v="50+"/>
    <n v="21"/>
    <s v="Low"/>
    <s v="Suspended"/>
    <b v="1"/>
    <n v="97"/>
    <s v="Rajasthan"/>
    <n v="5"/>
    <n v="2"/>
    <n v="3572"/>
    <x v="1"/>
    <s v="Not an Outliers"/>
  </r>
  <r>
    <d v="2024-07-26T00:00:00"/>
    <x v="10"/>
    <x v="0"/>
    <x v="4"/>
    <n v="8166"/>
    <b v="0"/>
    <s v="Stormy"/>
    <x v="3"/>
    <s v="Under Construction"/>
    <s v="18-25"/>
    <n v="4"/>
    <s v="Low"/>
    <s v="Learner"/>
    <b v="1"/>
    <n v="41"/>
    <s v="Haryana"/>
    <n v="7"/>
    <n v="3"/>
    <n v="1138"/>
    <x v="1"/>
    <s v="Not an Outliers"/>
  </r>
  <r>
    <d v="2024-07-26T00:00:00"/>
    <x v="0"/>
    <x v="4"/>
    <x v="1"/>
    <n v="1000"/>
    <b v="0"/>
    <s v="Stormy"/>
    <x v="0"/>
    <s v="Wet"/>
    <s v="50+"/>
    <n v="2"/>
    <s v="High"/>
    <s v="Expired"/>
    <b v="0"/>
    <n v="93"/>
    <s v="Rajasthan"/>
    <n v="9"/>
    <n v="3"/>
    <n v="3630"/>
    <x v="1"/>
    <s v="Not an Outliers"/>
  </r>
  <r>
    <d v="2024-07-27T00:00:00"/>
    <x v="10"/>
    <x v="1"/>
    <x v="3"/>
    <n v="3539"/>
    <b v="0"/>
    <s v="Clear"/>
    <x v="1"/>
    <s v="Slippery"/>
    <s v="26-35"/>
    <n v="3"/>
    <s v="High"/>
    <s v="Suspended"/>
    <b v="0"/>
    <n v="103"/>
    <s v="Delhi"/>
    <n v="1"/>
    <n v="2"/>
    <n v="3434"/>
    <x v="1"/>
    <s v="Not an Outliers"/>
  </r>
  <r>
    <d v="2024-07-27T00:00:00"/>
    <x v="4"/>
    <x v="0"/>
    <x v="4"/>
    <n v="6927"/>
    <b v="0"/>
    <s v="Cloudy"/>
    <x v="3"/>
    <s v="Under Construction"/>
    <s v="18-25"/>
    <n v="1"/>
    <s v="Medium"/>
    <s v="Expired"/>
    <b v="1"/>
    <n v="89"/>
    <s v="Punjab"/>
    <n v="7"/>
    <n v="2"/>
    <n v="1492"/>
    <x v="0"/>
    <s v="Not an Outliers"/>
  </r>
  <r>
    <d v="2024-07-28T00:00:00"/>
    <x v="3"/>
    <x v="1"/>
    <x v="2"/>
    <n v="1152"/>
    <b v="0"/>
    <s v="Rainy"/>
    <x v="0"/>
    <s v="Under Construction"/>
    <s v="26-35"/>
    <n v="0"/>
    <s v="High"/>
    <s v="Suspended"/>
    <b v="1"/>
    <n v="36"/>
    <s v="Rajasthan"/>
    <n v="4"/>
    <n v="1"/>
    <n v="1493"/>
    <x v="1"/>
    <s v="Not an Outliers"/>
  </r>
  <r>
    <d v="2024-07-28T00:00:00"/>
    <x v="2"/>
    <x v="0"/>
    <x v="2"/>
    <n v="4901"/>
    <b v="0"/>
    <s v="Cloudy"/>
    <x v="1"/>
    <s v="Dry"/>
    <s v="50+"/>
    <n v="3"/>
    <s v="Medium"/>
    <s v="Learner"/>
    <b v="0"/>
    <n v="115"/>
    <s v="Uttar Pradesh"/>
    <n v="5"/>
    <n v="3"/>
    <n v="1724"/>
    <x v="0"/>
    <s v="Not an Outliers"/>
  </r>
  <r>
    <d v="2024-08-01T00:00:00"/>
    <x v="0"/>
    <x v="2"/>
    <x v="2"/>
    <n v="3845"/>
    <b v="1"/>
    <s v="Foggy"/>
    <x v="2"/>
    <s v="Slippery"/>
    <s v="50+"/>
    <n v="26"/>
    <s v="High"/>
    <s v="Suspended"/>
    <b v="1"/>
    <n v="10"/>
    <s v="Haryana"/>
    <n v="5"/>
    <n v="1"/>
    <n v="3601"/>
    <x v="0"/>
    <s v="Not an Outliers"/>
  </r>
  <r>
    <d v="2024-08-01T00:00:00"/>
    <x v="10"/>
    <x v="0"/>
    <x v="5"/>
    <n v="4363"/>
    <b v="0"/>
    <s v="Cloudy"/>
    <x v="0"/>
    <s v="Under Construction"/>
    <s v="18-25"/>
    <n v="1"/>
    <s v="High"/>
    <s v="Suspended"/>
    <b v="0"/>
    <n v="110"/>
    <s v="Punjab"/>
    <n v="6"/>
    <n v="2"/>
    <n v="4624"/>
    <x v="0"/>
    <s v="Not an Outliers"/>
  </r>
  <r>
    <d v="2024-08-01T00:00:00"/>
    <x v="1"/>
    <x v="3"/>
    <x v="3"/>
    <n v="2039"/>
    <b v="1"/>
    <s v="Cloudy"/>
    <x v="2"/>
    <s v="Dry"/>
    <s v="18-25"/>
    <n v="4"/>
    <s v="Low"/>
    <s v="Suspended"/>
    <b v="1"/>
    <n v="101"/>
    <s v="Delhi"/>
    <n v="6"/>
    <n v="3"/>
    <n v="4470"/>
    <x v="1"/>
    <s v="Not an Outliers"/>
  </r>
  <r>
    <d v="2024-08-01T00:00:00"/>
    <x v="9"/>
    <x v="2"/>
    <x v="4"/>
    <n v="8494"/>
    <b v="0"/>
    <s v="Foggy"/>
    <x v="3"/>
    <s v="Wet"/>
    <s v="18-25"/>
    <n v="3"/>
    <s v="High"/>
    <s v="Valid"/>
    <b v="1"/>
    <n v="22"/>
    <s v="Haryana"/>
    <n v="3"/>
    <n v="1"/>
    <n v="1196"/>
    <x v="2"/>
    <s v="Not an Outliers"/>
  </r>
  <r>
    <d v="2024-08-02T00:00:00"/>
    <x v="8"/>
    <x v="1"/>
    <x v="5"/>
    <n v="2528"/>
    <b v="1"/>
    <s v="Foggy"/>
    <x v="0"/>
    <s v="Under Construction"/>
    <s v="50+"/>
    <n v="1"/>
    <s v="Low"/>
    <s v="Valid"/>
    <b v="0"/>
    <n v="41"/>
    <s v="Punjab"/>
    <n v="2"/>
    <n v="2"/>
    <n v="3110"/>
    <x v="0"/>
    <s v="Not an Outliers"/>
  </r>
  <r>
    <d v="2024-08-02T00:00:00"/>
    <x v="14"/>
    <x v="1"/>
    <x v="3"/>
    <n v="4119"/>
    <b v="0"/>
    <s v="Rainy"/>
    <x v="0"/>
    <s v="Wet"/>
    <s v="18-25"/>
    <n v="0"/>
    <s v="Low"/>
    <s v="Suspended"/>
    <b v="0"/>
    <n v="29"/>
    <s v="Uttar Pradesh"/>
    <n v="10"/>
    <n v="1"/>
    <n v="4067"/>
    <x v="0"/>
    <s v="Not an Outliers"/>
  </r>
  <r>
    <d v="2024-08-02T00:00:00"/>
    <x v="4"/>
    <x v="2"/>
    <x v="4"/>
    <n v="9858"/>
    <b v="0"/>
    <s v="Rainy"/>
    <x v="1"/>
    <s v="Dry"/>
    <s v="18-25"/>
    <n v="1"/>
    <s v="Medium"/>
    <s v="Valid"/>
    <b v="1"/>
    <n v="25"/>
    <s v="Rajasthan"/>
    <n v="2"/>
    <n v="3"/>
    <n v="3830"/>
    <x v="2"/>
    <s v="Not an Outliers"/>
  </r>
  <r>
    <d v="2024-08-02T00:00:00"/>
    <x v="13"/>
    <x v="3"/>
    <x v="4"/>
    <n v="6023"/>
    <b v="0"/>
    <s v="Foggy"/>
    <x v="1"/>
    <s v="Under Construction"/>
    <s v="18-25"/>
    <n v="5"/>
    <s v="Medium"/>
    <s v="Learner"/>
    <b v="1"/>
    <n v="85"/>
    <s v="Rajasthan"/>
    <n v="5"/>
    <n v="3"/>
    <n v="3433"/>
    <x v="2"/>
    <s v="Not an Outliers"/>
  </r>
  <r>
    <d v="2024-08-02T00:00:00"/>
    <x v="8"/>
    <x v="0"/>
    <x v="5"/>
    <n v="4672"/>
    <b v="0"/>
    <s v="Cloudy"/>
    <x v="0"/>
    <s v="Dry"/>
    <s v="18-25"/>
    <n v="2"/>
    <s v="Low"/>
    <s v="Expired"/>
    <b v="1"/>
    <n v="60"/>
    <s v="Haryana"/>
    <n v="8"/>
    <n v="1"/>
    <n v="4098"/>
    <x v="0"/>
    <s v="Not an Outliers"/>
  </r>
  <r>
    <d v="2024-08-02T00:00:00"/>
    <x v="10"/>
    <x v="0"/>
    <x v="0"/>
    <n v="1000"/>
    <b v="0"/>
    <s v="Cloudy"/>
    <x v="2"/>
    <s v="Dry"/>
    <s v="26-35"/>
    <n v="1"/>
    <s v="Medium"/>
    <s v="Suspended"/>
    <b v="0"/>
    <n v="26"/>
    <s v="Uttar Pradesh"/>
    <n v="5"/>
    <n v="2"/>
    <n v="3343"/>
    <x v="2"/>
    <s v="Not an Outliers"/>
  </r>
  <r>
    <d v="2024-08-02T00:00:00"/>
    <x v="5"/>
    <x v="3"/>
    <x v="1"/>
    <n v="1000"/>
    <b v="0"/>
    <s v="Stormy"/>
    <x v="1"/>
    <s v="Wet"/>
    <s v="50+"/>
    <n v="4"/>
    <s v="Medium"/>
    <s v="Learner"/>
    <b v="1"/>
    <n v="24"/>
    <s v="Haryana"/>
    <n v="4"/>
    <n v="3"/>
    <n v="4055"/>
    <x v="2"/>
    <s v="Not an Outliers"/>
  </r>
  <r>
    <d v="2024-08-02T00:00:00"/>
    <x v="13"/>
    <x v="3"/>
    <x v="3"/>
    <n v="3052"/>
    <b v="0"/>
    <s v="Rainy"/>
    <x v="3"/>
    <s v="Under Construction"/>
    <s v="50+"/>
    <n v="5"/>
    <s v="Low"/>
    <s v="Learner"/>
    <b v="0"/>
    <n v="16"/>
    <s v="Rajasthan"/>
    <n v="1"/>
    <n v="3"/>
    <n v="1825"/>
    <x v="1"/>
    <s v="Not an Outliers"/>
  </r>
  <r>
    <d v="2024-08-03T00:00:00"/>
    <x v="6"/>
    <x v="4"/>
    <x v="4"/>
    <n v="9854"/>
    <b v="0"/>
    <s v="Rainy"/>
    <x v="0"/>
    <s v="Wet"/>
    <s v="18-25"/>
    <n v="0"/>
    <s v="Low"/>
    <s v="Valid"/>
    <b v="1"/>
    <n v="17"/>
    <s v="Punjab"/>
    <n v="2"/>
    <n v="1"/>
    <n v="3582"/>
    <x v="0"/>
    <s v="Not an Outliers"/>
  </r>
  <r>
    <d v="2024-08-03T00:00:00"/>
    <x v="9"/>
    <x v="4"/>
    <x v="1"/>
    <n v="1000"/>
    <b v="1"/>
    <s v="Cloudy"/>
    <x v="3"/>
    <s v="Wet"/>
    <s v="26-35"/>
    <n v="3"/>
    <s v="High"/>
    <s v="Expired"/>
    <b v="1"/>
    <n v="37"/>
    <s v="Delhi"/>
    <n v="2"/>
    <n v="3"/>
    <n v="2648"/>
    <x v="2"/>
    <s v="Not an Outliers"/>
  </r>
  <r>
    <d v="2024-08-04T00:00:00"/>
    <x v="13"/>
    <x v="4"/>
    <x v="3"/>
    <n v="4354"/>
    <b v="1"/>
    <s v="Foggy"/>
    <x v="3"/>
    <s v="Slippery"/>
    <s v="18-25"/>
    <n v="5"/>
    <s v="High"/>
    <s v="Suspended"/>
    <b v="0"/>
    <n v="113"/>
    <s v="Punjab"/>
    <n v="8"/>
    <n v="1"/>
    <n v="897"/>
    <x v="0"/>
    <s v="Not an Outliers"/>
  </r>
  <r>
    <d v="2024-08-04T00:00:00"/>
    <x v="2"/>
    <x v="2"/>
    <x v="5"/>
    <n v="7989"/>
    <b v="0"/>
    <s v="Clear"/>
    <x v="0"/>
    <s v="Slippery"/>
    <s v="36-50"/>
    <n v="2"/>
    <s v="High"/>
    <s v="Learner"/>
    <b v="1"/>
    <n v="90"/>
    <s v="Punjab"/>
    <n v="3"/>
    <n v="2"/>
    <n v="3037"/>
    <x v="1"/>
    <s v="Not an Outliers"/>
  </r>
  <r>
    <d v="2024-08-04T00:00:00"/>
    <x v="10"/>
    <x v="4"/>
    <x v="5"/>
    <n v="5524"/>
    <b v="0"/>
    <s v="Rainy"/>
    <x v="0"/>
    <s v="Slippery"/>
    <s v="50+"/>
    <n v="0"/>
    <s v="Low"/>
    <s v="Learner"/>
    <b v="1"/>
    <n v="114"/>
    <s v="Delhi"/>
    <n v="3"/>
    <n v="1"/>
    <n v="4571"/>
    <x v="0"/>
    <s v="Not an Outliers"/>
  </r>
  <r>
    <d v="2024-08-05T00:00:00"/>
    <x v="12"/>
    <x v="3"/>
    <x v="4"/>
    <n v="8820"/>
    <b v="0"/>
    <s v="Cloudy"/>
    <x v="2"/>
    <s v="Dry"/>
    <s v="50+"/>
    <n v="3"/>
    <s v="Low"/>
    <s v="Valid"/>
    <b v="0"/>
    <n v="38"/>
    <s v="Delhi"/>
    <n v="7"/>
    <n v="2"/>
    <n v="4757"/>
    <x v="0"/>
    <s v="Not an Outliers"/>
  </r>
  <r>
    <d v="2024-08-05T00:00:00"/>
    <x v="6"/>
    <x v="2"/>
    <x v="5"/>
    <n v="7289"/>
    <b v="0"/>
    <s v="Rainy"/>
    <x v="3"/>
    <s v="Dry"/>
    <s v="26-35"/>
    <n v="1"/>
    <s v="Low"/>
    <s v="Valid"/>
    <b v="1"/>
    <n v="99"/>
    <s v="Punjab"/>
    <n v="5"/>
    <n v="2"/>
    <n v="1789"/>
    <x v="0"/>
    <s v="Not an Outliers"/>
  </r>
  <r>
    <d v="2024-08-05T00:00:00"/>
    <x v="12"/>
    <x v="1"/>
    <x v="4"/>
    <n v="5120"/>
    <b v="0"/>
    <s v="Stormy"/>
    <x v="2"/>
    <s v="Slippery"/>
    <s v="50+"/>
    <n v="1"/>
    <s v="High"/>
    <s v="Suspended"/>
    <b v="1"/>
    <n v="88"/>
    <s v="Haryana"/>
    <n v="8"/>
    <n v="1"/>
    <n v="4798"/>
    <x v="1"/>
    <s v="Not an Outliers"/>
  </r>
  <r>
    <d v="2024-08-05T00:00:00"/>
    <x v="13"/>
    <x v="2"/>
    <x v="1"/>
    <n v="1000"/>
    <b v="0"/>
    <s v="Clear"/>
    <x v="2"/>
    <s v="Wet"/>
    <s v="18-25"/>
    <n v="2"/>
    <s v="Low"/>
    <s v="Suspended"/>
    <b v="1"/>
    <n v="37"/>
    <s v="Delhi"/>
    <n v="9"/>
    <n v="1"/>
    <n v="4642"/>
    <x v="2"/>
    <s v="Not an Outliers"/>
  </r>
  <r>
    <d v="2024-08-05T00:00:00"/>
    <x v="3"/>
    <x v="0"/>
    <x v="4"/>
    <n v="7887"/>
    <b v="0"/>
    <s v="Clear"/>
    <x v="0"/>
    <s v="Under Construction"/>
    <s v="26-35"/>
    <n v="2"/>
    <s v="High"/>
    <s v="Valid"/>
    <b v="0"/>
    <n v="111"/>
    <s v="Haryana"/>
    <n v="4"/>
    <n v="3"/>
    <n v="3130"/>
    <x v="2"/>
    <s v="Not an Outliers"/>
  </r>
  <r>
    <d v="2024-08-06T00:00:00"/>
    <x v="8"/>
    <x v="1"/>
    <x v="3"/>
    <n v="4036"/>
    <b v="1"/>
    <s v="Stormy"/>
    <x v="2"/>
    <s v="Wet"/>
    <s v="26-35"/>
    <n v="4"/>
    <s v="High"/>
    <s v="Valid"/>
    <b v="1"/>
    <n v="22"/>
    <s v="Uttar Pradesh"/>
    <n v="5"/>
    <n v="1"/>
    <n v="4612"/>
    <x v="1"/>
    <s v="Not an Outliers"/>
  </r>
  <r>
    <d v="2024-08-06T00:00:00"/>
    <x v="0"/>
    <x v="4"/>
    <x v="5"/>
    <n v="6811"/>
    <b v="0"/>
    <s v="Rainy"/>
    <x v="3"/>
    <s v="Dry"/>
    <s v="18-25"/>
    <n v="2"/>
    <s v="Medium"/>
    <s v="Suspended"/>
    <b v="0"/>
    <n v="61"/>
    <s v="Haryana"/>
    <n v="3"/>
    <n v="2"/>
    <n v="4180"/>
    <x v="0"/>
    <s v="Not an Outliers"/>
  </r>
  <r>
    <d v="2024-08-06T00:00:00"/>
    <x v="4"/>
    <x v="0"/>
    <x v="0"/>
    <n v="1000"/>
    <b v="1"/>
    <s v="Clear"/>
    <x v="2"/>
    <s v="Wet"/>
    <s v="26-35"/>
    <n v="5"/>
    <s v="High"/>
    <s v="Valid"/>
    <b v="1"/>
    <n v="33"/>
    <s v="Haryana"/>
    <n v="10"/>
    <n v="3"/>
    <n v="3000"/>
    <x v="1"/>
    <s v="Not an Outliers"/>
  </r>
  <r>
    <d v="2024-08-06T00:00:00"/>
    <x v="11"/>
    <x v="2"/>
    <x v="1"/>
    <n v="1000"/>
    <b v="0"/>
    <s v="Stormy"/>
    <x v="2"/>
    <s v="Slippery"/>
    <s v="26-35"/>
    <n v="1"/>
    <s v="Low"/>
    <s v="Valid"/>
    <b v="1"/>
    <n v="111"/>
    <s v="Rajasthan"/>
    <n v="6"/>
    <n v="3"/>
    <n v="2524"/>
    <x v="1"/>
    <s v="Not an Outliers"/>
  </r>
  <r>
    <d v="2024-08-06T00:00:00"/>
    <x v="5"/>
    <x v="3"/>
    <x v="2"/>
    <n v="3778"/>
    <b v="1"/>
    <s v="Foggy"/>
    <x v="3"/>
    <s v="Dry"/>
    <s v="50+"/>
    <n v="0"/>
    <s v="Medium"/>
    <s v="Expired"/>
    <b v="0"/>
    <n v="12"/>
    <s v="Haryana"/>
    <n v="5"/>
    <n v="3"/>
    <n v="4671"/>
    <x v="0"/>
    <s v="Not an Outliers"/>
  </r>
  <r>
    <d v="2024-08-07T00:00:00"/>
    <x v="9"/>
    <x v="4"/>
    <x v="5"/>
    <n v="3246"/>
    <b v="0"/>
    <s v="Stormy"/>
    <x v="0"/>
    <s v="Wet"/>
    <s v="18-25"/>
    <n v="4"/>
    <s v="Low"/>
    <s v="Suspended"/>
    <b v="0"/>
    <n v="120"/>
    <s v="Rajasthan"/>
    <n v="10"/>
    <n v="3"/>
    <n v="2975"/>
    <x v="0"/>
    <s v="Not an Outliers"/>
  </r>
  <r>
    <d v="2024-08-07T00:00:00"/>
    <x v="3"/>
    <x v="1"/>
    <x v="2"/>
    <n v="2397"/>
    <b v="0"/>
    <s v="Foggy"/>
    <x v="0"/>
    <s v="Under Construction"/>
    <s v="50+"/>
    <n v="3"/>
    <s v="Low"/>
    <s v="Expired"/>
    <b v="0"/>
    <n v="103"/>
    <s v="Rajasthan"/>
    <n v="5"/>
    <n v="2"/>
    <n v="784"/>
    <x v="0"/>
    <s v="Not an Outliers"/>
  </r>
  <r>
    <d v="2024-08-08T00:00:00"/>
    <x v="0"/>
    <x v="0"/>
    <x v="0"/>
    <n v="1000"/>
    <b v="1"/>
    <s v="Foggy"/>
    <x v="3"/>
    <s v="Wet"/>
    <s v="18-25"/>
    <n v="3"/>
    <s v="Medium"/>
    <s v="Expired"/>
    <b v="1"/>
    <n v="100"/>
    <s v="Rajasthan"/>
    <n v="6"/>
    <n v="2"/>
    <n v="2261"/>
    <x v="2"/>
    <s v="Not an Outliers"/>
  </r>
  <r>
    <d v="2024-08-08T00:00:00"/>
    <x v="4"/>
    <x v="1"/>
    <x v="3"/>
    <n v="4584"/>
    <b v="0"/>
    <s v="Cloudy"/>
    <x v="0"/>
    <s v="Slippery"/>
    <s v="26-35"/>
    <n v="3"/>
    <s v="High"/>
    <s v="Learner"/>
    <b v="1"/>
    <n v="89"/>
    <s v="Haryana"/>
    <n v="6"/>
    <n v="3"/>
    <n v="2244"/>
    <x v="0"/>
    <s v="Not an Outliers"/>
  </r>
  <r>
    <d v="2024-08-08T00:00:00"/>
    <x v="3"/>
    <x v="2"/>
    <x v="3"/>
    <n v="3239"/>
    <b v="0"/>
    <s v="Cloudy"/>
    <x v="2"/>
    <s v="Dry"/>
    <s v="50+"/>
    <n v="4"/>
    <s v="Medium"/>
    <s v="Valid"/>
    <b v="1"/>
    <n v="77"/>
    <s v="Delhi"/>
    <n v="8"/>
    <n v="3"/>
    <n v="2818"/>
    <x v="0"/>
    <s v="Not an Outliers"/>
  </r>
  <r>
    <d v="2024-08-08T00:00:00"/>
    <x v="2"/>
    <x v="3"/>
    <x v="4"/>
    <n v="9700"/>
    <b v="0"/>
    <s v="Clear"/>
    <x v="2"/>
    <s v="Slippery"/>
    <s v="50+"/>
    <n v="3"/>
    <s v="Medium"/>
    <s v="Valid"/>
    <b v="0"/>
    <n v="46"/>
    <s v="Punjab"/>
    <n v="3"/>
    <n v="2"/>
    <n v="3903"/>
    <x v="2"/>
    <s v="Not an Outliers"/>
  </r>
  <r>
    <d v="2024-08-09T00:00:00"/>
    <x v="2"/>
    <x v="3"/>
    <x v="3"/>
    <n v="3102"/>
    <b v="0"/>
    <s v="Cloudy"/>
    <x v="0"/>
    <s v="Wet"/>
    <s v="26-35"/>
    <n v="2"/>
    <s v="High"/>
    <s v="Valid"/>
    <b v="1"/>
    <n v="110"/>
    <s v="Rajasthan"/>
    <n v="4"/>
    <n v="1"/>
    <n v="698"/>
    <x v="0"/>
    <s v="Not an Outliers"/>
  </r>
  <r>
    <d v="2024-08-09T00:00:00"/>
    <x v="10"/>
    <x v="1"/>
    <x v="3"/>
    <n v="4377"/>
    <b v="1"/>
    <s v="Clear"/>
    <x v="3"/>
    <s v="Dry"/>
    <s v="26-35"/>
    <n v="0"/>
    <s v="Low"/>
    <s v="Expired"/>
    <b v="0"/>
    <n v="22"/>
    <s v="Punjab"/>
    <n v="6"/>
    <n v="1"/>
    <n v="2804"/>
    <x v="0"/>
    <s v="Not an Outliers"/>
  </r>
  <r>
    <d v="2024-08-09T00:00:00"/>
    <x v="3"/>
    <x v="4"/>
    <x v="1"/>
    <n v="1000"/>
    <b v="1"/>
    <s v="Stormy"/>
    <x v="2"/>
    <s v="Under Construction"/>
    <s v="26-35"/>
    <n v="4"/>
    <s v="Low"/>
    <s v="Valid"/>
    <b v="1"/>
    <n v="42"/>
    <s v="Rajasthan"/>
    <n v="4"/>
    <n v="1"/>
    <n v="2616"/>
    <x v="0"/>
    <s v="Not an Outliers"/>
  </r>
  <r>
    <d v="2024-08-10T00:00:00"/>
    <x v="5"/>
    <x v="1"/>
    <x v="4"/>
    <n v="8097"/>
    <b v="1"/>
    <s v="Stormy"/>
    <x v="1"/>
    <s v="Under Construction"/>
    <s v="18-25"/>
    <n v="3"/>
    <s v="Low"/>
    <s v="Suspended"/>
    <b v="0"/>
    <n v="71"/>
    <s v="Punjab"/>
    <n v="3"/>
    <n v="3"/>
    <n v="2259"/>
    <x v="2"/>
    <s v="Not an Outliers"/>
  </r>
  <r>
    <d v="2024-08-10T00:00:00"/>
    <x v="8"/>
    <x v="4"/>
    <x v="2"/>
    <n v="2453"/>
    <b v="1"/>
    <s v="Foggy"/>
    <x v="1"/>
    <s v="Slippery"/>
    <s v="26-35"/>
    <n v="1"/>
    <s v="Medium"/>
    <s v="Expired"/>
    <b v="0"/>
    <n v="57"/>
    <s v="Punjab"/>
    <n v="4"/>
    <n v="3"/>
    <n v="629"/>
    <x v="2"/>
    <s v="Not an Outliers"/>
  </r>
  <r>
    <d v="2024-08-11T00:00:00"/>
    <x v="12"/>
    <x v="0"/>
    <x v="5"/>
    <n v="4189"/>
    <b v="0"/>
    <s v="Rainy"/>
    <x v="3"/>
    <s v="Slippery"/>
    <s v="50+"/>
    <n v="3"/>
    <s v="High"/>
    <s v="Learner"/>
    <b v="1"/>
    <n v="106"/>
    <s v="Punjab"/>
    <n v="2"/>
    <n v="2"/>
    <n v="2921"/>
    <x v="0"/>
    <s v="Not an Outliers"/>
  </r>
  <r>
    <d v="2024-08-12T00:00:00"/>
    <x v="13"/>
    <x v="0"/>
    <x v="3"/>
    <n v="3870"/>
    <b v="0"/>
    <s v="Stormy"/>
    <x v="1"/>
    <s v="Wet"/>
    <s v="50+"/>
    <n v="2"/>
    <s v="Low"/>
    <s v="Suspended"/>
    <b v="0"/>
    <n v="23"/>
    <s v="Punjab"/>
    <n v="10"/>
    <n v="2"/>
    <n v="3944"/>
    <x v="1"/>
    <s v="Not an Outliers"/>
  </r>
  <r>
    <d v="2024-08-12T00:00:00"/>
    <x v="1"/>
    <x v="0"/>
    <x v="0"/>
    <n v="1000"/>
    <b v="0"/>
    <s v="Foggy"/>
    <x v="3"/>
    <s v="Slippery"/>
    <s v="18-25"/>
    <n v="2"/>
    <s v="Medium"/>
    <s v="Expired"/>
    <b v="0"/>
    <n v="117"/>
    <s v="Delhi"/>
    <n v="4"/>
    <n v="2"/>
    <n v="2782"/>
    <x v="2"/>
    <s v="Not an Outliers"/>
  </r>
  <r>
    <d v="2024-08-12T00:00:00"/>
    <x v="1"/>
    <x v="2"/>
    <x v="4"/>
    <n v="6306"/>
    <b v="1"/>
    <s v="Cloudy"/>
    <x v="0"/>
    <s v="Dry"/>
    <s v="36-50"/>
    <n v="1"/>
    <s v="High"/>
    <s v="Learner"/>
    <b v="0"/>
    <n v="73"/>
    <s v="Punjab"/>
    <n v="7"/>
    <n v="2"/>
    <n v="1586"/>
    <x v="0"/>
    <s v="Not an Outliers"/>
  </r>
  <r>
    <d v="2024-08-12T00:00:00"/>
    <x v="3"/>
    <x v="2"/>
    <x v="4"/>
    <n v="7336"/>
    <b v="0"/>
    <s v="Foggy"/>
    <x v="3"/>
    <s v="Slippery"/>
    <s v="50+"/>
    <n v="1"/>
    <s v="Low"/>
    <s v="Learner"/>
    <b v="1"/>
    <n v="56"/>
    <s v="Punjab"/>
    <n v="5"/>
    <n v="2"/>
    <n v="2576"/>
    <x v="1"/>
    <s v="Not an Outliers"/>
  </r>
  <r>
    <d v="2024-08-13T00:00:00"/>
    <x v="8"/>
    <x v="3"/>
    <x v="4"/>
    <n v="9680"/>
    <b v="1"/>
    <s v="Cloudy"/>
    <x v="0"/>
    <s v="Slippery"/>
    <s v="36-50"/>
    <n v="2"/>
    <s v="High"/>
    <s v="Valid"/>
    <b v="1"/>
    <n v="78"/>
    <s v="Rajasthan"/>
    <n v="5"/>
    <n v="3"/>
    <n v="910"/>
    <x v="0"/>
    <s v="Not an Outliers"/>
  </r>
  <r>
    <d v="2024-08-13T00:00:00"/>
    <x v="5"/>
    <x v="1"/>
    <x v="5"/>
    <n v="6749"/>
    <b v="0"/>
    <s v="Foggy"/>
    <x v="2"/>
    <s v="Wet"/>
    <s v="50+"/>
    <n v="1"/>
    <s v="Medium"/>
    <s v="Expired"/>
    <b v="1"/>
    <n v="68"/>
    <s v="Haryana"/>
    <n v="10"/>
    <n v="2"/>
    <n v="1386"/>
    <x v="2"/>
    <s v="Not an Outliers"/>
  </r>
  <r>
    <d v="2024-08-13T00:00:00"/>
    <x v="1"/>
    <x v="0"/>
    <x v="2"/>
    <n v="1289"/>
    <b v="0"/>
    <s v="Cloudy"/>
    <x v="2"/>
    <s v="Under Construction"/>
    <s v="18-25"/>
    <n v="2"/>
    <s v="Medium"/>
    <s v="Expired"/>
    <b v="1"/>
    <n v="38"/>
    <s v="Delhi"/>
    <n v="10"/>
    <n v="3"/>
    <n v="777"/>
    <x v="2"/>
    <s v="Not an Outliers"/>
  </r>
  <r>
    <d v="2024-08-13T00:00:00"/>
    <x v="9"/>
    <x v="0"/>
    <x v="2"/>
    <n v="3316"/>
    <b v="1"/>
    <s v="Rainy"/>
    <x v="2"/>
    <s v="Dry"/>
    <s v="36-50"/>
    <n v="4"/>
    <s v="High"/>
    <s v="Suspended"/>
    <b v="1"/>
    <n v="30"/>
    <s v="Rajasthan"/>
    <n v="10"/>
    <n v="2"/>
    <n v="3048"/>
    <x v="1"/>
    <s v="Not an Outliers"/>
  </r>
  <r>
    <d v="2024-08-13T00:00:00"/>
    <x v="3"/>
    <x v="4"/>
    <x v="1"/>
    <n v="1000"/>
    <b v="0"/>
    <s v="Cloudy"/>
    <x v="1"/>
    <s v="Dry"/>
    <s v="26-35"/>
    <n v="4"/>
    <s v="Medium"/>
    <s v="Learner"/>
    <b v="0"/>
    <n v="96"/>
    <s v="Haryana"/>
    <n v="9"/>
    <n v="2"/>
    <n v="3102"/>
    <x v="1"/>
    <s v="Not an Outliers"/>
  </r>
  <r>
    <d v="2024-08-13T00:00:00"/>
    <x v="7"/>
    <x v="1"/>
    <x v="3"/>
    <n v="1731"/>
    <b v="0"/>
    <s v="Clear"/>
    <x v="0"/>
    <s v="Wet"/>
    <s v="26-35"/>
    <n v="1"/>
    <s v="Medium"/>
    <s v="Expired"/>
    <b v="1"/>
    <n v="100"/>
    <s v="Delhi"/>
    <n v="8"/>
    <n v="3"/>
    <n v="1707"/>
    <x v="0"/>
    <s v="Not an Outliers"/>
  </r>
  <r>
    <d v="2024-08-13T00:00:00"/>
    <x v="14"/>
    <x v="4"/>
    <x v="3"/>
    <n v="4237"/>
    <b v="0"/>
    <s v="Stormy"/>
    <x v="2"/>
    <s v="Under Construction"/>
    <s v="36-50"/>
    <n v="5"/>
    <s v="High"/>
    <s v="Valid"/>
    <b v="1"/>
    <n v="79"/>
    <s v="Rajasthan"/>
    <n v="7"/>
    <n v="3"/>
    <n v="4629"/>
    <x v="0"/>
    <s v="Not an Outliers"/>
  </r>
  <r>
    <d v="2024-08-13T00:00:00"/>
    <x v="9"/>
    <x v="2"/>
    <x v="3"/>
    <n v="4145"/>
    <b v="0"/>
    <s v="Cloudy"/>
    <x v="3"/>
    <s v="Under Construction"/>
    <s v="26-35"/>
    <n v="1"/>
    <s v="High"/>
    <s v="Valid"/>
    <b v="0"/>
    <n v="45"/>
    <s v="Rajasthan"/>
    <n v="8"/>
    <n v="3"/>
    <n v="1632"/>
    <x v="2"/>
    <s v="Not an Outliers"/>
  </r>
  <r>
    <d v="2024-08-14T00:00:00"/>
    <x v="11"/>
    <x v="2"/>
    <x v="5"/>
    <n v="5883"/>
    <b v="0"/>
    <s v="Rainy"/>
    <x v="3"/>
    <s v="Wet"/>
    <s v="18-25"/>
    <n v="3"/>
    <s v="Medium"/>
    <s v="Suspended"/>
    <b v="0"/>
    <n v="80"/>
    <s v="Delhi"/>
    <n v="5"/>
    <n v="1"/>
    <n v="913"/>
    <x v="1"/>
    <s v="Not an Outliers"/>
  </r>
  <r>
    <d v="2024-08-14T00:00:00"/>
    <x v="10"/>
    <x v="2"/>
    <x v="4"/>
    <n v="8225"/>
    <b v="1"/>
    <s v="Cloudy"/>
    <x v="2"/>
    <s v="Under Construction"/>
    <s v="26-35"/>
    <n v="3"/>
    <s v="High"/>
    <s v="Learner"/>
    <b v="1"/>
    <n v="25"/>
    <s v="Delhi"/>
    <n v="7"/>
    <n v="3"/>
    <n v="3575"/>
    <x v="1"/>
    <s v="Not an Outliers"/>
  </r>
  <r>
    <d v="2024-08-14T00:00:00"/>
    <x v="1"/>
    <x v="1"/>
    <x v="3"/>
    <n v="3496"/>
    <b v="0"/>
    <s v="Foggy"/>
    <x v="3"/>
    <s v="Under Construction"/>
    <s v="18-25"/>
    <n v="0"/>
    <s v="High"/>
    <s v="Valid"/>
    <b v="0"/>
    <n v="112"/>
    <s v="Uttar Pradesh"/>
    <n v="7"/>
    <n v="2"/>
    <n v="2334"/>
    <x v="2"/>
    <s v="Not an Outliers"/>
  </r>
  <r>
    <d v="2024-08-14T00:00:00"/>
    <x v="5"/>
    <x v="3"/>
    <x v="2"/>
    <n v="4987"/>
    <b v="0"/>
    <s v="Rainy"/>
    <x v="3"/>
    <s v="Wet"/>
    <s v="50+"/>
    <n v="2"/>
    <s v="Low"/>
    <s v="Expired"/>
    <b v="1"/>
    <n v="78"/>
    <s v="Delhi"/>
    <n v="10"/>
    <n v="2"/>
    <n v="1716"/>
    <x v="1"/>
    <s v="Not an Outliers"/>
  </r>
  <r>
    <d v="2024-08-14T00:00:00"/>
    <x v="10"/>
    <x v="3"/>
    <x v="5"/>
    <n v="7088"/>
    <b v="0"/>
    <s v="Cloudy"/>
    <x v="3"/>
    <s v="Slippery"/>
    <s v="18-25"/>
    <n v="2"/>
    <s v="Medium"/>
    <s v="Valid"/>
    <b v="1"/>
    <n v="25"/>
    <s v="Punjab"/>
    <n v="8"/>
    <n v="1"/>
    <n v="2523"/>
    <x v="1"/>
    <s v="Not an Outliers"/>
  </r>
  <r>
    <d v="2024-08-14T00:00:00"/>
    <x v="14"/>
    <x v="1"/>
    <x v="2"/>
    <n v="3386"/>
    <b v="1"/>
    <s v="Rainy"/>
    <x v="1"/>
    <s v="Under Construction"/>
    <s v="50+"/>
    <n v="5"/>
    <s v="Medium"/>
    <s v="Expired"/>
    <b v="0"/>
    <n v="97"/>
    <s v="Rajasthan"/>
    <n v="3"/>
    <n v="2"/>
    <n v="3319"/>
    <x v="2"/>
    <s v="Not an Outliers"/>
  </r>
  <r>
    <d v="2024-08-15T00:00:00"/>
    <x v="3"/>
    <x v="0"/>
    <x v="3"/>
    <n v="1997"/>
    <b v="1"/>
    <s v="Cloudy"/>
    <x v="0"/>
    <s v="Slippery"/>
    <s v="36-50"/>
    <n v="1"/>
    <s v="Low"/>
    <s v="Valid"/>
    <b v="0"/>
    <n v="101"/>
    <s v="Haryana"/>
    <n v="3"/>
    <n v="3"/>
    <n v="4283"/>
    <x v="0"/>
    <s v="Not an Outliers"/>
  </r>
  <r>
    <d v="2024-08-15T00:00:00"/>
    <x v="3"/>
    <x v="2"/>
    <x v="1"/>
    <n v="1000"/>
    <b v="1"/>
    <s v="Foggy"/>
    <x v="0"/>
    <s v="Wet"/>
    <s v="26-35"/>
    <n v="4"/>
    <s v="High"/>
    <s v="Expired"/>
    <b v="1"/>
    <n v="18"/>
    <s v="Rajasthan"/>
    <n v="4"/>
    <n v="2"/>
    <n v="4763"/>
    <x v="1"/>
    <s v="Not an Outliers"/>
  </r>
  <r>
    <d v="2024-08-15T00:00:00"/>
    <x v="14"/>
    <x v="4"/>
    <x v="5"/>
    <n v="6008"/>
    <b v="0"/>
    <s v="Rainy"/>
    <x v="0"/>
    <s v="Dry"/>
    <s v="26-35"/>
    <n v="3"/>
    <s v="Low"/>
    <s v="Expired"/>
    <b v="0"/>
    <n v="77"/>
    <s v="Rajasthan"/>
    <n v="8"/>
    <n v="3"/>
    <n v="2792"/>
    <x v="1"/>
    <s v="Not an Outliers"/>
  </r>
  <r>
    <d v="2024-08-15T00:00:00"/>
    <x v="5"/>
    <x v="0"/>
    <x v="3"/>
    <n v="3857"/>
    <b v="1"/>
    <s v="Clear"/>
    <x v="3"/>
    <s v="Slippery"/>
    <s v="26-35"/>
    <n v="2"/>
    <s v="High"/>
    <s v="Expired"/>
    <b v="0"/>
    <n v="66"/>
    <s v="Punjab"/>
    <n v="1"/>
    <n v="1"/>
    <n v="1351"/>
    <x v="0"/>
    <s v="Not an Outliers"/>
  </r>
  <r>
    <d v="2024-08-16T00:00:00"/>
    <x v="7"/>
    <x v="0"/>
    <x v="0"/>
    <n v="1000"/>
    <b v="0"/>
    <s v="Foggy"/>
    <x v="2"/>
    <s v="Under Construction"/>
    <s v="36-50"/>
    <n v="2"/>
    <s v="Low"/>
    <s v="Valid"/>
    <b v="0"/>
    <n v="25"/>
    <s v="Rajasthan"/>
    <n v="1"/>
    <n v="3"/>
    <n v="4988"/>
    <x v="0"/>
    <s v="Not an Outliers"/>
  </r>
  <r>
    <d v="2024-08-16T00:00:00"/>
    <x v="4"/>
    <x v="0"/>
    <x v="5"/>
    <n v="7732"/>
    <b v="1"/>
    <s v="Clear"/>
    <x v="0"/>
    <s v="Slippery"/>
    <s v="36-50"/>
    <n v="2"/>
    <s v="Medium"/>
    <s v="Valid"/>
    <b v="0"/>
    <n v="9"/>
    <s v="Rajasthan"/>
    <n v="7"/>
    <n v="1"/>
    <n v="1814"/>
    <x v="1"/>
    <s v="Not an Outliers"/>
  </r>
  <r>
    <d v="2024-08-16T00:00:00"/>
    <x v="8"/>
    <x v="4"/>
    <x v="1"/>
    <n v="1000"/>
    <b v="1"/>
    <s v="Foggy"/>
    <x v="0"/>
    <s v="Dry"/>
    <s v="36-50"/>
    <n v="4"/>
    <s v="Medium"/>
    <s v="Learner"/>
    <b v="1"/>
    <n v="105"/>
    <s v="Uttar Pradesh"/>
    <n v="9"/>
    <n v="3"/>
    <n v="1823"/>
    <x v="2"/>
    <s v="Not an Outliers"/>
  </r>
  <r>
    <d v="2024-08-17T00:00:00"/>
    <x v="10"/>
    <x v="4"/>
    <x v="5"/>
    <n v="4196"/>
    <b v="1"/>
    <s v="Stormy"/>
    <x v="2"/>
    <s v="Dry"/>
    <s v="36-50"/>
    <n v="1"/>
    <s v="High"/>
    <s v="Suspended"/>
    <b v="1"/>
    <n v="91"/>
    <s v="Uttar Pradesh"/>
    <n v="9"/>
    <n v="1"/>
    <n v="3277"/>
    <x v="1"/>
    <s v="Not an Outliers"/>
  </r>
  <r>
    <d v="2024-08-18T00:00:00"/>
    <x v="11"/>
    <x v="1"/>
    <x v="5"/>
    <n v="7476"/>
    <b v="1"/>
    <s v="Foggy"/>
    <x v="1"/>
    <s v="Slippery"/>
    <s v="50+"/>
    <n v="3"/>
    <s v="Medium"/>
    <s v="Valid"/>
    <b v="1"/>
    <n v="3"/>
    <s v="Haryana"/>
    <n v="9"/>
    <n v="1"/>
    <n v="2542"/>
    <x v="1"/>
    <s v="Not an Outliers"/>
  </r>
  <r>
    <d v="2024-08-18T00:00:00"/>
    <x v="10"/>
    <x v="4"/>
    <x v="4"/>
    <n v="8481"/>
    <b v="0"/>
    <s v="Foggy"/>
    <x v="1"/>
    <s v="Slippery"/>
    <s v="18-25"/>
    <n v="4"/>
    <s v="Medium"/>
    <s v="Suspended"/>
    <b v="0"/>
    <n v="45"/>
    <s v="Haryana"/>
    <n v="4"/>
    <n v="2"/>
    <n v="4833"/>
    <x v="2"/>
    <s v="Not an Outliers"/>
  </r>
  <r>
    <d v="2024-08-18T00:00:00"/>
    <x v="2"/>
    <x v="3"/>
    <x v="1"/>
    <n v="1000"/>
    <b v="0"/>
    <s v="Cloudy"/>
    <x v="2"/>
    <s v="Wet"/>
    <s v="18-25"/>
    <n v="5"/>
    <s v="High"/>
    <s v="Expired"/>
    <b v="0"/>
    <n v="19"/>
    <s v="Uttar Pradesh"/>
    <n v="1"/>
    <n v="2"/>
    <n v="3718"/>
    <x v="1"/>
    <s v="Not an Outliers"/>
  </r>
  <r>
    <d v="2024-08-18T00:00:00"/>
    <x v="13"/>
    <x v="0"/>
    <x v="5"/>
    <n v="5427"/>
    <b v="0"/>
    <s v="Foggy"/>
    <x v="2"/>
    <s v="Wet"/>
    <s v="50+"/>
    <n v="0"/>
    <s v="High"/>
    <s v="Expired"/>
    <b v="0"/>
    <n v="73"/>
    <s v="Haryana"/>
    <n v="3"/>
    <n v="3"/>
    <n v="2836"/>
    <x v="1"/>
    <s v="Not an Outliers"/>
  </r>
  <r>
    <d v="2024-08-18T00:00:00"/>
    <x v="3"/>
    <x v="0"/>
    <x v="4"/>
    <n v="7914"/>
    <b v="0"/>
    <s v="Cloudy"/>
    <x v="3"/>
    <s v="Wet"/>
    <s v="50+"/>
    <n v="1"/>
    <s v="Medium"/>
    <s v="Expired"/>
    <b v="0"/>
    <n v="49"/>
    <s v="Haryana"/>
    <n v="1"/>
    <n v="3"/>
    <n v="3971"/>
    <x v="2"/>
    <s v="Not an Outliers"/>
  </r>
  <r>
    <d v="2024-08-18T00:00:00"/>
    <x v="5"/>
    <x v="0"/>
    <x v="2"/>
    <n v="3038"/>
    <b v="0"/>
    <s v="Foggy"/>
    <x v="3"/>
    <s v="Under Construction"/>
    <s v="36-50"/>
    <n v="0"/>
    <s v="Low"/>
    <s v="Valid"/>
    <b v="0"/>
    <n v="98"/>
    <s v="Uttar Pradesh"/>
    <n v="9"/>
    <n v="3"/>
    <n v="2347"/>
    <x v="2"/>
    <s v="Not an Outliers"/>
  </r>
  <r>
    <d v="2024-08-19T00:00:00"/>
    <x v="9"/>
    <x v="0"/>
    <x v="5"/>
    <n v="2310"/>
    <b v="1"/>
    <s v="Cloudy"/>
    <x v="2"/>
    <s v="Dry"/>
    <s v="26-35"/>
    <n v="1"/>
    <s v="High"/>
    <s v="Learner"/>
    <b v="0"/>
    <n v="48"/>
    <s v="Uttar Pradesh"/>
    <n v="2"/>
    <n v="3"/>
    <n v="2028"/>
    <x v="1"/>
    <s v="Not an Outliers"/>
  </r>
  <r>
    <d v="2024-08-19T00:00:00"/>
    <x v="1"/>
    <x v="3"/>
    <x v="5"/>
    <n v="6564"/>
    <b v="1"/>
    <s v="Clear"/>
    <x v="3"/>
    <s v="Dry"/>
    <s v="18-25"/>
    <n v="1"/>
    <s v="High"/>
    <s v="Expired"/>
    <b v="0"/>
    <n v="73"/>
    <s v="Punjab"/>
    <n v="8"/>
    <n v="2"/>
    <n v="4688"/>
    <x v="0"/>
    <s v="Not an Outliers"/>
  </r>
  <r>
    <d v="2024-08-19T00:00:00"/>
    <x v="4"/>
    <x v="2"/>
    <x v="2"/>
    <n v="2046"/>
    <b v="0"/>
    <s v="Stormy"/>
    <x v="0"/>
    <s v="Under Construction"/>
    <s v="36-50"/>
    <n v="2"/>
    <s v="Medium"/>
    <s v="Valid"/>
    <b v="0"/>
    <n v="34"/>
    <s v="Delhi"/>
    <n v="5"/>
    <n v="2"/>
    <n v="578"/>
    <x v="2"/>
    <s v="Not an Outliers"/>
  </r>
  <r>
    <d v="2024-08-19T00:00:00"/>
    <x v="0"/>
    <x v="4"/>
    <x v="3"/>
    <n v="4860"/>
    <b v="1"/>
    <s v="Stormy"/>
    <x v="3"/>
    <s v="Wet"/>
    <s v="26-35"/>
    <n v="0"/>
    <s v="High"/>
    <s v="Suspended"/>
    <b v="0"/>
    <n v="99"/>
    <s v="Delhi"/>
    <n v="3"/>
    <n v="1"/>
    <n v="4296"/>
    <x v="1"/>
    <s v="Not an Outliers"/>
  </r>
  <r>
    <d v="2024-08-19T00:00:00"/>
    <x v="9"/>
    <x v="2"/>
    <x v="5"/>
    <n v="3804"/>
    <b v="1"/>
    <s v="Rainy"/>
    <x v="0"/>
    <s v="Wet"/>
    <s v="50+"/>
    <n v="3"/>
    <s v="High"/>
    <s v="Valid"/>
    <b v="0"/>
    <n v="94"/>
    <s v="Haryana"/>
    <n v="8"/>
    <n v="1"/>
    <n v="1418"/>
    <x v="1"/>
    <s v="Not an Outliers"/>
  </r>
  <r>
    <d v="2024-08-20T00:00:00"/>
    <x v="8"/>
    <x v="4"/>
    <x v="3"/>
    <n v="2787"/>
    <b v="0"/>
    <s v="Rainy"/>
    <x v="0"/>
    <s v="Dry"/>
    <s v="18-25"/>
    <n v="3"/>
    <s v="Low"/>
    <s v="Valid"/>
    <b v="0"/>
    <n v="43"/>
    <s v="Punjab"/>
    <n v="1"/>
    <n v="3"/>
    <n v="3981"/>
    <x v="1"/>
    <s v="Not an Outliers"/>
  </r>
  <r>
    <d v="2024-08-21T00:00:00"/>
    <x v="7"/>
    <x v="4"/>
    <x v="5"/>
    <n v="5249"/>
    <b v="1"/>
    <s v="Rainy"/>
    <x v="2"/>
    <s v="Under Construction"/>
    <s v="50+"/>
    <n v="0"/>
    <s v="Low"/>
    <s v="Suspended"/>
    <b v="1"/>
    <n v="15"/>
    <s v="Punjab"/>
    <n v="6"/>
    <n v="2"/>
    <n v="2071"/>
    <x v="2"/>
    <s v="Not an Outliers"/>
  </r>
  <r>
    <d v="2024-08-21T00:00:00"/>
    <x v="1"/>
    <x v="2"/>
    <x v="5"/>
    <n v="7400"/>
    <b v="0"/>
    <s v="Rainy"/>
    <x v="0"/>
    <s v="Under Construction"/>
    <s v="50+"/>
    <n v="4"/>
    <s v="Medium"/>
    <s v="Valid"/>
    <b v="0"/>
    <n v="117"/>
    <s v="Delhi"/>
    <n v="7"/>
    <n v="1"/>
    <n v="3905"/>
    <x v="0"/>
    <s v="Not an Outliers"/>
  </r>
  <r>
    <d v="2024-08-22T00:00:00"/>
    <x v="0"/>
    <x v="0"/>
    <x v="4"/>
    <n v="6310"/>
    <b v="0"/>
    <s v="Rainy"/>
    <x v="1"/>
    <s v="Slippery"/>
    <s v="26-35"/>
    <n v="3"/>
    <s v="High"/>
    <s v="Suspended"/>
    <b v="1"/>
    <n v="96"/>
    <s v="Delhi"/>
    <n v="1"/>
    <n v="3"/>
    <n v="1531"/>
    <x v="1"/>
    <s v="Not an Outliers"/>
  </r>
  <r>
    <d v="2024-08-22T00:00:00"/>
    <x v="14"/>
    <x v="3"/>
    <x v="4"/>
    <n v="5364"/>
    <b v="0"/>
    <s v="Cloudy"/>
    <x v="1"/>
    <s v="Wet"/>
    <s v="36-50"/>
    <n v="5"/>
    <s v="Low"/>
    <s v="Expired"/>
    <b v="0"/>
    <n v="117"/>
    <s v="Uttar Pradesh"/>
    <n v="2"/>
    <n v="3"/>
    <n v="1275"/>
    <x v="2"/>
    <s v="Not an Outliers"/>
  </r>
  <r>
    <d v="2024-08-22T00:00:00"/>
    <x v="11"/>
    <x v="0"/>
    <x v="2"/>
    <n v="2681"/>
    <b v="0"/>
    <s v="Clear"/>
    <x v="2"/>
    <s v="Under Construction"/>
    <s v="26-35"/>
    <n v="0"/>
    <s v="Medium"/>
    <s v="Valid"/>
    <b v="0"/>
    <n v="73"/>
    <s v="Haryana"/>
    <n v="7"/>
    <n v="3"/>
    <n v="3080"/>
    <x v="0"/>
    <s v="Not an Outliers"/>
  </r>
  <r>
    <d v="2024-08-22T00:00:00"/>
    <x v="8"/>
    <x v="3"/>
    <x v="3"/>
    <n v="3835"/>
    <b v="0"/>
    <s v="Clear"/>
    <x v="0"/>
    <s v="Dry"/>
    <s v="36-50"/>
    <n v="2"/>
    <s v="High"/>
    <s v="Valid"/>
    <b v="0"/>
    <n v="54"/>
    <s v="Punjab"/>
    <n v="1"/>
    <n v="2"/>
    <n v="4284"/>
    <x v="0"/>
    <s v="Not an Outliers"/>
  </r>
  <r>
    <d v="2024-08-23T00:00:00"/>
    <x v="5"/>
    <x v="1"/>
    <x v="4"/>
    <n v="5954"/>
    <b v="0"/>
    <s v="Stormy"/>
    <x v="0"/>
    <s v="Wet"/>
    <s v="18-25"/>
    <n v="4"/>
    <s v="High"/>
    <s v="Suspended"/>
    <b v="0"/>
    <n v="53"/>
    <s v="Uttar Pradesh"/>
    <n v="3"/>
    <n v="2"/>
    <n v="2679"/>
    <x v="1"/>
    <s v="Not an Outliers"/>
  </r>
  <r>
    <d v="2024-08-23T00:00:00"/>
    <x v="10"/>
    <x v="4"/>
    <x v="5"/>
    <n v="4790"/>
    <b v="0"/>
    <s v="Rainy"/>
    <x v="0"/>
    <s v="Slippery"/>
    <s v="36-50"/>
    <n v="0"/>
    <s v="Low"/>
    <s v="Expired"/>
    <b v="1"/>
    <n v="17"/>
    <s v="Punjab"/>
    <n v="10"/>
    <n v="2"/>
    <n v="2478"/>
    <x v="0"/>
    <s v="Not an Outliers"/>
  </r>
  <r>
    <d v="2024-08-23T00:00:00"/>
    <x v="12"/>
    <x v="0"/>
    <x v="0"/>
    <n v="1000"/>
    <b v="1"/>
    <s v="Foggy"/>
    <x v="3"/>
    <s v="Slippery"/>
    <s v="36-50"/>
    <n v="2"/>
    <s v="Low"/>
    <s v="Valid"/>
    <b v="1"/>
    <n v="56"/>
    <s v="Uttar Pradesh"/>
    <n v="3"/>
    <n v="1"/>
    <n v="4960"/>
    <x v="2"/>
    <s v="Not an Outliers"/>
  </r>
  <r>
    <d v="2024-08-24T00:00:00"/>
    <x v="1"/>
    <x v="4"/>
    <x v="1"/>
    <n v="1000"/>
    <b v="1"/>
    <s v="Stormy"/>
    <x v="0"/>
    <s v="Slippery"/>
    <s v="18-25"/>
    <n v="4"/>
    <s v="Medium"/>
    <s v="Suspended"/>
    <b v="1"/>
    <n v="28"/>
    <s v="Uttar Pradesh"/>
    <n v="7"/>
    <n v="2"/>
    <n v="4805"/>
    <x v="2"/>
    <s v="Not an Outliers"/>
  </r>
  <r>
    <d v="2024-08-24T00:00:00"/>
    <x v="6"/>
    <x v="2"/>
    <x v="4"/>
    <n v="9709"/>
    <b v="0"/>
    <s v="Foggy"/>
    <x v="3"/>
    <s v="Wet"/>
    <s v="26-35"/>
    <n v="4"/>
    <s v="Low"/>
    <s v="Expired"/>
    <b v="1"/>
    <n v="37"/>
    <s v="Delhi"/>
    <n v="5"/>
    <n v="1"/>
    <n v="2401"/>
    <x v="2"/>
    <s v="Not an Outliers"/>
  </r>
  <r>
    <d v="2024-08-24T00:00:00"/>
    <x v="8"/>
    <x v="3"/>
    <x v="3"/>
    <n v="3421"/>
    <b v="0"/>
    <s v="Foggy"/>
    <x v="1"/>
    <s v="Wet"/>
    <s v="50+"/>
    <n v="0"/>
    <s v="Low"/>
    <s v="Suspended"/>
    <b v="0"/>
    <n v="76"/>
    <s v="Uttar Pradesh"/>
    <n v="3"/>
    <n v="1"/>
    <n v="1525"/>
    <x v="1"/>
    <s v="Not an Outliers"/>
  </r>
  <r>
    <d v="2024-08-25T00:00:00"/>
    <x v="14"/>
    <x v="2"/>
    <x v="2"/>
    <n v="2829"/>
    <b v="1"/>
    <s v="Rainy"/>
    <x v="0"/>
    <s v="Slippery"/>
    <s v="18-25"/>
    <n v="1"/>
    <s v="High"/>
    <s v="Expired"/>
    <b v="1"/>
    <n v="80"/>
    <s v="Rajasthan"/>
    <n v="10"/>
    <n v="3"/>
    <n v="1847"/>
    <x v="0"/>
    <s v="Not an Outliers"/>
  </r>
  <r>
    <d v="2024-08-25T00:00:00"/>
    <x v="8"/>
    <x v="2"/>
    <x v="5"/>
    <n v="6029"/>
    <b v="1"/>
    <s v="Cloudy"/>
    <x v="0"/>
    <s v="Under Construction"/>
    <s v="50+"/>
    <n v="0"/>
    <s v="High"/>
    <s v="Expired"/>
    <b v="0"/>
    <n v="79"/>
    <s v="Rajasthan"/>
    <n v="9"/>
    <n v="2"/>
    <n v="2066"/>
    <x v="2"/>
    <s v="Not an Outliers"/>
  </r>
  <r>
    <d v="2024-08-25T00:00:00"/>
    <x v="7"/>
    <x v="1"/>
    <x v="3"/>
    <n v="2782"/>
    <b v="0"/>
    <s v="Cloudy"/>
    <x v="1"/>
    <s v="Under Construction"/>
    <s v="36-50"/>
    <n v="3"/>
    <s v="Medium"/>
    <s v="Learner"/>
    <b v="1"/>
    <n v="120"/>
    <s v="Delhi"/>
    <n v="6"/>
    <n v="2"/>
    <n v="3927"/>
    <x v="2"/>
    <s v="Not an Outliers"/>
  </r>
  <r>
    <d v="2024-08-25T00:00:00"/>
    <x v="12"/>
    <x v="1"/>
    <x v="1"/>
    <n v="1000"/>
    <b v="1"/>
    <s v="Stormy"/>
    <x v="1"/>
    <s v="Under Construction"/>
    <s v="36-50"/>
    <n v="4"/>
    <s v="Medium"/>
    <s v="Learner"/>
    <b v="1"/>
    <n v="56"/>
    <s v="Haryana"/>
    <n v="7"/>
    <n v="1"/>
    <n v="3804"/>
    <x v="0"/>
    <s v="Not an Outliers"/>
  </r>
  <r>
    <d v="2024-08-26T00:00:00"/>
    <x v="5"/>
    <x v="1"/>
    <x v="4"/>
    <n v="5725"/>
    <b v="0"/>
    <s v="Stormy"/>
    <x v="0"/>
    <s v="Dry"/>
    <s v="36-50"/>
    <n v="5"/>
    <s v="Medium"/>
    <s v="Suspended"/>
    <b v="0"/>
    <n v="37"/>
    <s v="Uttar Pradesh"/>
    <n v="7"/>
    <n v="2"/>
    <n v="2482"/>
    <x v="1"/>
    <s v="Not an Outliers"/>
  </r>
  <r>
    <d v="2024-08-26T00:00:00"/>
    <x v="13"/>
    <x v="2"/>
    <x v="4"/>
    <n v="8706"/>
    <b v="1"/>
    <s v="Cloudy"/>
    <x v="3"/>
    <s v="Under Construction"/>
    <s v="36-50"/>
    <n v="6"/>
    <s v="Medium"/>
    <s v="Valid"/>
    <b v="0"/>
    <n v="117"/>
    <s v="Haryana"/>
    <n v="6"/>
    <n v="3"/>
    <n v="3613"/>
    <x v="2"/>
    <s v="Not an Outliers"/>
  </r>
  <r>
    <d v="2024-08-26T00:00:00"/>
    <x v="3"/>
    <x v="4"/>
    <x v="3"/>
    <n v="3811"/>
    <b v="0"/>
    <s v="Clear"/>
    <x v="2"/>
    <s v="Slippery"/>
    <s v="26-35"/>
    <n v="1"/>
    <s v="Medium"/>
    <s v="Expired"/>
    <b v="1"/>
    <n v="9"/>
    <s v="Uttar Pradesh"/>
    <n v="8"/>
    <n v="1"/>
    <n v="2593"/>
    <x v="1"/>
    <s v="Not an Outliers"/>
  </r>
  <r>
    <d v="2024-08-27T00:00:00"/>
    <x v="14"/>
    <x v="3"/>
    <x v="4"/>
    <n v="8878"/>
    <b v="0"/>
    <s v="Rainy"/>
    <x v="0"/>
    <s v="Dry"/>
    <s v="50+"/>
    <n v="1"/>
    <s v="Low"/>
    <s v="Suspended"/>
    <b v="0"/>
    <n v="36"/>
    <s v="Punjab"/>
    <n v="3"/>
    <n v="3"/>
    <n v="3456"/>
    <x v="2"/>
    <s v="Not an Outliers"/>
  </r>
  <r>
    <d v="2024-08-27T00:00:00"/>
    <x v="7"/>
    <x v="4"/>
    <x v="4"/>
    <n v="9535"/>
    <b v="1"/>
    <s v="Cloudy"/>
    <x v="1"/>
    <s v="Under Construction"/>
    <s v="26-35"/>
    <n v="3"/>
    <s v="Low"/>
    <s v="Expired"/>
    <b v="1"/>
    <n v="2"/>
    <s v="Uttar Pradesh"/>
    <n v="10"/>
    <n v="2"/>
    <n v="1265"/>
    <x v="2"/>
    <s v="Not an Outliers"/>
  </r>
  <r>
    <d v="2024-08-27T00:00:00"/>
    <x v="1"/>
    <x v="0"/>
    <x v="2"/>
    <n v="1442"/>
    <b v="0"/>
    <s v="Stormy"/>
    <x v="1"/>
    <s v="Wet"/>
    <s v="36-50"/>
    <n v="1"/>
    <s v="Medium"/>
    <s v="Valid"/>
    <b v="0"/>
    <n v="44"/>
    <s v="Uttar Pradesh"/>
    <n v="6"/>
    <n v="2"/>
    <n v="2889"/>
    <x v="2"/>
    <s v="Not an Outliers"/>
  </r>
  <r>
    <d v="2024-08-27T00:00:00"/>
    <x v="0"/>
    <x v="0"/>
    <x v="0"/>
    <n v="1000"/>
    <b v="0"/>
    <s v="Stormy"/>
    <x v="3"/>
    <s v="Under Construction"/>
    <s v="18-25"/>
    <n v="2"/>
    <s v="High"/>
    <s v="Learner"/>
    <b v="0"/>
    <n v="15"/>
    <s v="Punjab"/>
    <n v="6"/>
    <n v="1"/>
    <n v="1136"/>
    <x v="1"/>
    <s v="Not an Outliers"/>
  </r>
  <r>
    <d v="2024-08-28T00:00:00"/>
    <x v="14"/>
    <x v="1"/>
    <x v="3"/>
    <n v="2668"/>
    <b v="1"/>
    <s v="Stormy"/>
    <x v="3"/>
    <s v="Under Construction"/>
    <s v="50+"/>
    <n v="1"/>
    <s v="Low"/>
    <s v="Expired"/>
    <b v="0"/>
    <n v="65"/>
    <s v="Delhi"/>
    <n v="7"/>
    <n v="1"/>
    <n v="4002"/>
    <x v="0"/>
    <s v="Not an Outliers"/>
  </r>
  <r>
    <d v="2024-08-28T00:00:00"/>
    <x v="6"/>
    <x v="2"/>
    <x v="1"/>
    <n v="1000"/>
    <b v="0"/>
    <s v="Stormy"/>
    <x v="0"/>
    <s v="Dry"/>
    <s v="36-50"/>
    <n v="1"/>
    <s v="High"/>
    <s v="Expired"/>
    <b v="1"/>
    <n v="97"/>
    <s v="Punjab"/>
    <n v="7"/>
    <n v="3"/>
    <n v="2259"/>
    <x v="1"/>
    <s v="Not an Outliers"/>
  </r>
  <r>
    <d v="2024-09-01T00:00:00"/>
    <x v="3"/>
    <x v="0"/>
    <x v="0"/>
    <n v="1000"/>
    <b v="1"/>
    <s v="Clear"/>
    <x v="2"/>
    <s v="Dry"/>
    <s v="50+"/>
    <n v="1"/>
    <s v="Medium"/>
    <s v="Valid"/>
    <b v="1"/>
    <n v="47"/>
    <s v="Delhi"/>
    <n v="3"/>
    <n v="1"/>
    <n v="3215"/>
    <x v="1"/>
    <s v="Not an Outliers"/>
  </r>
  <r>
    <d v="2024-09-01T00:00:00"/>
    <x v="9"/>
    <x v="3"/>
    <x v="3"/>
    <n v="2271"/>
    <b v="0"/>
    <s v="Cloudy"/>
    <x v="0"/>
    <s v="Dry"/>
    <s v="50+"/>
    <n v="0"/>
    <s v="Medium"/>
    <s v="Learner"/>
    <b v="0"/>
    <n v="103"/>
    <s v="Haryana"/>
    <n v="7"/>
    <n v="2"/>
    <n v="1459"/>
    <x v="0"/>
    <s v="Not an Outliers"/>
  </r>
  <r>
    <d v="2024-09-01T00:00:00"/>
    <x v="8"/>
    <x v="0"/>
    <x v="0"/>
    <n v="1000"/>
    <b v="1"/>
    <s v="Foggy"/>
    <x v="2"/>
    <s v="Dry"/>
    <s v="50+"/>
    <n v="2"/>
    <s v="High"/>
    <s v="Suspended"/>
    <b v="1"/>
    <n v="101"/>
    <s v="Delhi"/>
    <n v="7"/>
    <n v="1"/>
    <n v="704"/>
    <x v="2"/>
    <s v="Not an Outliers"/>
  </r>
  <r>
    <d v="2024-09-02T00:00:00"/>
    <x v="13"/>
    <x v="4"/>
    <x v="2"/>
    <n v="4677"/>
    <b v="0"/>
    <s v="Stormy"/>
    <x v="3"/>
    <s v="Under Construction"/>
    <s v="26-35"/>
    <n v="4"/>
    <s v="High"/>
    <s v="Expired"/>
    <b v="0"/>
    <n v="65"/>
    <s v="Punjab"/>
    <n v="4"/>
    <n v="2"/>
    <n v="4249"/>
    <x v="1"/>
    <s v="Not an Outliers"/>
  </r>
  <r>
    <d v="2024-09-03T00:00:00"/>
    <x v="0"/>
    <x v="3"/>
    <x v="4"/>
    <n v="5501"/>
    <b v="0"/>
    <s v="Stormy"/>
    <x v="1"/>
    <s v="Under Construction"/>
    <s v="50+"/>
    <n v="0"/>
    <s v="High"/>
    <s v="Learner"/>
    <b v="1"/>
    <n v="98"/>
    <s v="Delhi"/>
    <n v="4"/>
    <n v="2"/>
    <n v="3634"/>
    <x v="2"/>
    <s v="Not an Outliers"/>
  </r>
  <r>
    <d v="2024-09-05T00:00:00"/>
    <x v="7"/>
    <x v="2"/>
    <x v="1"/>
    <n v="1000"/>
    <b v="0"/>
    <s v="Foggy"/>
    <x v="0"/>
    <s v="Slippery"/>
    <s v="50+"/>
    <n v="5"/>
    <s v="High"/>
    <s v="Suspended"/>
    <b v="1"/>
    <n v="60"/>
    <s v="Punjab"/>
    <n v="4"/>
    <n v="2"/>
    <n v="2841"/>
    <x v="2"/>
    <s v="Not an Outliers"/>
  </r>
  <r>
    <d v="2024-09-05T00:00:00"/>
    <x v="8"/>
    <x v="4"/>
    <x v="1"/>
    <n v="1000"/>
    <b v="0"/>
    <s v="Stormy"/>
    <x v="0"/>
    <s v="Dry"/>
    <s v="18-25"/>
    <n v="2"/>
    <s v="Medium"/>
    <s v="Valid"/>
    <b v="1"/>
    <n v="50"/>
    <s v="Uttar Pradesh"/>
    <n v="5"/>
    <n v="3"/>
    <n v="576"/>
    <x v="0"/>
    <s v="Not an Outliers"/>
  </r>
  <r>
    <d v="2024-09-06T00:00:00"/>
    <x v="2"/>
    <x v="2"/>
    <x v="1"/>
    <n v="1000"/>
    <b v="0"/>
    <s v="Stormy"/>
    <x v="1"/>
    <s v="Dry"/>
    <s v="18-25"/>
    <n v="5"/>
    <s v="Medium"/>
    <s v="Valid"/>
    <b v="0"/>
    <n v="23"/>
    <s v="Punjab"/>
    <n v="5"/>
    <n v="2"/>
    <n v="4578"/>
    <x v="2"/>
    <s v="Not an Outliers"/>
  </r>
  <r>
    <d v="2024-09-06T00:00:00"/>
    <x v="11"/>
    <x v="1"/>
    <x v="2"/>
    <n v="1863"/>
    <b v="0"/>
    <s v="Cloudy"/>
    <x v="0"/>
    <s v="Under Construction"/>
    <s v="26-35"/>
    <n v="3"/>
    <s v="Low"/>
    <s v="Suspended"/>
    <b v="0"/>
    <n v="94"/>
    <s v="Uttar Pradesh"/>
    <n v="3"/>
    <n v="1"/>
    <n v="675"/>
    <x v="1"/>
    <s v="Not an Outliers"/>
  </r>
  <r>
    <d v="2024-09-06T00:00:00"/>
    <x v="12"/>
    <x v="2"/>
    <x v="5"/>
    <n v="6988"/>
    <b v="0"/>
    <s v="Clear"/>
    <x v="1"/>
    <s v="Slippery"/>
    <s v="18-25"/>
    <n v="5"/>
    <s v="Medium"/>
    <s v="Expired"/>
    <b v="1"/>
    <n v="32"/>
    <s v="Uttar Pradesh"/>
    <n v="9"/>
    <n v="2"/>
    <n v="3279"/>
    <x v="2"/>
    <s v="Not an Outliers"/>
  </r>
  <r>
    <d v="2024-09-07T00:00:00"/>
    <x v="4"/>
    <x v="0"/>
    <x v="0"/>
    <n v="1000"/>
    <b v="0"/>
    <s v="Foggy"/>
    <x v="0"/>
    <s v="Wet"/>
    <s v="50+"/>
    <n v="3"/>
    <s v="High"/>
    <s v="Learner"/>
    <b v="1"/>
    <n v="31"/>
    <s v="Delhi"/>
    <n v="10"/>
    <n v="1"/>
    <n v="1223"/>
    <x v="2"/>
    <s v="Not an Outliers"/>
  </r>
  <r>
    <d v="2024-09-07T00:00:00"/>
    <x v="1"/>
    <x v="4"/>
    <x v="1"/>
    <n v="1000"/>
    <b v="0"/>
    <s v="Foggy"/>
    <x v="0"/>
    <s v="Wet"/>
    <s v="18-25"/>
    <n v="3"/>
    <s v="Medium"/>
    <s v="Expired"/>
    <b v="1"/>
    <n v="101"/>
    <s v="Uttar Pradesh"/>
    <n v="7"/>
    <n v="2"/>
    <n v="4506"/>
    <x v="1"/>
    <s v="Not an Outliers"/>
  </r>
  <r>
    <d v="2024-09-07T00:00:00"/>
    <x v="7"/>
    <x v="3"/>
    <x v="2"/>
    <n v="2177"/>
    <b v="0"/>
    <s v="Cloudy"/>
    <x v="1"/>
    <s v="Under Construction"/>
    <s v="36-50"/>
    <n v="4"/>
    <s v="Low"/>
    <s v="Learner"/>
    <b v="0"/>
    <n v="70"/>
    <s v="Punjab"/>
    <n v="6"/>
    <n v="1"/>
    <n v="3295"/>
    <x v="1"/>
    <s v="Not an Outliers"/>
  </r>
  <r>
    <d v="2024-09-07T00:00:00"/>
    <x v="1"/>
    <x v="1"/>
    <x v="4"/>
    <n v="6186"/>
    <b v="1"/>
    <s v="Cloudy"/>
    <x v="1"/>
    <s v="Dry"/>
    <s v="36-50"/>
    <n v="4"/>
    <s v="High"/>
    <s v="Suspended"/>
    <b v="0"/>
    <n v="91"/>
    <s v="Haryana"/>
    <n v="1"/>
    <n v="1"/>
    <n v="1230"/>
    <x v="0"/>
    <s v="Not an Outliers"/>
  </r>
  <r>
    <d v="2024-09-07T00:00:00"/>
    <x v="6"/>
    <x v="2"/>
    <x v="1"/>
    <n v="1000"/>
    <b v="0"/>
    <s v="Clear"/>
    <x v="1"/>
    <s v="Slippery"/>
    <s v="36-50"/>
    <n v="1"/>
    <s v="Low"/>
    <s v="Learner"/>
    <b v="0"/>
    <n v="104"/>
    <s v="Uttar Pradesh"/>
    <n v="5"/>
    <n v="1"/>
    <n v="4767"/>
    <x v="0"/>
    <s v="Not an Outliers"/>
  </r>
  <r>
    <d v="2024-09-07T00:00:00"/>
    <x v="1"/>
    <x v="3"/>
    <x v="3"/>
    <n v="3215"/>
    <b v="0"/>
    <s v="Stormy"/>
    <x v="3"/>
    <s v="Slippery"/>
    <s v="26-35"/>
    <n v="0"/>
    <s v="Low"/>
    <s v="Learner"/>
    <b v="0"/>
    <n v="89"/>
    <s v="Haryana"/>
    <n v="6"/>
    <n v="2"/>
    <n v="4129"/>
    <x v="1"/>
    <s v="Not an Outliers"/>
  </r>
  <r>
    <d v="2024-09-07T00:00:00"/>
    <x v="7"/>
    <x v="2"/>
    <x v="3"/>
    <n v="2201"/>
    <b v="0"/>
    <s v="Stormy"/>
    <x v="1"/>
    <s v="Wet"/>
    <s v="26-35"/>
    <n v="4"/>
    <s v="Low"/>
    <s v="Expired"/>
    <b v="0"/>
    <n v="42"/>
    <s v="Rajasthan"/>
    <n v="10"/>
    <n v="1"/>
    <n v="1154"/>
    <x v="1"/>
    <s v="Not an Outliers"/>
  </r>
  <r>
    <d v="2024-09-07T00:00:00"/>
    <x v="5"/>
    <x v="0"/>
    <x v="2"/>
    <n v="4337"/>
    <b v="0"/>
    <s v="Stormy"/>
    <x v="0"/>
    <s v="Under Construction"/>
    <s v="26-35"/>
    <n v="4"/>
    <s v="Medium"/>
    <s v="Learner"/>
    <b v="1"/>
    <n v="57"/>
    <s v="Punjab"/>
    <n v="8"/>
    <n v="1"/>
    <n v="4162"/>
    <x v="0"/>
    <s v="Not an Outliers"/>
  </r>
  <r>
    <d v="2024-09-08T00:00:00"/>
    <x v="8"/>
    <x v="3"/>
    <x v="1"/>
    <n v="1000"/>
    <b v="1"/>
    <s v="Stormy"/>
    <x v="0"/>
    <s v="Wet"/>
    <s v="36-50"/>
    <n v="4"/>
    <s v="High"/>
    <s v="Suspended"/>
    <b v="1"/>
    <n v="101"/>
    <s v="Haryana"/>
    <n v="1"/>
    <n v="3"/>
    <n v="2076"/>
    <x v="0"/>
    <s v="Not an Outliers"/>
  </r>
  <r>
    <d v="2024-09-08T00:00:00"/>
    <x v="5"/>
    <x v="3"/>
    <x v="1"/>
    <n v="1000"/>
    <b v="0"/>
    <s v="Stormy"/>
    <x v="1"/>
    <s v="Dry"/>
    <s v="26-35"/>
    <n v="1"/>
    <s v="Medium"/>
    <s v="Expired"/>
    <b v="0"/>
    <n v="103"/>
    <s v="Rajasthan"/>
    <n v="4"/>
    <n v="2"/>
    <n v="2884"/>
    <x v="1"/>
    <s v="Not an Outliers"/>
  </r>
  <r>
    <d v="2024-09-08T00:00:00"/>
    <x v="1"/>
    <x v="3"/>
    <x v="5"/>
    <n v="2907"/>
    <b v="0"/>
    <s v="Rainy"/>
    <x v="2"/>
    <s v="Dry"/>
    <s v="50+"/>
    <n v="0"/>
    <s v="Low"/>
    <s v="Learner"/>
    <b v="1"/>
    <n v="6"/>
    <s v="Haryana"/>
    <n v="9"/>
    <n v="1"/>
    <n v="4702"/>
    <x v="0"/>
    <s v="Not an Outliers"/>
  </r>
  <r>
    <d v="2024-09-09T00:00:00"/>
    <x v="4"/>
    <x v="4"/>
    <x v="1"/>
    <n v="1000"/>
    <b v="0"/>
    <s v="Cloudy"/>
    <x v="1"/>
    <s v="Wet"/>
    <s v="18-25"/>
    <n v="1"/>
    <s v="High"/>
    <s v="Suspended"/>
    <b v="0"/>
    <n v="1"/>
    <s v="Haryana"/>
    <n v="1"/>
    <n v="3"/>
    <n v="1203"/>
    <x v="1"/>
    <s v="Not an Outliers"/>
  </r>
  <r>
    <d v="2024-09-10T00:00:00"/>
    <x v="9"/>
    <x v="3"/>
    <x v="1"/>
    <n v="1000"/>
    <b v="0"/>
    <s v="Stormy"/>
    <x v="3"/>
    <s v="Dry"/>
    <s v="18-25"/>
    <n v="3"/>
    <s v="Low"/>
    <s v="Valid"/>
    <b v="0"/>
    <n v="86"/>
    <s v="Punjab"/>
    <n v="8"/>
    <n v="2"/>
    <n v="768"/>
    <x v="1"/>
    <s v="Not an Outliers"/>
  </r>
  <r>
    <d v="2024-09-10T00:00:00"/>
    <x v="13"/>
    <x v="1"/>
    <x v="3"/>
    <n v="4765"/>
    <b v="0"/>
    <s v="Rainy"/>
    <x v="0"/>
    <s v="Wet"/>
    <s v="18-25"/>
    <n v="0"/>
    <s v="High"/>
    <s v="Learner"/>
    <b v="1"/>
    <n v="97"/>
    <s v="Delhi"/>
    <n v="9"/>
    <n v="2"/>
    <n v="2067"/>
    <x v="0"/>
    <s v="Not an Outliers"/>
  </r>
  <r>
    <d v="2024-09-10T00:00:00"/>
    <x v="7"/>
    <x v="4"/>
    <x v="5"/>
    <n v="2417"/>
    <b v="1"/>
    <s v="Rainy"/>
    <x v="3"/>
    <s v="Slippery"/>
    <s v="26-35"/>
    <n v="2"/>
    <s v="Low"/>
    <s v="Expired"/>
    <b v="0"/>
    <n v="49"/>
    <s v="Rajasthan"/>
    <n v="3"/>
    <n v="2"/>
    <n v="3996"/>
    <x v="1"/>
    <s v="Not an Outliers"/>
  </r>
  <r>
    <d v="2024-09-10T00:00:00"/>
    <x v="8"/>
    <x v="4"/>
    <x v="3"/>
    <n v="4283"/>
    <b v="0"/>
    <s v="Rainy"/>
    <x v="1"/>
    <s v="Slippery"/>
    <s v="50+"/>
    <n v="1"/>
    <s v="Low"/>
    <s v="Learner"/>
    <b v="1"/>
    <n v="31"/>
    <s v="Haryana"/>
    <n v="1"/>
    <n v="1"/>
    <n v="2591"/>
    <x v="1"/>
    <s v="Not an Outliers"/>
  </r>
  <r>
    <d v="2024-09-11T00:00:00"/>
    <x v="8"/>
    <x v="1"/>
    <x v="5"/>
    <n v="4414"/>
    <b v="1"/>
    <s v="Foggy"/>
    <x v="0"/>
    <s v="Under Construction"/>
    <s v="26-35"/>
    <n v="1"/>
    <s v="Low"/>
    <s v="Learner"/>
    <b v="0"/>
    <n v="95"/>
    <s v="Delhi"/>
    <n v="2"/>
    <n v="3"/>
    <n v="2160"/>
    <x v="1"/>
    <s v="Not an Outliers"/>
  </r>
  <r>
    <d v="2024-09-11T00:00:00"/>
    <x v="4"/>
    <x v="3"/>
    <x v="5"/>
    <n v="5187"/>
    <b v="1"/>
    <s v="Stormy"/>
    <x v="2"/>
    <s v="Dry"/>
    <s v="50+"/>
    <n v="1"/>
    <s v="Low"/>
    <s v="Learner"/>
    <b v="0"/>
    <n v="16"/>
    <s v="Uttar Pradesh"/>
    <n v="10"/>
    <n v="2"/>
    <n v="2997"/>
    <x v="0"/>
    <s v="Not an Outliers"/>
  </r>
  <r>
    <d v="2024-09-11T00:00:00"/>
    <x v="10"/>
    <x v="1"/>
    <x v="1"/>
    <n v="1000"/>
    <b v="0"/>
    <s v="Stormy"/>
    <x v="3"/>
    <s v="Under Construction"/>
    <s v="50+"/>
    <n v="2"/>
    <s v="Low"/>
    <s v="Suspended"/>
    <b v="0"/>
    <n v="90"/>
    <s v="Punjab"/>
    <n v="2"/>
    <n v="3"/>
    <n v="2885"/>
    <x v="1"/>
    <s v="Not an Outliers"/>
  </r>
  <r>
    <d v="2024-09-11T00:00:00"/>
    <x v="9"/>
    <x v="3"/>
    <x v="2"/>
    <n v="4807"/>
    <b v="0"/>
    <s v="Stormy"/>
    <x v="0"/>
    <s v="Under Construction"/>
    <s v="26-35"/>
    <n v="0"/>
    <s v="Medium"/>
    <s v="Suspended"/>
    <b v="0"/>
    <n v="18"/>
    <s v="Rajasthan"/>
    <n v="8"/>
    <n v="1"/>
    <n v="2140"/>
    <x v="2"/>
    <s v="Not an Outliers"/>
  </r>
  <r>
    <d v="2024-09-12T00:00:00"/>
    <x v="3"/>
    <x v="4"/>
    <x v="1"/>
    <n v="1000"/>
    <b v="0"/>
    <s v="Cloudy"/>
    <x v="0"/>
    <s v="Wet"/>
    <s v="50+"/>
    <n v="1"/>
    <s v="High"/>
    <s v="Suspended"/>
    <b v="1"/>
    <n v="114"/>
    <s v="Punjab"/>
    <n v="6"/>
    <n v="3"/>
    <n v="1618"/>
    <x v="0"/>
    <s v="Not an Outliers"/>
  </r>
  <r>
    <d v="2024-09-13T00:00:00"/>
    <x v="11"/>
    <x v="2"/>
    <x v="4"/>
    <n v="8530"/>
    <b v="0"/>
    <s v="Clear"/>
    <x v="0"/>
    <s v="Under Construction"/>
    <s v="36-50"/>
    <n v="1"/>
    <s v="Medium"/>
    <s v="Learner"/>
    <b v="1"/>
    <n v="28"/>
    <s v="Haryana"/>
    <n v="9"/>
    <n v="2"/>
    <n v="4643"/>
    <x v="0"/>
    <s v="Not an Outliers"/>
  </r>
  <r>
    <d v="2024-09-14T00:00:00"/>
    <x v="14"/>
    <x v="0"/>
    <x v="2"/>
    <n v="4089"/>
    <b v="0"/>
    <s v="Cloudy"/>
    <x v="0"/>
    <s v="Slippery"/>
    <s v="18-25"/>
    <n v="3"/>
    <s v="Medium"/>
    <s v="Valid"/>
    <b v="1"/>
    <n v="52"/>
    <s v="Haryana"/>
    <n v="10"/>
    <n v="3"/>
    <n v="2843"/>
    <x v="1"/>
    <s v="Not an Outliers"/>
  </r>
  <r>
    <d v="2024-09-14T00:00:00"/>
    <x v="6"/>
    <x v="2"/>
    <x v="4"/>
    <n v="7762"/>
    <b v="0"/>
    <s v="Foggy"/>
    <x v="0"/>
    <s v="Slippery"/>
    <s v="26-35"/>
    <n v="2"/>
    <s v="Low"/>
    <s v="Learner"/>
    <b v="0"/>
    <n v="34"/>
    <s v="Punjab"/>
    <n v="5"/>
    <n v="2"/>
    <n v="2581"/>
    <x v="0"/>
    <s v="Not an Outliers"/>
  </r>
  <r>
    <d v="2024-09-14T00:00:00"/>
    <x v="14"/>
    <x v="3"/>
    <x v="4"/>
    <n v="9017"/>
    <b v="1"/>
    <s v="Stormy"/>
    <x v="1"/>
    <s v="Dry"/>
    <s v="50+"/>
    <n v="4"/>
    <s v="Medium"/>
    <s v="Learner"/>
    <b v="1"/>
    <n v="66"/>
    <s v="Delhi"/>
    <n v="1"/>
    <n v="2"/>
    <n v="3410"/>
    <x v="1"/>
    <s v="Not an Outliers"/>
  </r>
  <r>
    <d v="2024-09-14T00:00:00"/>
    <x v="3"/>
    <x v="1"/>
    <x v="5"/>
    <n v="6926"/>
    <b v="0"/>
    <s v="Foggy"/>
    <x v="3"/>
    <s v="Under Construction"/>
    <s v="36-50"/>
    <n v="3"/>
    <s v="Low"/>
    <s v="Expired"/>
    <b v="0"/>
    <n v="9"/>
    <s v="Haryana"/>
    <n v="5"/>
    <n v="1"/>
    <n v="4008"/>
    <x v="0"/>
    <s v="Not an Outliers"/>
  </r>
  <r>
    <d v="2024-09-14T00:00:00"/>
    <x v="6"/>
    <x v="4"/>
    <x v="1"/>
    <n v="1000"/>
    <b v="0"/>
    <s v="Clear"/>
    <x v="0"/>
    <s v="Wet"/>
    <s v="26-35"/>
    <n v="1"/>
    <s v="High"/>
    <s v="Valid"/>
    <b v="0"/>
    <n v="120"/>
    <s v="Haryana"/>
    <n v="1"/>
    <n v="3"/>
    <n v="1797"/>
    <x v="0"/>
    <s v="Not an Outliers"/>
  </r>
  <r>
    <d v="2024-09-14T00:00:00"/>
    <x v="9"/>
    <x v="1"/>
    <x v="3"/>
    <n v="3477"/>
    <b v="0"/>
    <s v="Cloudy"/>
    <x v="3"/>
    <s v="Under Construction"/>
    <s v="36-50"/>
    <n v="4"/>
    <s v="High"/>
    <s v="Expired"/>
    <b v="1"/>
    <n v="43"/>
    <s v="Uttar Pradesh"/>
    <n v="8"/>
    <n v="1"/>
    <n v="2887"/>
    <x v="2"/>
    <s v="Not an Outliers"/>
  </r>
  <r>
    <d v="2024-09-15T00:00:00"/>
    <x v="4"/>
    <x v="0"/>
    <x v="3"/>
    <n v="4298"/>
    <b v="0"/>
    <s v="Cloudy"/>
    <x v="3"/>
    <s v="Wet"/>
    <s v="36-50"/>
    <n v="1"/>
    <s v="Medium"/>
    <s v="Suspended"/>
    <b v="1"/>
    <n v="55"/>
    <s v="Delhi"/>
    <n v="10"/>
    <n v="3"/>
    <n v="2028"/>
    <x v="2"/>
    <s v="Not an Outliers"/>
  </r>
  <r>
    <d v="2024-09-15T00:00:00"/>
    <x v="13"/>
    <x v="3"/>
    <x v="1"/>
    <n v="1000"/>
    <b v="0"/>
    <s v="Rainy"/>
    <x v="1"/>
    <s v="Slippery"/>
    <s v="18-25"/>
    <n v="5"/>
    <s v="High"/>
    <s v="Valid"/>
    <b v="0"/>
    <n v="77"/>
    <s v="Haryana"/>
    <n v="8"/>
    <n v="3"/>
    <n v="886"/>
    <x v="0"/>
    <s v="Not an Outliers"/>
  </r>
  <r>
    <d v="2024-09-15T00:00:00"/>
    <x v="1"/>
    <x v="0"/>
    <x v="0"/>
    <n v="1000"/>
    <b v="0"/>
    <s v="Stormy"/>
    <x v="3"/>
    <s v="Wet"/>
    <s v="50+"/>
    <n v="2"/>
    <s v="Low"/>
    <s v="Learner"/>
    <b v="0"/>
    <n v="14"/>
    <s v="Punjab"/>
    <n v="6"/>
    <n v="3"/>
    <n v="4150"/>
    <x v="0"/>
    <s v="Not an Outliers"/>
  </r>
  <r>
    <d v="2024-09-15T00:00:00"/>
    <x v="2"/>
    <x v="0"/>
    <x v="0"/>
    <n v="1000"/>
    <b v="1"/>
    <s v="Cloudy"/>
    <x v="1"/>
    <s v="Wet"/>
    <s v="26-35"/>
    <n v="1"/>
    <s v="Low"/>
    <s v="Expired"/>
    <b v="1"/>
    <n v="26"/>
    <s v="Rajasthan"/>
    <n v="5"/>
    <n v="2"/>
    <n v="2807"/>
    <x v="1"/>
    <s v="Not an Outliers"/>
  </r>
  <r>
    <d v="2024-09-16T00:00:00"/>
    <x v="6"/>
    <x v="4"/>
    <x v="2"/>
    <n v="3556"/>
    <b v="0"/>
    <s v="Stormy"/>
    <x v="2"/>
    <s v="Slippery"/>
    <s v="18-25"/>
    <n v="1"/>
    <s v="Medium"/>
    <s v="Valid"/>
    <b v="1"/>
    <n v="27"/>
    <s v="Haryana"/>
    <n v="1"/>
    <n v="3"/>
    <n v="1123"/>
    <x v="1"/>
    <s v="Not an Outliers"/>
  </r>
  <r>
    <d v="2024-09-17T00:00:00"/>
    <x v="3"/>
    <x v="1"/>
    <x v="4"/>
    <n v="7930"/>
    <b v="1"/>
    <s v="Clear"/>
    <x v="3"/>
    <s v="Dry"/>
    <s v="18-25"/>
    <n v="2"/>
    <s v="Medium"/>
    <s v="Suspended"/>
    <b v="0"/>
    <n v="72"/>
    <s v="Punjab"/>
    <n v="5"/>
    <n v="1"/>
    <n v="3870"/>
    <x v="1"/>
    <s v="Not an Outliers"/>
  </r>
  <r>
    <d v="2024-09-17T00:00:00"/>
    <x v="0"/>
    <x v="1"/>
    <x v="5"/>
    <n v="6029"/>
    <b v="0"/>
    <s v="Foggy"/>
    <x v="0"/>
    <s v="Wet"/>
    <s v="18-25"/>
    <n v="5"/>
    <s v="High"/>
    <s v="Learner"/>
    <b v="1"/>
    <n v="3"/>
    <s v="Haryana"/>
    <n v="8"/>
    <n v="3"/>
    <n v="4799"/>
    <x v="0"/>
    <s v="Not an Outliers"/>
  </r>
  <r>
    <d v="2024-09-18T00:00:00"/>
    <x v="8"/>
    <x v="2"/>
    <x v="1"/>
    <n v="1000"/>
    <b v="1"/>
    <s v="Foggy"/>
    <x v="1"/>
    <s v="Under Construction"/>
    <s v="26-35"/>
    <n v="5"/>
    <s v="Medium"/>
    <s v="Valid"/>
    <b v="0"/>
    <n v="72"/>
    <s v="Delhi"/>
    <n v="7"/>
    <n v="1"/>
    <n v="3378"/>
    <x v="2"/>
    <s v="Not an Outliers"/>
  </r>
  <r>
    <d v="2024-09-18T00:00:00"/>
    <x v="14"/>
    <x v="3"/>
    <x v="5"/>
    <n v="2234"/>
    <b v="0"/>
    <s v="Cloudy"/>
    <x v="3"/>
    <s v="Wet"/>
    <s v="18-25"/>
    <n v="5"/>
    <s v="Medium"/>
    <s v="Suspended"/>
    <b v="1"/>
    <n v="110"/>
    <s v="Delhi"/>
    <n v="1"/>
    <n v="2"/>
    <n v="3984"/>
    <x v="2"/>
    <s v="Not an Outliers"/>
  </r>
  <r>
    <d v="2024-09-18T00:00:00"/>
    <x v="13"/>
    <x v="0"/>
    <x v="0"/>
    <n v="1000"/>
    <b v="0"/>
    <s v="Rainy"/>
    <x v="0"/>
    <s v="Dry"/>
    <s v="26-35"/>
    <n v="1"/>
    <s v="High"/>
    <s v="Valid"/>
    <b v="0"/>
    <n v="73"/>
    <s v="Delhi"/>
    <n v="1"/>
    <n v="3"/>
    <n v="912"/>
    <x v="1"/>
    <s v="Not an Outliers"/>
  </r>
  <r>
    <d v="2024-09-20T00:00:00"/>
    <x v="11"/>
    <x v="0"/>
    <x v="5"/>
    <n v="4983"/>
    <b v="1"/>
    <s v="Clear"/>
    <x v="1"/>
    <s v="Dry"/>
    <s v="50+"/>
    <n v="1"/>
    <s v="Low"/>
    <s v="Valid"/>
    <b v="0"/>
    <n v="34"/>
    <s v="Punjab"/>
    <n v="10"/>
    <n v="3"/>
    <n v="1021"/>
    <x v="2"/>
    <s v="Not an Outliers"/>
  </r>
  <r>
    <d v="2024-09-20T00:00:00"/>
    <x v="6"/>
    <x v="2"/>
    <x v="3"/>
    <n v="4873"/>
    <b v="0"/>
    <s v="Clear"/>
    <x v="1"/>
    <s v="Slippery"/>
    <s v="18-25"/>
    <n v="12"/>
    <s v="Low"/>
    <s v="Valid"/>
    <b v="1"/>
    <n v="42"/>
    <s v="Uttar Pradesh"/>
    <n v="2"/>
    <n v="2"/>
    <n v="3044"/>
    <x v="2"/>
    <s v="Not an Outliers"/>
  </r>
  <r>
    <d v="2024-09-20T00:00:00"/>
    <x v="13"/>
    <x v="2"/>
    <x v="1"/>
    <n v="1000"/>
    <b v="0"/>
    <s v="Rainy"/>
    <x v="2"/>
    <s v="Slippery"/>
    <s v="50+"/>
    <n v="5"/>
    <s v="Medium"/>
    <s v="Suspended"/>
    <b v="1"/>
    <n v="43"/>
    <s v="Uttar Pradesh"/>
    <n v="5"/>
    <n v="1"/>
    <n v="1659"/>
    <x v="0"/>
    <s v="Not an Outliers"/>
  </r>
  <r>
    <d v="2024-09-20T00:00:00"/>
    <x v="12"/>
    <x v="2"/>
    <x v="4"/>
    <n v="29000"/>
    <b v="1"/>
    <s v="Rainy"/>
    <x v="3"/>
    <s v="Dry"/>
    <s v="26-35"/>
    <n v="3"/>
    <s v="Medium"/>
    <s v="Expired"/>
    <b v="0"/>
    <n v="10"/>
    <s v="Rajasthan"/>
    <n v="3"/>
    <n v="3"/>
    <n v="3491"/>
    <x v="0"/>
    <s v="Outliers"/>
  </r>
  <r>
    <d v="2024-09-21T00:00:00"/>
    <x v="2"/>
    <x v="1"/>
    <x v="1"/>
    <n v="1000"/>
    <b v="0"/>
    <s v="Cloudy"/>
    <x v="2"/>
    <s v="Wet"/>
    <s v="26-35"/>
    <n v="3"/>
    <s v="High"/>
    <s v="Expired"/>
    <b v="1"/>
    <n v="48"/>
    <s v="Uttar Pradesh"/>
    <n v="3"/>
    <n v="1"/>
    <n v="4468"/>
    <x v="2"/>
    <s v="Not an Outliers"/>
  </r>
  <r>
    <d v="2024-09-21T00:00:00"/>
    <x v="11"/>
    <x v="2"/>
    <x v="2"/>
    <n v="2284"/>
    <b v="1"/>
    <s v="Clear"/>
    <x v="3"/>
    <s v="Dry"/>
    <s v="36-50"/>
    <n v="2"/>
    <s v="Low"/>
    <s v="Learner"/>
    <b v="1"/>
    <n v="100"/>
    <s v="Uttar Pradesh"/>
    <n v="3"/>
    <n v="3"/>
    <n v="2157"/>
    <x v="2"/>
    <s v="Not an Outliers"/>
  </r>
  <r>
    <d v="2024-09-21T00:00:00"/>
    <x v="8"/>
    <x v="0"/>
    <x v="3"/>
    <n v="3490"/>
    <b v="0"/>
    <s v="Clear"/>
    <x v="0"/>
    <s v="Wet"/>
    <s v="50+"/>
    <n v="1"/>
    <s v="Medium"/>
    <s v="Learner"/>
    <b v="0"/>
    <n v="89"/>
    <s v="Uttar Pradesh"/>
    <n v="8"/>
    <n v="1"/>
    <n v="2396"/>
    <x v="0"/>
    <s v="Not an Outliers"/>
  </r>
  <r>
    <d v="2024-09-21T00:00:00"/>
    <x v="1"/>
    <x v="0"/>
    <x v="0"/>
    <n v="1000"/>
    <b v="0"/>
    <s v="Clear"/>
    <x v="2"/>
    <s v="Under Construction"/>
    <s v="50+"/>
    <n v="2"/>
    <s v="Low"/>
    <s v="Valid"/>
    <b v="1"/>
    <n v="0"/>
    <s v="Rajasthan"/>
    <n v="4"/>
    <n v="3"/>
    <n v="2647"/>
    <x v="2"/>
    <s v="Not an Outliers"/>
  </r>
  <r>
    <d v="2024-09-21T00:00:00"/>
    <x v="0"/>
    <x v="0"/>
    <x v="0"/>
    <n v="1000"/>
    <b v="0"/>
    <s v="Rainy"/>
    <x v="1"/>
    <s v="Under Construction"/>
    <s v="50+"/>
    <n v="1"/>
    <s v="High"/>
    <s v="Learner"/>
    <b v="0"/>
    <n v="30"/>
    <s v="Uttar Pradesh"/>
    <n v="2"/>
    <n v="2"/>
    <n v="3588"/>
    <x v="1"/>
    <s v="Not an Outliers"/>
  </r>
  <r>
    <d v="2024-09-21T00:00:00"/>
    <x v="12"/>
    <x v="2"/>
    <x v="1"/>
    <n v="1000"/>
    <b v="0"/>
    <s v="Rainy"/>
    <x v="0"/>
    <s v="Under Construction"/>
    <s v="50+"/>
    <n v="1"/>
    <s v="Low"/>
    <s v="Valid"/>
    <b v="0"/>
    <n v="28"/>
    <s v="Uttar Pradesh"/>
    <n v="7"/>
    <n v="1"/>
    <n v="3341"/>
    <x v="0"/>
    <s v="Not an Outliers"/>
  </r>
  <r>
    <d v="2024-09-22T00:00:00"/>
    <x v="14"/>
    <x v="3"/>
    <x v="5"/>
    <n v="6322"/>
    <b v="1"/>
    <s v="Rainy"/>
    <x v="1"/>
    <s v="Wet"/>
    <s v="18-25"/>
    <n v="2"/>
    <s v="Low"/>
    <s v="Expired"/>
    <b v="0"/>
    <n v="86"/>
    <s v="Rajasthan"/>
    <n v="9"/>
    <n v="3"/>
    <n v="680"/>
    <x v="2"/>
    <s v="Not an Outliers"/>
  </r>
  <r>
    <d v="2024-09-22T00:00:00"/>
    <x v="1"/>
    <x v="1"/>
    <x v="3"/>
    <n v="2362"/>
    <b v="0"/>
    <s v="Foggy"/>
    <x v="3"/>
    <s v="Dry"/>
    <s v="26-35"/>
    <n v="2"/>
    <s v="Low"/>
    <s v="Suspended"/>
    <b v="1"/>
    <n v="102"/>
    <s v="Uttar Pradesh"/>
    <n v="8"/>
    <n v="2"/>
    <n v="3975"/>
    <x v="0"/>
    <s v="Not an Outliers"/>
  </r>
  <r>
    <d v="2024-09-22T00:00:00"/>
    <x v="8"/>
    <x v="2"/>
    <x v="3"/>
    <n v="2131"/>
    <b v="1"/>
    <s v="Clear"/>
    <x v="2"/>
    <s v="Slippery"/>
    <s v="50+"/>
    <n v="4"/>
    <s v="High"/>
    <s v="Learner"/>
    <b v="1"/>
    <n v="51"/>
    <s v="Punjab"/>
    <n v="6"/>
    <n v="2"/>
    <n v="1169"/>
    <x v="1"/>
    <s v="Not an Outliers"/>
  </r>
  <r>
    <d v="2024-09-23T00:00:00"/>
    <x v="3"/>
    <x v="0"/>
    <x v="5"/>
    <n v="6324"/>
    <b v="1"/>
    <s v="Foggy"/>
    <x v="0"/>
    <s v="Slippery"/>
    <s v="26-35"/>
    <n v="3"/>
    <s v="Low"/>
    <s v="Expired"/>
    <b v="1"/>
    <n v="41"/>
    <s v="Punjab"/>
    <n v="6"/>
    <n v="2"/>
    <n v="995"/>
    <x v="2"/>
    <s v="Not an Outliers"/>
  </r>
  <r>
    <d v="2024-09-25T00:00:00"/>
    <x v="6"/>
    <x v="0"/>
    <x v="0"/>
    <n v="1000"/>
    <b v="1"/>
    <s v="Foggy"/>
    <x v="1"/>
    <s v="Slippery"/>
    <s v="18-25"/>
    <n v="2"/>
    <s v="Medium"/>
    <s v="Valid"/>
    <b v="0"/>
    <n v="28"/>
    <s v="Haryana"/>
    <n v="8"/>
    <n v="1"/>
    <n v="1978"/>
    <x v="1"/>
    <s v="Not an Outliers"/>
  </r>
  <r>
    <d v="2024-09-25T00:00:00"/>
    <x v="11"/>
    <x v="0"/>
    <x v="0"/>
    <n v="1000"/>
    <b v="1"/>
    <s v="Cloudy"/>
    <x v="0"/>
    <s v="Dry"/>
    <s v="26-35"/>
    <n v="2"/>
    <s v="High"/>
    <s v="Learner"/>
    <b v="1"/>
    <n v="76"/>
    <s v="Punjab"/>
    <n v="4"/>
    <n v="1"/>
    <n v="1269"/>
    <x v="0"/>
    <s v="Not an Outliers"/>
  </r>
  <r>
    <d v="2024-09-26T00:00:00"/>
    <x v="1"/>
    <x v="3"/>
    <x v="4"/>
    <n v="9449"/>
    <b v="0"/>
    <s v="Foggy"/>
    <x v="3"/>
    <s v="Wet"/>
    <s v="50+"/>
    <n v="3"/>
    <s v="Low"/>
    <s v="Learner"/>
    <b v="1"/>
    <n v="73"/>
    <s v="Haryana"/>
    <n v="6"/>
    <n v="3"/>
    <n v="2100"/>
    <x v="0"/>
    <s v="Not an Outliers"/>
  </r>
  <r>
    <d v="2024-09-26T00:00:00"/>
    <x v="14"/>
    <x v="2"/>
    <x v="2"/>
    <n v="4758"/>
    <b v="1"/>
    <s v="Stormy"/>
    <x v="3"/>
    <s v="Slippery"/>
    <s v="18-25"/>
    <n v="2"/>
    <s v="High"/>
    <s v="Learner"/>
    <b v="1"/>
    <n v="90"/>
    <s v="Uttar Pradesh"/>
    <n v="2"/>
    <n v="2"/>
    <n v="3450"/>
    <x v="0"/>
    <s v="Not an Outliers"/>
  </r>
  <r>
    <d v="2024-09-26T00:00:00"/>
    <x v="11"/>
    <x v="1"/>
    <x v="3"/>
    <n v="3024"/>
    <b v="0"/>
    <s v="Clear"/>
    <x v="1"/>
    <s v="Slippery"/>
    <s v="26-35"/>
    <n v="0"/>
    <s v="Low"/>
    <s v="Valid"/>
    <b v="1"/>
    <n v="32"/>
    <s v="Rajasthan"/>
    <n v="4"/>
    <n v="2"/>
    <n v="3209"/>
    <x v="2"/>
    <s v="Not an Outliers"/>
  </r>
  <r>
    <d v="2024-09-26T00:00:00"/>
    <x v="12"/>
    <x v="2"/>
    <x v="2"/>
    <n v="1488"/>
    <b v="0"/>
    <s v="Stormy"/>
    <x v="2"/>
    <s v="Under Construction"/>
    <s v="26-35"/>
    <n v="4"/>
    <s v="Low"/>
    <s v="Learner"/>
    <b v="1"/>
    <n v="21"/>
    <s v="Rajasthan"/>
    <n v="4"/>
    <n v="1"/>
    <n v="2749"/>
    <x v="1"/>
    <s v="Not an Outliers"/>
  </r>
  <r>
    <d v="2024-09-26T00:00:00"/>
    <x v="7"/>
    <x v="2"/>
    <x v="1"/>
    <n v="1000"/>
    <b v="1"/>
    <s v="Cloudy"/>
    <x v="1"/>
    <s v="Wet"/>
    <s v="50+"/>
    <n v="4"/>
    <s v="Medium"/>
    <s v="Suspended"/>
    <b v="1"/>
    <n v="113"/>
    <s v="Haryana"/>
    <n v="4"/>
    <n v="1"/>
    <n v="1925"/>
    <x v="2"/>
    <s v="Not an Outliers"/>
  </r>
  <r>
    <d v="2024-09-27T00:00:00"/>
    <x v="7"/>
    <x v="3"/>
    <x v="2"/>
    <n v="4641"/>
    <b v="0"/>
    <s v="Rainy"/>
    <x v="0"/>
    <s v="Slippery"/>
    <s v="18-25"/>
    <n v="0"/>
    <s v="Low"/>
    <s v="Suspended"/>
    <b v="1"/>
    <n v="96"/>
    <s v="Haryana"/>
    <n v="9"/>
    <n v="3"/>
    <n v="2121"/>
    <x v="1"/>
    <s v="Not an Outliers"/>
  </r>
  <r>
    <d v="2024-09-27T00:00:00"/>
    <x v="1"/>
    <x v="0"/>
    <x v="2"/>
    <n v="3177"/>
    <b v="0"/>
    <s v="Foggy"/>
    <x v="2"/>
    <s v="Under Construction"/>
    <s v="36-50"/>
    <n v="2"/>
    <s v="Low"/>
    <s v="Suspended"/>
    <b v="0"/>
    <n v="103"/>
    <s v="Haryana"/>
    <n v="4"/>
    <n v="2"/>
    <n v="1385"/>
    <x v="0"/>
    <s v="Not an Outliers"/>
  </r>
  <r>
    <d v="2024-09-27T00:00:00"/>
    <x v="0"/>
    <x v="4"/>
    <x v="1"/>
    <n v="1000"/>
    <b v="0"/>
    <s v="Stormy"/>
    <x v="1"/>
    <s v="Dry"/>
    <s v="26-35"/>
    <n v="2"/>
    <s v="Low"/>
    <s v="Learner"/>
    <b v="0"/>
    <n v="18"/>
    <s v="Haryana"/>
    <n v="10"/>
    <n v="3"/>
    <n v="1755"/>
    <x v="2"/>
    <s v="Not an Outliers"/>
  </r>
  <r>
    <d v="2024-09-28T00:00:00"/>
    <x v="14"/>
    <x v="2"/>
    <x v="3"/>
    <n v="2395"/>
    <b v="1"/>
    <s v="Rainy"/>
    <x v="0"/>
    <s v="Under Construction"/>
    <s v="50+"/>
    <n v="3"/>
    <s v="Medium"/>
    <s v="Learner"/>
    <b v="1"/>
    <n v="52"/>
    <s v="Delhi"/>
    <n v="5"/>
    <n v="3"/>
    <n v="2541"/>
    <x v="0"/>
    <s v="Not an Outliers"/>
  </r>
  <r>
    <d v="2024-10-01T00:00:00"/>
    <x v="5"/>
    <x v="3"/>
    <x v="5"/>
    <n v="4594"/>
    <b v="0"/>
    <s v="Cloudy"/>
    <x v="0"/>
    <s v="Dry"/>
    <s v="36-50"/>
    <n v="5"/>
    <s v="Medium"/>
    <s v="Expired"/>
    <b v="0"/>
    <n v="117"/>
    <s v="Punjab"/>
    <n v="1"/>
    <n v="2"/>
    <n v="4672"/>
    <x v="2"/>
    <s v="Not an Outliers"/>
  </r>
  <r>
    <d v="2024-10-01T00:00:00"/>
    <x v="1"/>
    <x v="3"/>
    <x v="2"/>
    <n v="2855"/>
    <b v="0"/>
    <s v="Clear"/>
    <x v="3"/>
    <s v="Slippery"/>
    <s v="26-35"/>
    <n v="5"/>
    <s v="Medium"/>
    <s v="Expired"/>
    <b v="1"/>
    <n v="76"/>
    <s v="Uttar Pradesh"/>
    <n v="6"/>
    <n v="1"/>
    <n v="1088"/>
    <x v="2"/>
    <s v="Not an Outliers"/>
  </r>
  <r>
    <d v="2024-10-01T00:00:00"/>
    <x v="10"/>
    <x v="1"/>
    <x v="5"/>
    <n v="2570"/>
    <b v="0"/>
    <s v="Stormy"/>
    <x v="2"/>
    <s v="Under Construction"/>
    <s v="26-35"/>
    <n v="2"/>
    <s v="Medium"/>
    <s v="Expired"/>
    <b v="0"/>
    <n v="114"/>
    <s v="Delhi"/>
    <n v="3"/>
    <n v="2"/>
    <n v="4169"/>
    <x v="1"/>
    <s v="Not an Outliers"/>
  </r>
  <r>
    <d v="2024-10-02T00:00:00"/>
    <x v="13"/>
    <x v="3"/>
    <x v="3"/>
    <n v="1536"/>
    <b v="1"/>
    <s v="Clear"/>
    <x v="0"/>
    <s v="Under Construction"/>
    <s v="50+"/>
    <n v="1"/>
    <s v="Medium"/>
    <s v="Valid"/>
    <b v="0"/>
    <n v="46"/>
    <s v="Rajasthan"/>
    <n v="2"/>
    <n v="2"/>
    <n v="3610"/>
    <x v="2"/>
    <s v="Not an Outliers"/>
  </r>
  <r>
    <d v="2024-10-03T00:00:00"/>
    <x v="6"/>
    <x v="1"/>
    <x v="2"/>
    <n v="1017"/>
    <b v="0"/>
    <s v="Clear"/>
    <x v="0"/>
    <s v="Slippery"/>
    <s v="26-35"/>
    <n v="1"/>
    <s v="High"/>
    <s v="Suspended"/>
    <b v="0"/>
    <n v="35"/>
    <s v="Uttar Pradesh"/>
    <n v="2"/>
    <n v="1"/>
    <n v="4876"/>
    <x v="0"/>
    <s v="Not an Outliers"/>
  </r>
  <r>
    <d v="2024-10-03T00:00:00"/>
    <x v="9"/>
    <x v="3"/>
    <x v="5"/>
    <n v="4358"/>
    <b v="0"/>
    <s v="Stormy"/>
    <x v="0"/>
    <s v="Slippery"/>
    <s v="36-50"/>
    <n v="3"/>
    <s v="Low"/>
    <s v="Expired"/>
    <b v="1"/>
    <n v="89"/>
    <s v="Delhi"/>
    <n v="2"/>
    <n v="2"/>
    <n v="1719"/>
    <x v="2"/>
    <s v="Not an Outliers"/>
  </r>
  <r>
    <d v="2024-10-03T00:00:00"/>
    <x v="4"/>
    <x v="1"/>
    <x v="1"/>
    <n v="1000"/>
    <b v="0"/>
    <s v="Cloudy"/>
    <x v="0"/>
    <s v="Wet"/>
    <s v="36-50"/>
    <n v="4"/>
    <s v="Low"/>
    <s v="Learner"/>
    <b v="0"/>
    <n v="82"/>
    <s v="Haryana"/>
    <n v="7"/>
    <n v="1"/>
    <n v="3918"/>
    <x v="0"/>
    <s v="Not an Outliers"/>
  </r>
  <r>
    <d v="2024-10-04T00:00:00"/>
    <x v="7"/>
    <x v="1"/>
    <x v="2"/>
    <n v="3141"/>
    <b v="1"/>
    <s v="Stormy"/>
    <x v="2"/>
    <s v="Under Construction"/>
    <s v="50+"/>
    <n v="3"/>
    <s v="Medium"/>
    <s v="Valid"/>
    <b v="0"/>
    <n v="20"/>
    <s v="Haryana"/>
    <n v="6"/>
    <n v="2"/>
    <n v="3072"/>
    <x v="2"/>
    <s v="Not an Outliers"/>
  </r>
  <r>
    <d v="2024-10-04T00:00:00"/>
    <x v="10"/>
    <x v="2"/>
    <x v="5"/>
    <n v="6780"/>
    <b v="0"/>
    <s v="Foggy"/>
    <x v="3"/>
    <s v="Dry"/>
    <s v="36-50"/>
    <n v="3"/>
    <s v="Medium"/>
    <s v="Learner"/>
    <b v="0"/>
    <n v="14"/>
    <s v="Haryana"/>
    <n v="1"/>
    <n v="2"/>
    <n v="3988"/>
    <x v="1"/>
    <s v="Not an Outliers"/>
  </r>
  <r>
    <d v="2024-10-04T00:00:00"/>
    <x v="1"/>
    <x v="3"/>
    <x v="2"/>
    <n v="2014"/>
    <b v="0"/>
    <s v="Clear"/>
    <x v="2"/>
    <s v="Slippery"/>
    <s v="50+"/>
    <n v="1"/>
    <s v="High"/>
    <s v="Learner"/>
    <b v="0"/>
    <n v="90"/>
    <s v="Uttar Pradesh"/>
    <n v="6"/>
    <n v="2"/>
    <n v="3989"/>
    <x v="0"/>
    <s v="Not an Outliers"/>
  </r>
  <r>
    <d v="2024-10-04T00:00:00"/>
    <x v="12"/>
    <x v="1"/>
    <x v="1"/>
    <n v="1000"/>
    <b v="0"/>
    <s v="Clear"/>
    <x v="3"/>
    <s v="Wet"/>
    <s v="26-35"/>
    <n v="2"/>
    <s v="Low"/>
    <s v="Valid"/>
    <b v="1"/>
    <n v="61"/>
    <s v="Rajasthan"/>
    <n v="5"/>
    <n v="1"/>
    <n v="1604"/>
    <x v="0"/>
    <s v="Not an Outliers"/>
  </r>
  <r>
    <d v="2024-10-05T00:00:00"/>
    <x v="11"/>
    <x v="3"/>
    <x v="2"/>
    <n v="2247"/>
    <b v="1"/>
    <s v="Foggy"/>
    <x v="3"/>
    <s v="Wet"/>
    <s v="50+"/>
    <n v="2"/>
    <s v="Low"/>
    <s v="Learner"/>
    <b v="0"/>
    <n v="55"/>
    <s v="Rajasthan"/>
    <n v="10"/>
    <n v="3"/>
    <n v="2422"/>
    <x v="2"/>
    <s v="Not an Outliers"/>
  </r>
  <r>
    <d v="2024-10-05T00:00:00"/>
    <x v="13"/>
    <x v="1"/>
    <x v="5"/>
    <n v="3922"/>
    <b v="0"/>
    <s v="Cloudy"/>
    <x v="0"/>
    <s v="Slippery"/>
    <s v="18-25"/>
    <n v="5"/>
    <s v="High"/>
    <s v="Learner"/>
    <b v="1"/>
    <n v="42"/>
    <s v="Delhi"/>
    <n v="2"/>
    <n v="1"/>
    <n v="3077"/>
    <x v="2"/>
    <s v="Not an Outliers"/>
  </r>
  <r>
    <d v="2024-10-05T00:00:00"/>
    <x v="11"/>
    <x v="3"/>
    <x v="5"/>
    <n v="4678"/>
    <b v="1"/>
    <s v="Rainy"/>
    <x v="0"/>
    <s v="Slippery"/>
    <s v="50+"/>
    <n v="2"/>
    <s v="Low"/>
    <s v="Expired"/>
    <b v="1"/>
    <n v="86"/>
    <s v="Delhi"/>
    <n v="4"/>
    <n v="1"/>
    <n v="1750"/>
    <x v="1"/>
    <s v="Not an Outliers"/>
  </r>
  <r>
    <d v="2024-10-06T00:00:00"/>
    <x v="0"/>
    <x v="3"/>
    <x v="1"/>
    <n v="1000"/>
    <b v="0"/>
    <s v="Rainy"/>
    <x v="3"/>
    <s v="Under Construction"/>
    <s v="50+"/>
    <n v="2"/>
    <s v="Medium"/>
    <s v="Learner"/>
    <b v="0"/>
    <n v="101"/>
    <s v="Punjab"/>
    <n v="6"/>
    <n v="3"/>
    <n v="559"/>
    <x v="0"/>
    <s v="Not an Outliers"/>
  </r>
  <r>
    <d v="2024-10-06T00:00:00"/>
    <x v="9"/>
    <x v="1"/>
    <x v="1"/>
    <n v="1000"/>
    <b v="1"/>
    <s v="Clear"/>
    <x v="3"/>
    <s v="Under Construction"/>
    <s v="36-50"/>
    <n v="2"/>
    <s v="Medium"/>
    <s v="Expired"/>
    <b v="0"/>
    <n v="2"/>
    <s v="Haryana"/>
    <n v="7"/>
    <n v="1"/>
    <n v="756"/>
    <x v="0"/>
    <s v="Not an Outliers"/>
  </r>
  <r>
    <d v="2024-10-06T00:00:00"/>
    <x v="5"/>
    <x v="1"/>
    <x v="1"/>
    <n v="1000"/>
    <b v="0"/>
    <s v="Clear"/>
    <x v="1"/>
    <s v="Dry"/>
    <s v="18-25"/>
    <n v="2"/>
    <s v="High"/>
    <s v="Expired"/>
    <b v="0"/>
    <n v="57"/>
    <s v="Rajasthan"/>
    <n v="2"/>
    <n v="2"/>
    <n v="2967"/>
    <x v="1"/>
    <s v="Not an Outliers"/>
  </r>
  <r>
    <d v="2024-10-06T00:00:00"/>
    <x v="2"/>
    <x v="0"/>
    <x v="3"/>
    <n v="2895"/>
    <b v="0"/>
    <s v="Foggy"/>
    <x v="3"/>
    <s v="Wet"/>
    <s v="36-50"/>
    <n v="2"/>
    <s v="High"/>
    <s v="Learner"/>
    <b v="1"/>
    <n v="60"/>
    <s v="Punjab"/>
    <n v="4"/>
    <n v="2"/>
    <n v="2829"/>
    <x v="1"/>
    <s v="Not an Outliers"/>
  </r>
  <r>
    <d v="2024-10-06T00:00:00"/>
    <x v="4"/>
    <x v="4"/>
    <x v="1"/>
    <n v="1000"/>
    <b v="0"/>
    <s v="Foggy"/>
    <x v="2"/>
    <s v="Under Construction"/>
    <s v="18-25"/>
    <n v="1"/>
    <s v="High"/>
    <s v="Valid"/>
    <b v="1"/>
    <n v="72"/>
    <s v="Punjab"/>
    <n v="3"/>
    <n v="3"/>
    <n v="4272"/>
    <x v="1"/>
    <s v="Not an Outliers"/>
  </r>
  <r>
    <d v="2024-10-07T00:00:00"/>
    <x v="6"/>
    <x v="0"/>
    <x v="4"/>
    <n v="8239"/>
    <b v="1"/>
    <s v="Rainy"/>
    <x v="2"/>
    <s v="Wet"/>
    <s v="36-50"/>
    <n v="3"/>
    <s v="High"/>
    <s v="Expired"/>
    <b v="1"/>
    <n v="118"/>
    <s v="Haryana"/>
    <n v="5"/>
    <n v="2"/>
    <n v="518"/>
    <x v="1"/>
    <s v="Not an Outliers"/>
  </r>
  <r>
    <d v="2024-10-08T00:00:00"/>
    <x v="2"/>
    <x v="1"/>
    <x v="1"/>
    <n v="1000"/>
    <b v="1"/>
    <s v="Foggy"/>
    <x v="1"/>
    <s v="Slippery"/>
    <s v="50+"/>
    <n v="1"/>
    <s v="Medium"/>
    <s v="Valid"/>
    <b v="1"/>
    <n v="5"/>
    <s v="Uttar Pradesh"/>
    <n v="6"/>
    <n v="1"/>
    <n v="3057"/>
    <x v="0"/>
    <s v="Not an Outliers"/>
  </r>
  <r>
    <d v="2024-10-08T00:00:00"/>
    <x v="7"/>
    <x v="3"/>
    <x v="5"/>
    <n v="4337"/>
    <b v="1"/>
    <s v="Rainy"/>
    <x v="2"/>
    <s v="Under Construction"/>
    <s v="18-25"/>
    <n v="3"/>
    <s v="High"/>
    <s v="Valid"/>
    <b v="0"/>
    <n v="111"/>
    <s v="Rajasthan"/>
    <n v="6"/>
    <n v="3"/>
    <n v="4851"/>
    <x v="0"/>
    <s v="Not an Outliers"/>
  </r>
  <r>
    <d v="2024-10-09T00:00:00"/>
    <x v="1"/>
    <x v="3"/>
    <x v="1"/>
    <n v="1000"/>
    <b v="0"/>
    <s v="Clear"/>
    <x v="3"/>
    <s v="Slippery"/>
    <s v="26-35"/>
    <n v="2"/>
    <s v="Medium"/>
    <s v="Valid"/>
    <b v="1"/>
    <n v="24"/>
    <s v="Delhi"/>
    <n v="6"/>
    <n v="1"/>
    <n v="4600"/>
    <x v="0"/>
    <s v="Not an Outliers"/>
  </r>
  <r>
    <d v="2024-10-09T00:00:00"/>
    <x v="4"/>
    <x v="4"/>
    <x v="2"/>
    <n v="3516"/>
    <b v="1"/>
    <s v="Clear"/>
    <x v="1"/>
    <s v="Under Construction"/>
    <s v="26-35"/>
    <n v="2"/>
    <s v="Medium"/>
    <s v="Suspended"/>
    <b v="1"/>
    <n v="10"/>
    <s v="Haryana"/>
    <n v="6"/>
    <n v="3"/>
    <n v="1623"/>
    <x v="1"/>
    <s v="Not an Outliers"/>
  </r>
  <r>
    <d v="2024-10-11T00:00:00"/>
    <x v="11"/>
    <x v="2"/>
    <x v="3"/>
    <n v="2260"/>
    <b v="0"/>
    <s v="Foggy"/>
    <x v="3"/>
    <s v="Wet"/>
    <s v="36-50"/>
    <n v="3"/>
    <s v="Medium"/>
    <s v="Valid"/>
    <b v="0"/>
    <n v="30"/>
    <s v="Haryana"/>
    <n v="3"/>
    <n v="2"/>
    <n v="2793"/>
    <x v="0"/>
    <s v="Not an Outliers"/>
  </r>
  <r>
    <d v="2024-10-11T00:00:00"/>
    <x v="3"/>
    <x v="4"/>
    <x v="3"/>
    <n v="1849"/>
    <b v="1"/>
    <s v="Foggy"/>
    <x v="1"/>
    <s v="Slippery"/>
    <s v="18-25"/>
    <n v="1"/>
    <s v="Low"/>
    <s v="Expired"/>
    <b v="1"/>
    <n v="32"/>
    <s v="Haryana"/>
    <n v="9"/>
    <n v="2"/>
    <n v="1231"/>
    <x v="2"/>
    <s v="Not an Outliers"/>
  </r>
  <r>
    <d v="2024-10-11T00:00:00"/>
    <x v="11"/>
    <x v="0"/>
    <x v="5"/>
    <n v="2752"/>
    <b v="0"/>
    <s v="Stormy"/>
    <x v="3"/>
    <s v="Slippery"/>
    <s v="18-25"/>
    <n v="2"/>
    <s v="Low"/>
    <s v="Suspended"/>
    <b v="1"/>
    <n v="9"/>
    <s v="Rajasthan"/>
    <n v="7"/>
    <n v="3"/>
    <n v="3604"/>
    <x v="1"/>
    <s v="Not an Outliers"/>
  </r>
  <r>
    <d v="2024-10-11T00:00:00"/>
    <x v="6"/>
    <x v="2"/>
    <x v="5"/>
    <n v="7304"/>
    <b v="1"/>
    <s v="Clear"/>
    <x v="1"/>
    <s v="Dry"/>
    <s v="18-25"/>
    <n v="2"/>
    <s v="High"/>
    <s v="Expired"/>
    <b v="0"/>
    <n v="60"/>
    <s v="Uttar Pradesh"/>
    <n v="7"/>
    <n v="3"/>
    <n v="2651"/>
    <x v="0"/>
    <s v="Not an Outliers"/>
  </r>
  <r>
    <d v="2024-10-12T00:00:00"/>
    <x v="4"/>
    <x v="2"/>
    <x v="1"/>
    <n v="1000"/>
    <b v="0"/>
    <s v="Rainy"/>
    <x v="0"/>
    <s v="Wet"/>
    <s v="36-50"/>
    <n v="5"/>
    <s v="Low"/>
    <s v="Valid"/>
    <b v="0"/>
    <n v="117"/>
    <s v="Haryana"/>
    <n v="9"/>
    <n v="2"/>
    <n v="2924"/>
    <x v="2"/>
    <s v="Not an Outliers"/>
  </r>
  <r>
    <d v="2024-10-12T00:00:00"/>
    <x v="1"/>
    <x v="2"/>
    <x v="5"/>
    <n v="7488"/>
    <b v="0"/>
    <s v="Stormy"/>
    <x v="0"/>
    <s v="Slippery"/>
    <s v="50+"/>
    <n v="4"/>
    <s v="Low"/>
    <s v="Expired"/>
    <b v="1"/>
    <n v="56"/>
    <s v="Punjab"/>
    <n v="2"/>
    <n v="3"/>
    <n v="3838"/>
    <x v="0"/>
    <s v="Not an Outliers"/>
  </r>
  <r>
    <d v="2024-10-12T00:00:00"/>
    <x v="12"/>
    <x v="3"/>
    <x v="4"/>
    <n v="7704"/>
    <b v="0"/>
    <s v="Foggy"/>
    <x v="1"/>
    <s v="Under Construction"/>
    <s v="50+"/>
    <n v="4"/>
    <s v="High"/>
    <s v="Learner"/>
    <b v="0"/>
    <n v="86"/>
    <s v="Uttar Pradesh"/>
    <n v="1"/>
    <n v="2"/>
    <n v="4082"/>
    <x v="1"/>
    <s v="Not an Outliers"/>
  </r>
  <r>
    <d v="2024-10-13T00:00:00"/>
    <x v="14"/>
    <x v="1"/>
    <x v="1"/>
    <n v="1000"/>
    <b v="0"/>
    <s v="Foggy"/>
    <x v="0"/>
    <s v="Under Construction"/>
    <s v="36-50"/>
    <n v="0"/>
    <s v="Low"/>
    <s v="Suspended"/>
    <b v="0"/>
    <n v="43"/>
    <s v="Haryana"/>
    <n v="2"/>
    <n v="1"/>
    <n v="3371"/>
    <x v="1"/>
    <s v="Not an Outliers"/>
  </r>
  <r>
    <d v="2024-10-13T00:00:00"/>
    <x v="9"/>
    <x v="4"/>
    <x v="1"/>
    <n v="1000"/>
    <b v="1"/>
    <s v="Rainy"/>
    <x v="1"/>
    <s v="Dry"/>
    <s v="50+"/>
    <n v="0"/>
    <s v="Low"/>
    <s v="Valid"/>
    <b v="0"/>
    <n v="0"/>
    <s v="Rajasthan"/>
    <n v="3"/>
    <n v="2"/>
    <n v="3554"/>
    <x v="0"/>
    <s v="Not an Outliers"/>
  </r>
  <r>
    <d v="2024-10-13T00:00:00"/>
    <x v="11"/>
    <x v="0"/>
    <x v="3"/>
    <n v="3982"/>
    <b v="0"/>
    <s v="Foggy"/>
    <x v="1"/>
    <s v="Slippery"/>
    <s v="50+"/>
    <n v="0"/>
    <s v="Low"/>
    <s v="Learner"/>
    <b v="1"/>
    <n v="37"/>
    <s v="Haryana"/>
    <n v="5"/>
    <n v="1"/>
    <n v="3224"/>
    <x v="2"/>
    <s v="Not an Outliers"/>
  </r>
  <r>
    <d v="2024-10-13T00:00:00"/>
    <x v="7"/>
    <x v="2"/>
    <x v="4"/>
    <n v="8150"/>
    <b v="0"/>
    <s v="Stormy"/>
    <x v="1"/>
    <s v="Wet"/>
    <s v="36-50"/>
    <n v="0"/>
    <s v="Medium"/>
    <s v="Suspended"/>
    <b v="1"/>
    <n v="29"/>
    <s v="Delhi"/>
    <n v="5"/>
    <n v="1"/>
    <n v="3596"/>
    <x v="1"/>
    <s v="Not an Outliers"/>
  </r>
  <r>
    <d v="2024-10-13T00:00:00"/>
    <x v="0"/>
    <x v="4"/>
    <x v="2"/>
    <n v="1417"/>
    <b v="0"/>
    <s v="Foggy"/>
    <x v="1"/>
    <s v="Dry"/>
    <s v="36-50"/>
    <n v="2"/>
    <s v="High"/>
    <s v="Learner"/>
    <b v="0"/>
    <n v="14"/>
    <s v="Rajasthan"/>
    <n v="4"/>
    <n v="2"/>
    <n v="1817"/>
    <x v="0"/>
    <s v="Not an Outliers"/>
  </r>
  <r>
    <d v="2024-10-14T00:00:00"/>
    <x v="4"/>
    <x v="0"/>
    <x v="4"/>
    <n v="7993"/>
    <b v="0"/>
    <s v="Cloudy"/>
    <x v="1"/>
    <s v="Under Construction"/>
    <s v="36-50"/>
    <n v="0"/>
    <s v="High"/>
    <s v="Learner"/>
    <b v="0"/>
    <n v="88"/>
    <s v="Rajasthan"/>
    <n v="3"/>
    <n v="1"/>
    <n v="2626"/>
    <x v="0"/>
    <s v="Not an Outliers"/>
  </r>
  <r>
    <d v="2024-10-15T00:00:00"/>
    <x v="8"/>
    <x v="0"/>
    <x v="3"/>
    <n v="3342"/>
    <b v="1"/>
    <s v="Rainy"/>
    <x v="3"/>
    <s v="Wet"/>
    <s v="26-35"/>
    <n v="3"/>
    <s v="High"/>
    <s v="Valid"/>
    <b v="0"/>
    <n v="95"/>
    <s v="Rajasthan"/>
    <n v="7"/>
    <n v="2"/>
    <n v="4857"/>
    <x v="1"/>
    <s v="Not an Outliers"/>
  </r>
  <r>
    <d v="2024-10-15T00:00:00"/>
    <x v="12"/>
    <x v="1"/>
    <x v="2"/>
    <n v="2283"/>
    <b v="0"/>
    <s v="Rainy"/>
    <x v="2"/>
    <s v="Wet"/>
    <s v="50+"/>
    <n v="1"/>
    <s v="Low"/>
    <s v="Suspended"/>
    <b v="0"/>
    <n v="79"/>
    <s v="Haryana"/>
    <n v="3"/>
    <n v="2"/>
    <n v="3849"/>
    <x v="2"/>
    <s v="Not an Outliers"/>
  </r>
  <r>
    <d v="2024-10-15T00:00:00"/>
    <x v="12"/>
    <x v="1"/>
    <x v="3"/>
    <n v="1929"/>
    <b v="0"/>
    <s v="Stormy"/>
    <x v="2"/>
    <s v="Slippery"/>
    <s v="36-50"/>
    <n v="1"/>
    <s v="Medium"/>
    <s v="Expired"/>
    <b v="0"/>
    <n v="8"/>
    <s v="Haryana"/>
    <n v="1"/>
    <n v="1"/>
    <n v="4354"/>
    <x v="2"/>
    <s v="Not an Outliers"/>
  </r>
  <r>
    <d v="2024-10-15T00:00:00"/>
    <x v="3"/>
    <x v="2"/>
    <x v="5"/>
    <n v="4136"/>
    <b v="0"/>
    <s v="Clear"/>
    <x v="1"/>
    <s v="Slippery"/>
    <s v="18-25"/>
    <n v="0"/>
    <s v="High"/>
    <s v="Suspended"/>
    <b v="0"/>
    <n v="68"/>
    <s v="Delhi"/>
    <n v="8"/>
    <n v="3"/>
    <n v="3531"/>
    <x v="2"/>
    <s v="Not an Outliers"/>
  </r>
  <r>
    <d v="2024-10-16T00:00:00"/>
    <x v="7"/>
    <x v="4"/>
    <x v="1"/>
    <n v="1000"/>
    <b v="0"/>
    <s v="Foggy"/>
    <x v="2"/>
    <s v="Wet"/>
    <s v="18-25"/>
    <n v="2"/>
    <s v="Low"/>
    <s v="Learner"/>
    <b v="1"/>
    <n v="70"/>
    <s v="Rajasthan"/>
    <n v="9"/>
    <n v="2"/>
    <n v="4947"/>
    <x v="2"/>
    <s v="Not an Outliers"/>
  </r>
  <r>
    <d v="2024-10-16T00:00:00"/>
    <x v="12"/>
    <x v="3"/>
    <x v="3"/>
    <n v="2950"/>
    <b v="0"/>
    <s v="Foggy"/>
    <x v="0"/>
    <s v="Dry"/>
    <s v="26-35"/>
    <n v="2"/>
    <s v="Medium"/>
    <s v="Suspended"/>
    <b v="0"/>
    <n v="77"/>
    <s v="Punjab"/>
    <n v="9"/>
    <n v="3"/>
    <n v="1835"/>
    <x v="1"/>
    <s v="Not an Outliers"/>
  </r>
  <r>
    <d v="2024-10-16T00:00:00"/>
    <x v="3"/>
    <x v="4"/>
    <x v="1"/>
    <n v="1000"/>
    <b v="0"/>
    <s v="Stormy"/>
    <x v="0"/>
    <s v="Dry"/>
    <s v="18-25"/>
    <n v="0"/>
    <s v="Medium"/>
    <s v="Learner"/>
    <b v="1"/>
    <n v="19"/>
    <s v="Delhi"/>
    <n v="10"/>
    <n v="1"/>
    <n v="4795"/>
    <x v="1"/>
    <s v="Not an Outliers"/>
  </r>
  <r>
    <d v="2024-10-16T00:00:00"/>
    <x v="14"/>
    <x v="2"/>
    <x v="5"/>
    <n v="2039"/>
    <b v="0"/>
    <s v="Rainy"/>
    <x v="0"/>
    <s v="Under Construction"/>
    <s v="26-35"/>
    <n v="25"/>
    <s v="Medium"/>
    <s v="Suspended"/>
    <b v="0"/>
    <n v="36"/>
    <s v="Haryana"/>
    <n v="7"/>
    <n v="2"/>
    <n v="1636"/>
    <x v="1"/>
    <s v="Not an Outliers"/>
  </r>
  <r>
    <d v="2024-10-16T00:00:00"/>
    <x v="6"/>
    <x v="0"/>
    <x v="4"/>
    <n v="5980"/>
    <b v="0"/>
    <s v="Cloudy"/>
    <x v="2"/>
    <s v="Under Construction"/>
    <s v="36-50"/>
    <n v="1"/>
    <s v="Low"/>
    <s v="Expired"/>
    <b v="0"/>
    <n v="95"/>
    <s v="Delhi"/>
    <n v="9"/>
    <n v="3"/>
    <n v="2472"/>
    <x v="1"/>
    <s v="Not an Outliers"/>
  </r>
  <r>
    <d v="2024-10-17T00:00:00"/>
    <x v="5"/>
    <x v="0"/>
    <x v="4"/>
    <n v="6392"/>
    <b v="0"/>
    <s v="Foggy"/>
    <x v="2"/>
    <s v="Slippery"/>
    <s v="36-50"/>
    <n v="2"/>
    <s v="Medium"/>
    <s v="Expired"/>
    <b v="0"/>
    <n v="58"/>
    <s v="Punjab"/>
    <n v="6"/>
    <n v="2"/>
    <n v="4968"/>
    <x v="2"/>
    <s v="Not an Outliers"/>
  </r>
  <r>
    <d v="2024-10-18T00:00:00"/>
    <x v="7"/>
    <x v="0"/>
    <x v="2"/>
    <n v="1193"/>
    <b v="0"/>
    <s v="Cloudy"/>
    <x v="3"/>
    <s v="Dry"/>
    <s v="26-35"/>
    <n v="0"/>
    <s v="Low"/>
    <s v="Suspended"/>
    <b v="0"/>
    <n v="43"/>
    <s v="Delhi"/>
    <n v="5"/>
    <n v="1"/>
    <n v="2063"/>
    <x v="0"/>
    <s v="Not an Outliers"/>
  </r>
  <r>
    <d v="2024-10-18T00:00:00"/>
    <x v="1"/>
    <x v="2"/>
    <x v="5"/>
    <n v="7471"/>
    <b v="0"/>
    <s v="Rainy"/>
    <x v="1"/>
    <s v="Slippery"/>
    <s v="18-25"/>
    <n v="24"/>
    <s v="Low"/>
    <s v="Expired"/>
    <b v="1"/>
    <n v="70"/>
    <s v="Delhi"/>
    <n v="9"/>
    <n v="1"/>
    <n v="1329"/>
    <x v="1"/>
    <s v="Not an Outliers"/>
  </r>
  <r>
    <d v="2024-10-18T00:00:00"/>
    <x v="11"/>
    <x v="3"/>
    <x v="4"/>
    <n v="5054"/>
    <b v="1"/>
    <s v="Cloudy"/>
    <x v="2"/>
    <s v="Dry"/>
    <s v="36-50"/>
    <n v="3"/>
    <s v="High"/>
    <s v="Expired"/>
    <b v="1"/>
    <n v="26"/>
    <s v="Haryana"/>
    <n v="2"/>
    <n v="1"/>
    <n v="4817"/>
    <x v="1"/>
    <s v="Not an Outliers"/>
  </r>
  <r>
    <d v="2024-10-18T00:00:00"/>
    <x v="2"/>
    <x v="4"/>
    <x v="2"/>
    <n v="4309"/>
    <b v="0"/>
    <s v="Rainy"/>
    <x v="2"/>
    <s v="Under Construction"/>
    <s v="36-50"/>
    <n v="2"/>
    <s v="Low"/>
    <s v="Valid"/>
    <b v="1"/>
    <n v="14"/>
    <s v="Haryana"/>
    <n v="1"/>
    <n v="1"/>
    <n v="4586"/>
    <x v="1"/>
    <s v="Not an Outliers"/>
  </r>
  <r>
    <d v="2024-10-18T00:00:00"/>
    <x v="7"/>
    <x v="1"/>
    <x v="2"/>
    <n v="1192"/>
    <b v="0"/>
    <s v="Rainy"/>
    <x v="2"/>
    <s v="Slippery"/>
    <s v="26-35"/>
    <n v="1"/>
    <s v="Medium"/>
    <s v="Expired"/>
    <b v="1"/>
    <n v="72"/>
    <s v="Rajasthan"/>
    <n v="2"/>
    <n v="2"/>
    <n v="2897"/>
    <x v="0"/>
    <s v="Not an Outliers"/>
  </r>
  <r>
    <d v="2024-10-19T00:00:00"/>
    <x v="12"/>
    <x v="1"/>
    <x v="4"/>
    <n v="5558"/>
    <b v="1"/>
    <s v="Foggy"/>
    <x v="2"/>
    <s v="Dry"/>
    <s v="50+"/>
    <n v="3"/>
    <s v="Low"/>
    <s v="Learner"/>
    <b v="1"/>
    <n v="97"/>
    <s v="Punjab"/>
    <n v="1"/>
    <n v="3"/>
    <n v="2770"/>
    <x v="2"/>
    <s v="Not an Outliers"/>
  </r>
  <r>
    <d v="2024-10-20T00:00:00"/>
    <x v="10"/>
    <x v="4"/>
    <x v="5"/>
    <n v="2284"/>
    <b v="0"/>
    <s v="Rainy"/>
    <x v="1"/>
    <s v="Wet"/>
    <s v="26-35"/>
    <n v="5"/>
    <s v="Medium"/>
    <s v="Valid"/>
    <b v="1"/>
    <n v="110"/>
    <s v="Rajasthan"/>
    <n v="2"/>
    <n v="1"/>
    <n v="2145"/>
    <x v="1"/>
    <s v="Not an Outliers"/>
  </r>
  <r>
    <d v="2024-10-21T00:00:00"/>
    <x v="7"/>
    <x v="0"/>
    <x v="3"/>
    <n v="4854"/>
    <b v="0"/>
    <s v="Clear"/>
    <x v="0"/>
    <s v="Slippery"/>
    <s v="18-25"/>
    <n v="3"/>
    <s v="Low"/>
    <s v="Expired"/>
    <b v="0"/>
    <n v="62"/>
    <s v="Haryana"/>
    <n v="4"/>
    <n v="2"/>
    <n v="1219"/>
    <x v="1"/>
    <s v="Not an Outliers"/>
  </r>
  <r>
    <d v="2024-10-21T00:00:00"/>
    <x v="5"/>
    <x v="3"/>
    <x v="3"/>
    <n v="3504"/>
    <b v="0"/>
    <s v="Stormy"/>
    <x v="2"/>
    <s v="Slippery"/>
    <s v="36-50"/>
    <n v="5"/>
    <s v="High"/>
    <s v="Learner"/>
    <b v="0"/>
    <n v="28"/>
    <s v="Punjab"/>
    <n v="5"/>
    <n v="2"/>
    <n v="2470"/>
    <x v="1"/>
    <s v="Not an Outliers"/>
  </r>
  <r>
    <d v="2024-10-21T00:00:00"/>
    <x v="8"/>
    <x v="3"/>
    <x v="4"/>
    <n v="5357"/>
    <b v="0"/>
    <s v="Clear"/>
    <x v="2"/>
    <s v="Wet"/>
    <s v="26-35"/>
    <n v="3"/>
    <s v="High"/>
    <s v="Valid"/>
    <b v="0"/>
    <n v="56"/>
    <s v="Haryana"/>
    <n v="2"/>
    <n v="2"/>
    <n v="889"/>
    <x v="1"/>
    <s v="Not an Outliers"/>
  </r>
  <r>
    <d v="2024-10-22T00:00:00"/>
    <x v="12"/>
    <x v="4"/>
    <x v="5"/>
    <n v="4865"/>
    <b v="1"/>
    <s v="Cloudy"/>
    <x v="0"/>
    <s v="Dry"/>
    <s v="36-50"/>
    <n v="2"/>
    <s v="Medium"/>
    <s v="Suspended"/>
    <b v="1"/>
    <n v="80"/>
    <s v="Rajasthan"/>
    <n v="7"/>
    <n v="2"/>
    <n v="3601"/>
    <x v="2"/>
    <s v="Not an Outliers"/>
  </r>
  <r>
    <d v="2024-10-22T00:00:00"/>
    <x v="11"/>
    <x v="2"/>
    <x v="2"/>
    <n v="2402"/>
    <b v="1"/>
    <s v="Rainy"/>
    <x v="0"/>
    <s v="Slippery"/>
    <s v="50+"/>
    <n v="2"/>
    <s v="Medium"/>
    <s v="Valid"/>
    <b v="1"/>
    <n v="71"/>
    <s v="Uttar Pradesh"/>
    <n v="5"/>
    <n v="2"/>
    <n v="2027"/>
    <x v="0"/>
    <s v="Not an Outliers"/>
  </r>
  <r>
    <d v="2024-10-22T00:00:00"/>
    <x v="4"/>
    <x v="2"/>
    <x v="3"/>
    <n v="2720"/>
    <b v="0"/>
    <s v="Cloudy"/>
    <x v="0"/>
    <s v="Wet"/>
    <s v="26-35"/>
    <n v="5"/>
    <s v="High"/>
    <s v="Suspended"/>
    <b v="1"/>
    <n v="40"/>
    <s v="Haryana"/>
    <n v="5"/>
    <n v="2"/>
    <n v="2340"/>
    <x v="2"/>
    <s v="Not an Outliers"/>
  </r>
  <r>
    <d v="2024-10-22T00:00:00"/>
    <x v="5"/>
    <x v="4"/>
    <x v="1"/>
    <n v="1000"/>
    <b v="1"/>
    <s v="Stormy"/>
    <x v="3"/>
    <s v="Under Construction"/>
    <s v="18-25"/>
    <n v="4"/>
    <s v="Medium"/>
    <s v="Valid"/>
    <b v="1"/>
    <n v="44"/>
    <s v="Delhi"/>
    <n v="5"/>
    <n v="2"/>
    <n v="702"/>
    <x v="2"/>
    <s v="Not an Outliers"/>
  </r>
  <r>
    <d v="2024-10-24T00:00:00"/>
    <x v="11"/>
    <x v="0"/>
    <x v="3"/>
    <n v="2479"/>
    <b v="0"/>
    <s v="Rainy"/>
    <x v="3"/>
    <s v="Slippery"/>
    <s v="26-35"/>
    <n v="2"/>
    <s v="High"/>
    <s v="Expired"/>
    <b v="1"/>
    <n v="9"/>
    <s v="Punjab"/>
    <n v="7"/>
    <n v="3"/>
    <n v="3011"/>
    <x v="2"/>
    <s v="Not an Outliers"/>
  </r>
  <r>
    <d v="2024-10-24T00:00:00"/>
    <x v="7"/>
    <x v="3"/>
    <x v="5"/>
    <n v="5605"/>
    <b v="1"/>
    <s v="Cloudy"/>
    <x v="0"/>
    <s v="Dry"/>
    <s v="18-25"/>
    <n v="2"/>
    <s v="Low"/>
    <s v="Learner"/>
    <b v="0"/>
    <n v="80"/>
    <s v="Delhi"/>
    <n v="2"/>
    <n v="3"/>
    <n v="4150"/>
    <x v="1"/>
    <s v="Not an Outliers"/>
  </r>
  <r>
    <d v="2024-10-25T00:00:00"/>
    <x v="9"/>
    <x v="3"/>
    <x v="5"/>
    <n v="5904"/>
    <b v="1"/>
    <s v="Rainy"/>
    <x v="3"/>
    <s v="Wet"/>
    <s v="26-35"/>
    <n v="1"/>
    <s v="High"/>
    <s v="Expired"/>
    <b v="0"/>
    <n v="17"/>
    <s v="Punjab"/>
    <n v="7"/>
    <n v="1"/>
    <n v="1259"/>
    <x v="1"/>
    <s v="Not an Outliers"/>
  </r>
  <r>
    <d v="2024-10-26T00:00:00"/>
    <x v="1"/>
    <x v="0"/>
    <x v="0"/>
    <n v="1000"/>
    <b v="1"/>
    <s v="Rainy"/>
    <x v="2"/>
    <s v="Under Construction"/>
    <s v="50+"/>
    <n v="2"/>
    <s v="Medium"/>
    <s v="Suspended"/>
    <b v="0"/>
    <n v="21"/>
    <s v="Haryana"/>
    <n v="5"/>
    <n v="2"/>
    <n v="1806"/>
    <x v="0"/>
    <s v="Not an Outliers"/>
  </r>
  <r>
    <d v="2024-10-27T00:00:00"/>
    <x v="12"/>
    <x v="0"/>
    <x v="0"/>
    <n v="1000"/>
    <b v="1"/>
    <s v="Clear"/>
    <x v="3"/>
    <s v="Dry"/>
    <s v="18-25"/>
    <n v="2"/>
    <s v="High"/>
    <s v="Expired"/>
    <b v="1"/>
    <n v="43"/>
    <s v="Haryana"/>
    <n v="10"/>
    <n v="2"/>
    <n v="1396"/>
    <x v="0"/>
    <s v="Not an Outliers"/>
  </r>
  <r>
    <d v="2024-10-27T00:00:00"/>
    <x v="8"/>
    <x v="0"/>
    <x v="0"/>
    <n v="1000"/>
    <b v="1"/>
    <s v="Foggy"/>
    <x v="0"/>
    <s v="Dry"/>
    <s v="26-35"/>
    <n v="1"/>
    <s v="Low"/>
    <s v="Suspended"/>
    <b v="0"/>
    <n v="62"/>
    <s v="Delhi"/>
    <n v="5"/>
    <n v="3"/>
    <n v="4693"/>
    <x v="0"/>
    <s v="Not an Outliers"/>
  </r>
  <r>
    <d v="2024-10-27T00:00:00"/>
    <x v="13"/>
    <x v="1"/>
    <x v="3"/>
    <n v="3699"/>
    <b v="0"/>
    <s v="Foggy"/>
    <x v="1"/>
    <s v="Under Construction"/>
    <s v="26-35"/>
    <n v="3"/>
    <s v="Low"/>
    <s v="Valid"/>
    <b v="1"/>
    <n v="93"/>
    <s v="Uttar Pradesh"/>
    <n v="4"/>
    <n v="1"/>
    <n v="3301"/>
    <x v="2"/>
    <s v="Not an Outliers"/>
  </r>
  <r>
    <d v="2024-10-27T00:00:00"/>
    <x v="2"/>
    <x v="3"/>
    <x v="5"/>
    <n v="3705"/>
    <b v="1"/>
    <s v="Stormy"/>
    <x v="3"/>
    <s v="Under Construction"/>
    <s v="50+"/>
    <n v="1"/>
    <s v="Low"/>
    <s v="Learner"/>
    <b v="0"/>
    <n v="112"/>
    <s v="Punjab"/>
    <n v="4"/>
    <n v="2"/>
    <n v="4181"/>
    <x v="1"/>
    <s v="Not an Outliers"/>
  </r>
  <r>
    <d v="2024-10-28T00:00:00"/>
    <x v="13"/>
    <x v="0"/>
    <x v="4"/>
    <n v="8997"/>
    <b v="1"/>
    <s v="Rainy"/>
    <x v="1"/>
    <s v="Slippery"/>
    <s v="50+"/>
    <n v="1"/>
    <s v="Low"/>
    <s v="Learner"/>
    <b v="1"/>
    <n v="23"/>
    <s v="Delhi"/>
    <n v="5"/>
    <n v="3"/>
    <n v="897"/>
    <x v="0"/>
    <s v="Not an Outliers"/>
  </r>
  <r>
    <d v="2024-10-28T00:00:00"/>
    <x v="8"/>
    <x v="3"/>
    <x v="1"/>
    <n v="1000"/>
    <b v="1"/>
    <s v="Foggy"/>
    <x v="2"/>
    <s v="Slippery"/>
    <s v="18-25"/>
    <n v="0"/>
    <s v="High"/>
    <s v="Valid"/>
    <b v="1"/>
    <n v="113"/>
    <s v="Haryana"/>
    <n v="4"/>
    <n v="2"/>
    <n v="4324"/>
    <x v="0"/>
    <s v="Not an Outliers"/>
  </r>
  <r>
    <d v="2024-11-01T00:00:00"/>
    <x v="2"/>
    <x v="4"/>
    <x v="5"/>
    <n v="7633"/>
    <b v="0"/>
    <s v="Rainy"/>
    <x v="0"/>
    <s v="Dry"/>
    <s v="18-25"/>
    <n v="0"/>
    <s v="Medium"/>
    <s v="Expired"/>
    <b v="1"/>
    <n v="100"/>
    <s v="Rajasthan"/>
    <n v="3"/>
    <n v="2"/>
    <n v="3036"/>
    <x v="2"/>
    <s v="Not an Outliers"/>
  </r>
  <r>
    <d v="2024-11-01T00:00:00"/>
    <x v="13"/>
    <x v="2"/>
    <x v="5"/>
    <n v="7579"/>
    <b v="0"/>
    <s v="Stormy"/>
    <x v="1"/>
    <s v="Slippery"/>
    <s v="36-50"/>
    <n v="5"/>
    <s v="Low"/>
    <s v="Suspended"/>
    <b v="0"/>
    <n v="33"/>
    <s v="Haryana"/>
    <n v="1"/>
    <n v="1"/>
    <n v="724"/>
    <x v="1"/>
    <s v="Not an Outliers"/>
  </r>
  <r>
    <d v="2024-11-01T00:00:00"/>
    <x v="7"/>
    <x v="0"/>
    <x v="0"/>
    <n v="1000"/>
    <b v="0"/>
    <s v="Rainy"/>
    <x v="2"/>
    <s v="Dry"/>
    <s v="50+"/>
    <n v="2"/>
    <s v="Low"/>
    <s v="Learner"/>
    <b v="0"/>
    <n v="79"/>
    <s v="Punjab"/>
    <n v="10"/>
    <n v="3"/>
    <n v="1992"/>
    <x v="1"/>
    <s v="Not an Outliers"/>
  </r>
  <r>
    <d v="2024-11-01T00:00:00"/>
    <x v="7"/>
    <x v="2"/>
    <x v="1"/>
    <n v="1000"/>
    <b v="0"/>
    <s v="Cloudy"/>
    <x v="0"/>
    <s v="Slippery"/>
    <s v="36-50"/>
    <n v="1"/>
    <s v="High"/>
    <s v="Valid"/>
    <b v="0"/>
    <n v="32"/>
    <s v="Uttar Pradesh"/>
    <n v="1"/>
    <n v="2"/>
    <n v="964"/>
    <x v="2"/>
    <s v="Not an Outliers"/>
  </r>
  <r>
    <d v="2024-11-01T00:00:00"/>
    <x v="14"/>
    <x v="2"/>
    <x v="5"/>
    <n v="2319"/>
    <b v="0"/>
    <s v="Stormy"/>
    <x v="0"/>
    <s v="Under Construction"/>
    <s v="18-25"/>
    <n v="4"/>
    <s v="Low"/>
    <s v="Learner"/>
    <b v="1"/>
    <n v="108"/>
    <s v="Uttar Pradesh"/>
    <n v="2"/>
    <n v="1"/>
    <n v="3970"/>
    <x v="0"/>
    <s v="Not an Outliers"/>
  </r>
  <r>
    <d v="2024-11-01T00:00:00"/>
    <x v="1"/>
    <x v="1"/>
    <x v="1"/>
    <n v="1000"/>
    <b v="1"/>
    <s v="Cloudy"/>
    <x v="3"/>
    <s v="Dry"/>
    <s v="26-35"/>
    <n v="2"/>
    <s v="Medium"/>
    <s v="Learner"/>
    <b v="0"/>
    <n v="112"/>
    <s v="Punjab"/>
    <n v="9"/>
    <n v="1"/>
    <n v="1107"/>
    <x v="1"/>
    <s v="Not an Outliers"/>
  </r>
  <r>
    <d v="2024-11-02T00:00:00"/>
    <x v="14"/>
    <x v="2"/>
    <x v="3"/>
    <n v="4396"/>
    <b v="0"/>
    <s v="Cloudy"/>
    <x v="2"/>
    <s v="Wet"/>
    <s v="26-35"/>
    <n v="5"/>
    <s v="Medium"/>
    <s v="Learner"/>
    <b v="1"/>
    <n v="103"/>
    <s v="Rajasthan"/>
    <n v="9"/>
    <n v="2"/>
    <n v="1597"/>
    <x v="2"/>
    <s v="Not an Outliers"/>
  </r>
  <r>
    <d v="2024-11-02T00:00:00"/>
    <x v="5"/>
    <x v="4"/>
    <x v="2"/>
    <n v="4863"/>
    <b v="0"/>
    <s v="Stormy"/>
    <x v="3"/>
    <s v="Slippery"/>
    <s v="26-35"/>
    <n v="4"/>
    <s v="Low"/>
    <s v="Learner"/>
    <b v="0"/>
    <n v="99"/>
    <s v="Haryana"/>
    <n v="10"/>
    <n v="1"/>
    <n v="2512"/>
    <x v="2"/>
    <s v="Not an Outliers"/>
  </r>
  <r>
    <d v="2024-11-02T00:00:00"/>
    <x v="13"/>
    <x v="0"/>
    <x v="3"/>
    <n v="7885"/>
    <b v="0"/>
    <s v="Foggy"/>
    <x v="3"/>
    <s v="Under Construction"/>
    <s v="18-25"/>
    <n v="3"/>
    <s v="Low"/>
    <s v="Learner"/>
    <b v="1"/>
    <n v="9"/>
    <s v="Uttar Pradesh"/>
    <n v="3"/>
    <n v="1"/>
    <n v="3815"/>
    <x v="2"/>
    <s v="Not an Outliers"/>
  </r>
  <r>
    <d v="2024-11-02T00:00:00"/>
    <x v="14"/>
    <x v="3"/>
    <x v="4"/>
    <n v="9440"/>
    <b v="0"/>
    <s v="Rainy"/>
    <x v="3"/>
    <s v="Wet"/>
    <s v="50+"/>
    <n v="5"/>
    <s v="Medium"/>
    <s v="Suspended"/>
    <b v="1"/>
    <n v="8"/>
    <s v="Uttar Pradesh"/>
    <n v="2"/>
    <n v="3"/>
    <n v="2227"/>
    <x v="1"/>
    <s v="Not an Outliers"/>
  </r>
  <r>
    <d v="2024-11-02T00:00:00"/>
    <x v="1"/>
    <x v="2"/>
    <x v="1"/>
    <n v="1000"/>
    <b v="0"/>
    <s v="Clear"/>
    <x v="3"/>
    <s v="Slippery"/>
    <s v="36-50"/>
    <n v="5"/>
    <s v="Low"/>
    <s v="Suspended"/>
    <b v="0"/>
    <n v="88"/>
    <s v="Uttar Pradesh"/>
    <n v="5"/>
    <n v="2"/>
    <n v="3002"/>
    <x v="2"/>
    <s v="Not an Outliers"/>
  </r>
  <r>
    <d v="2024-11-02T00:00:00"/>
    <x v="3"/>
    <x v="3"/>
    <x v="5"/>
    <n v="7081"/>
    <b v="0"/>
    <s v="Foggy"/>
    <x v="0"/>
    <s v="Under Construction"/>
    <s v="36-50"/>
    <n v="5"/>
    <s v="Low"/>
    <s v="Suspended"/>
    <b v="0"/>
    <n v="88"/>
    <s v="Haryana"/>
    <n v="4"/>
    <n v="2"/>
    <n v="4374"/>
    <x v="2"/>
    <s v="Not an Outliers"/>
  </r>
  <r>
    <d v="2024-11-03T00:00:00"/>
    <x v="2"/>
    <x v="2"/>
    <x v="2"/>
    <n v="4235"/>
    <b v="1"/>
    <s v="Stormy"/>
    <x v="0"/>
    <s v="Under Construction"/>
    <s v="50+"/>
    <n v="4"/>
    <s v="Medium"/>
    <s v="Learner"/>
    <b v="1"/>
    <n v="26"/>
    <s v="Uttar Pradesh"/>
    <n v="8"/>
    <n v="3"/>
    <n v="4687"/>
    <x v="0"/>
    <s v="Not an Outliers"/>
  </r>
  <r>
    <d v="2024-11-03T00:00:00"/>
    <x v="1"/>
    <x v="1"/>
    <x v="4"/>
    <n v="8375"/>
    <b v="0"/>
    <s v="Rainy"/>
    <x v="2"/>
    <s v="Dry"/>
    <s v="26-35"/>
    <n v="3"/>
    <s v="Medium"/>
    <s v="Learner"/>
    <b v="1"/>
    <n v="101"/>
    <s v="Uttar Pradesh"/>
    <n v="2"/>
    <n v="1"/>
    <n v="4050"/>
    <x v="2"/>
    <s v="Not an Outliers"/>
  </r>
  <r>
    <d v="2024-11-04T00:00:00"/>
    <x v="3"/>
    <x v="3"/>
    <x v="5"/>
    <n v="4996"/>
    <b v="0"/>
    <s v="Clear"/>
    <x v="2"/>
    <s v="Dry"/>
    <s v="50+"/>
    <n v="0"/>
    <s v="Low"/>
    <s v="Learner"/>
    <b v="0"/>
    <n v="71"/>
    <s v="Delhi"/>
    <n v="1"/>
    <n v="1"/>
    <n v="2586"/>
    <x v="2"/>
    <s v="Not an Outliers"/>
  </r>
  <r>
    <d v="2024-11-05T00:00:00"/>
    <x v="11"/>
    <x v="1"/>
    <x v="2"/>
    <n v="4908"/>
    <b v="0"/>
    <s v="Cloudy"/>
    <x v="3"/>
    <s v="Wet"/>
    <s v="26-35"/>
    <n v="0"/>
    <s v="Low"/>
    <s v="Learner"/>
    <b v="1"/>
    <n v="81"/>
    <s v="Uttar Pradesh"/>
    <n v="1"/>
    <n v="2"/>
    <n v="1123"/>
    <x v="2"/>
    <s v="Not an Outliers"/>
  </r>
  <r>
    <d v="2024-11-05T00:00:00"/>
    <x v="10"/>
    <x v="1"/>
    <x v="5"/>
    <n v="4547"/>
    <b v="0"/>
    <s v="Clear"/>
    <x v="1"/>
    <s v="Under Construction"/>
    <s v="26-35"/>
    <n v="2"/>
    <s v="High"/>
    <s v="Valid"/>
    <b v="1"/>
    <n v="103"/>
    <s v="Uttar Pradesh"/>
    <n v="5"/>
    <n v="3"/>
    <n v="4024"/>
    <x v="0"/>
    <s v="Not an Outliers"/>
  </r>
  <r>
    <d v="2024-11-05T00:00:00"/>
    <x v="9"/>
    <x v="0"/>
    <x v="0"/>
    <n v="1000"/>
    <b v="0"/>
    <s v="Stormy"/>
    <x v="2"/>
    <s v="Slippery"/>
    <s v="26-35"/>
    <n v="3"/>
    <s v="Low"/>
    <s v="Learner"/>
    <b v="0"/>
    <n v="108"/>
    <s v="Delhi"/>
    <n v="3"/>
    <n v="3"/>
    <n v="4827"/>
    <x v="2"/>
    <s v="Not an Outliers"/>
  </r>
  <r>
    <d v="2024-11-06T00:00:00"/>
    <x v="13"/>
    <x v="2"/>
    <x v="4"/>
    <n v="9801"/>
    <b v="0"/>
    <s v="Stormy"/>
    <x v="2"/>
    <s v="Wet"/>
    <s v="18-25"/>
    <n v="1"/>
    <s v="High"/>
    <s v="Valid"/>
    <b v="0"/>
    <n v="83"/>
    <s v="Uttar Pradesh"/>
    <n v="6"/>
    <n v="1"/>
    <n v="972"/>
    <x v="1"/>
    <s v="Not an Outliers"/>
  </r>
  <r>
    <d v="2024-11-06T00:00:00"/>
    <x v="0"/>
    <x v="1"/>
    <x v="5"/>
    <n v="4134"/>
    <b v="1"/>
    <s v="Clear"/>
    <x v="3"/>
    <s v="Under Construction"/>
    <s v="50+"/>
    <n v="0"/>
    <s v="Low"/>
    <s v="Learner"/>
    <b v="1"/>
    <n v="57"/>
    <s v="Rajasthan"/>
    <n v="3"/>
    <n v="3"/>
    <n v="3923"/>
    <x v="2"/>
    <s v="Not an Outliers"/>
  </r>
  <r>
    <d v="2024-11-06T00:00:00"/>
    <x v="9"/>
    <x v="4"/>
    <x v="4"/>
    <n v="6574"/>
    <b v="0"/>
    <s v="Rainy"/>
    <x v="1"/>
    <s v="Under Construction"/>
    <s v="50+"/>
    <n v="1"/>
    <s v="Low"/>
    <s v="Learner"/>
    <b v="1"/>
    <n v="23"/>
    <s v="Rajasthan"/>
    <n v="6"/>
    <n v="2"/>
    <n v="3078"/>
    <x v="0"/>
    <s v="Not an Outliers"/>
  </r>
  <r>
    <d v="2024-11-07T00:00:00"/>
    <x v="13"/>
    <x v="2"/>
    <x v="5"/>
    <n v="2935"/>
    <b v="1"/>
    <s v="Rainy"/>
    <x v="2"/>
    <s v="Dry"/>
    <s v="26-35"/>
    <n v="3"/>
    <s v="High"/>
    <s v="Valid"/>
    <b v="0"/>
    <n v="44"/>
    <s v="Uttar Pradesh"/>
    <n v="6"/>
    <n v="2"/>
    <n v="4946"/>
    <x v="0"/>
    <s v="Not an Outliers"/>
  </r>
  <r>
    <d v="2024-11-07T00:00:00"/>
    <x v="4"/>
    <x v="0"/>
    <x v="3"/>
    <n v="4733"/>
    <b v="0"/>
    <s v="Stormy"/>
    <x v="2"/>
    <s v="Slippery"/>
    <s v="36-50"/>
    <n v="3"/>
    <s v="High"/>
    <s v="Suspended"/>
    <b v="0"/>
    <n v="68"/>
    <s v="Rajasthan"/>
    <n v="10"/>
    <n v="1"/>
    <n v="4449"/>
    <x v="2"/>
    <s v="Not an Outliers"/>
  </r>
  <r>
    <d v="2024-11-08T00:00:00"/>
    <x v="5"/>
    <x v="1"/>
    <x v="1"/>
    <n v="1000"/>
    <b v="1"/>
    <s v="Cloudy"/>
    <x v="3"/>
    <s v="Slippery"/>
    <s v="26-35"/>
    <n v="5"/>
    <s v="Low"/>
    <s v="Valid"/>
    <b v="0"/>
    <n v="1"/>
    <s v="Uttar Pradesh"/>
    <n v="8"/>
    <n v="3"/>
    <n v="1990"/>
    <x v="1"/>
    <s v="Not an Outliers"/>
  </r>
  <r>
    <d v="2024-11-09T00:00:00"/>
    <x v="12"/>
    <x v="4"/>
    <x v="1"/>
    <n v="1000"/>
    <b v="1"/>
    <s v="Stormy"/>
    <x v="1"/>
    <s v="Wet"/>
    <s v="18-25"/>
    <n v="5"/>
    <s v="Medium"/>
    <s v="Expired"/>
    <b v="1"/>
    <n v="53"/>
    <s v="Uttar Pradesh"/>
    <n v="3"/>
    <n v="1"/>
    <n v="3680"/>
    <x v="2"/>
    <s v="Not an Outliers"/>
  </r>
  <r>
    <d v="2024-11-09T00:00:00"/>
    <x v="4"/>
    <x v="4"/>
    <x v="4"/>
    <n v="8665"/>
    <b v="0"/>
    <s v="Foggy"/>
    <x v="1"/>
    <s v="Under Construction"/>
    <s v="36-50"/>
    <n v="0"/>
    <s v="High"/>
    <s v="Suspended"/>
    <b v="0"/>
    <n v="77"/>
    <s v="Uttar Pradesh"/>
    <n v="9"/>
    <n v="2"/>
    <n v="2751"/>
    <x v="2"/>
    <s v="Not an Outliers"/>
  </r>
  <r>
    <d v="2024-11-09T00:00:00"/>
    <x v="2"/>
    <x v="0"/>
    <x v="3"/>
    <n v="4658"/>
    <b v="0"/>
    <s v="Clear"/>
    <x v="2"/>
    <s v="Under Construction"/>
    <s v="50+"/>
    <n v="2"/>
    <s v="Low"/>
    <s v="Expired"/>
    <b v="1"/>
    <n v="99"/>
    <s v="Rajasthan"/>
    <n v="10"/>
    <n v="3"/>
    <n v="4072"/>
    <x v="1"/>
    <s v="Not an Outliers"/>
  </r>
  <r>
    <d v="2024-11-09T00:00:00"/>
    <x v="0"/>
    <x v="1"/>
    <x v="1"/>
    <n v="1000"/>
    <b v="1"/>
    <s v="Stormy"/>
    <x v="2"/>
    <s v="Wet"/>
    <s v="18-25"/>
    <n v="5"/>
    <s v="Low"/>
    <s v="Learner"/>
    <b v="0"/>
    <n v="29"/>
    <s v="Delhi"/>
    <n v="3"/>
    <n v="3"/>
    <n v="828"/>
    <x v="0"/>
    <s v="Not an Outliers"/>
  </r>
  <r>
    <d v="2024-11-09T00:00:00"/>
    <x v="4"/>
    <x v="3"/>
    <x v="1"/>
    <n v="1000"/>
    <b v="0"/>
    <s v="Cloudy"/>
    <x v="1"/>
    <s v="Dry"/>
    <s v="36-50"/>
    <n v="2"/>
    <s v="High"/>
    <s v="Suspended"/>
    <b v="0"/>
    <n v="104"/>
    <s v="Punjab"/>
    <n v="9"/>
    <n v="3"/>
    <n v="2667"/>
    <x v="1"/>
    <s v="Not an Outliers"/>
  </r>
  <r>
    <d v="2024-11-09T00:00:00"/>
    <x v="13"/>
    <x v="2"/>
    <x v="3"/>
    <n v="1597"/>
    <b v="0"/>
    <s v="Stormy"/>
    <x v="2"/>
    <s v="Slippery"/>
    <s v="50+"/>
    <n v="4"/>
    <s v="Medium"/>
    <s v="Learner"/>
    <b v="0"/>
    <n v="113"/>
    <s v="Rajasthan"/>
    <n v="6"/>
    <n v="3"/>
    <n v="2710"/>
    <x v="1"/>
    <s v="Not an Outliers"/>
  </r>
  <r>
    <d v="2024-11-10T00:00:00"/>
    <x v="9"/>
    <x v="2"/>
    <x v="5"/>
    <n v="2695"/>
    <b v="0"/>
    <s v="Foggy"/>
    <x v="3"/>
    <s v="Slippery"/>
    <s v="36-50"/>
    <n v="5"/>
    <s v="High"/>
    <s v="Learner"/>
    <b v="1"/>
    <n v="38"/>
    <s v="Punjab"/>
    <n v="2"/>
    <n v="3"/>
    <n v="3305"/>
    <x v="2"/>
    <s v="Not an Outliers"/>
  </r>
  <r>
    <d v="2024-11-10T00:00:00"/>
    <x v="13"/>
    <x v="2"/>
    <x v="3"/>
    <n v="1596"/>
    <b v="1"/>
    <s v="Clear"/>
    <x v="2"/>
    <s v="Under Construction"/>
    <s v="50+"/>
    <n v="5"/>
    <s v="Medium"/>
    <s v="Suspended"/>
    <b v="1"/>
    <n v="9"/>
    <s v="Rajasthan"/>
    <n v="8"/>
    <n v="3"/>
    <n v="610"/>
    <x v="2"/>
    <s v="Not an Outliers"/>
  </r>
  <r>
    <d v="2024-11-10T00:00:00"/>
    <x v="4"/>
    <x v="1"/>
    <x v="1"/>
    <n v="1000"/>
    <b v="1"/>
    <s v="Rainy"/>
    <x v="3"/>
    <s v="Slippery"/>
    <s v="26-35"/>
    <n v="4"/>
    <s v="Low"/>
    <s v="Expired"/>
    <b v="1"/>
    <n v="69"/>
    <s v="Uttar Pradesh"/>
    <n v="3"/>
    <n v="2"/>
    <n v="4337"/>
    <x v="2"/>
    <s v="Not an Outliers"/>
  </r>
  <r>
    <d v="2024-11-10T00:00:00"/>
    <x v="5"/>
    <x v="4"/>
    <x v="3"/>
    <n v="3645"/>
    <b v="0"/>
    <s v="Rainy"/>
    <x v="2"/>
    <s v="Dry"/>
    <s v="26-35"/>
    <n v="4"/>
    <s v="Low"/>
    <s v="Learner"/>
    <b v="0"/>
    <n v="118"/>
    <s v="Rajasthan"/>
    <n v="4"/>
    <n v="3"/>
    <n v="4577"/>
    <x v="0"/>
    <s v="Not an Outliers"/>
  </r>
  <r>
    <d v="2024-11-10T00:00:00"/>
    <x v="9"/>
    <x v="4"/>
    <x v="1"/>
    <n v="1000"/>
    <b v="0"/>
    <s v="Stormy"/>
    <x v="0"/>
    <s v="Dry"/>
    <s v="18-25"/>
    <n v="4"/>
    <s v="Low"/>
    <s v="Valid"/>
    <b v="1"/>
    <n v="90"/>
    <s v="Rajasthan"/>
    <n v="3"/>
    <n v="1"/>
    <n v="2886"/>
    <x v="2"/>
    <s v="Not an Outliers"/>
  </r>
  <r>
    <d v="2024-11-11T00:00:00"/>
    <x v="7"/>
    <x v="1"/>
    <x v="3"/>
    <n v="2493"/>
    <b v="0"/>
    <s v="Clear"/>
    <x v="3"/>
    <s v="Dry"/>
    <s v="36-50"/>
    <n v="3"/>
    <s v="Low"/>
    <s v="Valid"/>
    <b v="1"/>
    <n v="22"/>
    <s v="Haryana"/>
    <n v="9"/>
    <n v="3"/>
    <n v="2517"/>
    <x v="1"/>
    <s v="Not an Outliers"/>
  </r>
  <r>
    <d v="2024-11-11T00:00:00"/>
    <x v="7"/>
    <x v="3"/>
    <x v="4"/>
    <n v="7463"/>
    <b v="1"/>
    <s v="Rainy"/>
    <x v="1"/>
    <s v="Wet"/>
    <s v="50+"/>
    <n v="5"/>
    <s v="High"/>
    <s v="Learner"/>
    <b v="0"/>
    <n v="120"/>
    <s v="Haryana"/>
    <n v="2"/>
    <n v="3"/>
    <n v="1633"/>
    <x v="1"/>
    <s v="Not an Outliers"/>
  </r>
  <r>
    <d v="2024-11-11T00:00:00"/>
    <x v="4"/>
    <x v="4"/>
    <x v="5"/>
    <n v="6843"/>
    <b v="1"/>
    <s v="Clear"/>
    <x v="1"/>
    <s v="Under Construction"/>
    <s v="36-50"/>
    <n v="4"/>
    <s v="High"/>
    <s v="Expired"/>
    <b v="1"/>
    <n v="57"/>
    <s v="Uttar Pradesh"/>
    <n v="10"/>
    <n v="2"/>
    <n v="2865"/>
    <x v="1"/>
    <s v="Not an Outliers"/>
  </r>
  <r>
    <d v="2024-11-11T00:00:00"/>
    <x v="12"/>
    <x v="1"/>
    <x v="2"/>
    <n v="4152"/>
    <b v="0"/>
    <s v="Clear"/>
    <x v="1"/>
    <s v="Under Construction"/>
    <s v="36-50"/>
    <n v="3"/>
    <s v="Low"/>
    <s v="Valid"/>
    <b v="1"/>
    <n v="70"/>
    <s v="Uttar Pradesh"/>
    <n v="2"/>
    <n v="1"/>
    <n v="4509"/>
    <x v="1"/>
    <s v="Not an Outliers"/>
  </r>
  <r>
    <d v="2024-11-11T00:00:00"/>
    <x v="3"/>
    <x v="0"/>
    <x v="0"/>
    <n v="1000"/>
    <b v="1"/>
    <s v="Foggy"/>
    <x v="3"/>
    <s v="Under Construction"/>
    <s v="36-50"/>
    <n v="1"/>
    <s v="Medium"/>
    <s v="Suspended"/>
    <b v="0"/>
    <n v="40"/>
    <s v="Haryana"/>
    <n v="5"/>
    <n v="3"/>
    <n v="2416"/>
    <x v="1"/>
    <s v="Not an Outliers"/>
  </r>
  <r>
    <d v="2024-11-12T00:00:00"/>
    <x v="8"/>
    <x v="4"/>
    <x v="1"/>
    <n v="1000"/>
    <b v="0"/>
    <s v="Rainy"/>
    <x v="1"/>
    <s v="Under Construction"/>
    <s v="36-50"/>
    <n v="3"/>
    <s v="High"/>
    <s v="Suspended"/>
    <b v="1"/>
    <n v="92"/>
    <s v="Punjab"/>
    <n v="4"/>
    <n v="3"/>
    <n v="1902"/>
    <x v="2"/>
    <s v="Not an Outliers"/>
  </r>
  <r>
    <d v="2024-11-13T00:00:00"/>
    <x v="10"/>
    <x v="4"/>
    <x v="3"/>
    <n v="4380"/>
    <b v="0"/>
    <s v="Rainy"/>
    <x v="3"/>
    <s v="Wet"/>
    <s v="26-35"/>
    <n v="3"/>
    <s v="Medium"/>
    <s v="Valid"/>
    <b v="0"/>
    <n v="4"/>
    <s v="Haryana"/>
    <n v="2"/>
    <n v="3"/>
    <n v="2013"/>
    <x v="1"/>
    <s v="Not an Outliers"/>
  </r>
  <r>
    <d v="2024-11-13T00:00:00"/>
    <x v="13"/>
    <x v="3"/>
    <x v="3"/>
    <n v="3647"/>
    <b v="1"/>
    <s v="Cloudy"/>
    <x v="0"/>
    <s v="Dry"/>
    <s v="18-25"/>
    <n v="3"/>
    <s v="High"/>
    <s v="Expired"/>
    <b v="0"/>
    <n v="64"/>
    <s v="Delhi"/>
    <n v="7"/>
    <n v="1"/>
    <n v="1072"/>
    <x v="1"/>
    <s v="Not an Outliers"/>
  </r>
  <r>
    <d v="2024-11-13T00:00:00"/>
    <x v="7"/>
    <x v="2"/>
    <x v="4"/>
    <n v="8691"/>
    <b v="1"/>
    <s v="Stormy"/>
    <x v="1"/>
    <s v="Wet"/>
    <s v="50+"/>
    <n v="5"/>
    <s v="High"/>
    <s v="Learner"/>
    <b v="1"/>
    <n v="35"/>
    <s v="Delhi"/>
    <n v="6"/>
    <n v="2"/>
    <n v="2976"/>
    <x v="1"/>
    <s v="Not an Outliers"/>
  </r>
  <r>
    <d v="2024-11-13T00:00:00"/>
    <x v="14"/>
    <x v="0"/>
    <x v="2"/>
    <n v="3130"/>
    <b v="0"/>
    <s v="Foggy"/>
    <x v="2"/>
    <s v="Under Construction"/>
    <s v="18-25"/>
    <n v="0"/>
    <s v="Medium"/>
    <s v="Learner"/>
    <b v="1"/>
    <n v="105"/>
    <s v="Delhi"/>
    <n v="10"/>
    <n v="1"/>
    <n v="681"/>
    <x v="1"/>
    <s v="Not an Outliers"/>
  </r>
  <r>
    <d v="2024-11-13T00:00:00"/>
    <x v="13"/>
    <x v="0"/>
    <x v="4"/>
    <n v="5589"/>
    <b v="1"/>
    <s v="Stormy"/>
    <x v="3"/>
    <s v="Slippery"/>
    <s v="50+"/>
    <n v="0"/>
    <s v="High"/>
    <s v="Suspended"/>
    <b v="1"/>
    <n v="18"/>
    <s v="Haryana"/>
    <n v="9"/>
    <n v="1"/>
    <n v="1341"/>
    <x v="1"/>
    <s v="Not an Outliers"/>
  </r>
  <r>
    <d v="2024-11-13T00:00:00"/>
    <x v="7"/>
    <x v="1"/>
    <x v="5"/>
    <n v="5996"/>
    <b v="1"/>
    <s v="Foggy"/>
    <x v="2"/>
    <s v="Slippery"/>
    <s v="36-50"/>
    <n v="5"/>
    <s v="Low"/>
    <s v="Suspended"/>
    <b v="0"/>
    <n v="36"/>
    <s v="Haryana"/>
    <n v="10"/>
    <n v="1"/>
    <n v="3192"/>
    <x v="2"/>
    <s v="Not an Outliers"/>
  </r>
  <r>
    <d v="2024-11-14T00:00:00"/>
    <x v="13"/>
    <x v="2"/>
    <x v="1"/>
    <n v="1000"/>
    <b v="0"/>
    <s v="Foggy"/>
    <x v="2"/>
    <s v="Slippery"/>
    <s v="50+"/>
    <n v="1"/>
    <s v="High"/>
    <s v="Learner"/>
    <b v="1"/>
    <n v="20"/>
    <s v="Uttar Pradesh"/>
    <n v="9"/>
    <n v="1"/>
    <n v="2046"/>
    <x v="1"/>
    <s v="Not an Outliers"/>
  </r>
  <r>
    <d v="2024-11-14T00:00:00"/>
    <x v="11"/>
    <x v="4"/>
    <x v="5"/>
    <n v="5718"/>
    <b v="0"/>
    <s v="Stormy"/>
    <x v="2"/>
    <s v="Under Construction"/>
    <s v="36-50"/>
    <n v="4"/>
    <s v="High"/>
    <s v="Valid"/>
    <b v="1"/>
    <n v="35"/>
    <s v="Delhi"/>
    <n v="10"/>
    <n v="2"/>
    <n v="3013"/>
    <x v="0"/>
    <s v="Not an Outliers"/>
  </r>
  <r>
    <d v="2024-11-14T00:00:00"/>
    <x v="9"/>
    <x v="2"/>
    <x v="4"/>
    <n v="5353"/>
    <b v="0"/>
    <s v="Foggy"/>
    <x v="3"/>
    <s v="Under Construction"/>
    <s v="26-35"/>
    <n v="9"/>
    <s v="Low"/>
    <s v="Suspended"/>
    <b v="1"/>
    <n v="46"/>
    <s v="Haryana"/>
    <n v="8"/>
    <n v="3"/>
    <n v="2210"/>
    <x v="2"/>
    <s v="Not an Outliers"/>
  </r>
  <r>
    <d v="2024-11-15T00:00:00"/>
    <x v="10"/>
    <x v="1"/>
    <x v="5"/>
    <n v="6405"/>
    <b v="0"/>
    <s v="Foggy"/>
    <x v="3"/>
    <s v="Slippery"/>
    <s v="26-35"/>
    <n v="5"/>
    <s v="High"/>
    <s v="Expired"/>
    <b v="1"/>
    <n v="92"/>
    <s v="Delhi"/>
    <n v="2"/>
    <n v="1"/>
    <n v="3865"/>
    <x v="2"/>
    <s v="Not an Outliers"/>
  </r>
  <r>
    <d v="2024-11-15T00:00:00"/>
    <x v="5"/>
    <x v="0"/>
    <x v="4"/>
    <n v="8363"/>
    <b v="0"/>
    <s v="Foggy"/>
    <x v="1"/>
    <s v="Wet"/>
    <s v="36-50"/>
    <n v="1"/>
    <s v="High"/>
    <s v="Suspended"/>
    <b v="0"/>
    <n v="70"/>
    <s v="Delhi"/>
    <n v="7"/>
    <n v="3"/>
    <n v="1381"/>
    <x v="1"/>
    <s v="Not an Outliers"/>
  </r>
  <r>
    <d v="2024-11-16T00:00:00"/>
    <x v="2"/>
    <x v="4"/>
    <x v="2"/>
    <n v="4872"/>
    <b v="0"/>
    <s v="Rainy"/>
    <x v="0"/>
    <s v="Wet"/>
    <s v="18-25"/>
    <n v="1"/>
    <s v="Low"/>
    <s v="Valid"/>
    <b v="0"/>
    <n v="19"/>
    <s v="Uttar Pradesh"/>
    <n v="5"/>
    <n v="1"/>
    <n v="4258"/>
    <x v="1"/>
    <s v="Not an Outliers"/>
  </r>
  <r>
    <d v="2024-11-16T00:00:00"/>
    <x v="2"/>
    <x v="2"/>
    <x v="3"/>
    <n v="4488"/>
    <b v="0"/>
    <s v="Foggy"/>
    <x v="0"/>
    <s v="Dry"/>
    <s v="18-25"/>
    <n v="4"/>
    <s v="High"/>
    <s v="Expired"/>
    <b v="1"/>
    <n v="92"/>
    <s v="Delhi"/>
    <n v="1"/>
    <n v="1"/>
    <n v="2315"/>
    <x v="0"/>
    <s v="Not an Outliers"/>
  </r>
  <r>
    <d v="2024-11-16T00:00:00"/>
    <x v="10"/>
    <x v="4"/>
    <x v="4"/>
    <n v="6036"/>
    <b v="0"/>
    <s v="Rainy"/>
    <x v="1"/>
    <s v="Dry"/>
    <s v="18-25"/>
    <n v="5"/>
    <s v="Low"/>
    <s v="Valid"/>
    <b v="0"/>
    <n v="34"/>
    <s v="Uttar Pradesh"/>
    <n v="6"/>
    <n v="3"/>
    <n v="4248"/>
    <x v="0"/>
    <s v="Not an Outliers"/>
  </r>
  <r>
    <d v="2024-11-16T00:00:00"/>
    <x v="14"/>
    <x v="4"/>
    <x v="2"/>
    <n v="2227"/>
    <b v="1"/>
    <s v="Stormy"/>
    <x v="2"/>
    <s v="Wet"/>
    <s v="36-50"/>
    <n v="2"/>
    <s v="Low"/>
    <s v="Expired"/>
    <b v="0"/>
    <n v="97"/>
    <s v="Punjab"/>
    <n v="2"/>
    <n v="3"/>
    <n v="1620"/>
    <x v="0"/>
    <s v="Not an Outliers"/>
  </r>
  <r>
    <d v="2024-11-17T00:00:00"/>
    <x v="13"/>
    <x v="0"/>
    <x v="3"/>
    <n v="3096"/>
    <b v="0"/>
    <s v="Cloudy"/>
    <x v="1"/>
    <s v="Wet"/>
    <s v="26-35"/>
    <n v="1"/>
    <s v="Low"/>
    <s v="Learner"/>
    <b v="1"/>
    <n v="95"/>
    <s v="Punjab"/>
    <n v="8"/>
    <n v="2"/>
    <n v="2341"/>
    <x v="0"/>
    <s v="Not an Outliers"/>
  </r>
  <r>
    <d v="2024-11-17T00:00:00"/>
    <x v="7"/>
    <x v="1"/>
    <x v="4"/>
    <n v="8321"/>
    <b v="1"/>
    <s v="Stormy"/>
    <x v="3"/>
    <s v="Wet"/>
    <s v="26-35"/>
    <n v="4"/>
    <s v="Medium"/>
    <s v="Learner"/>
    <b v="1"/>
    <n v="22"/>
    <s v="Rajasthan"/>
    <n v="4"/>
    <n v="3"/>
    <n v="1889"/>
    <x v="2"/>
    <s v="Not an Outliers"/>
  </r>
  <r>
    <d v="2024-11-17T00:00:00"/>
    <x v="11"/>
    <x v="1"/>
    <x v="3"/>
    <n v="2220"/>
    <b v="1"/>
    <s v="Clear"/>
    <x v="3"/>
    <s v="Dry"/>
    <s v="36-50"/>
    <n v="1"/>
    <s v="Medium"/>
    <s v="Suspended"/>
    <b v="0"/>
    <n v="91"/>
    <s v="Haryana"/>
    <n v="5"/>
    <n v="3"/>
    <n v="2753"/>
    <x v="2"/>
    <s v="Not an Outliers"/>
  </r>
  <r>
    <d v="2024-11-18T00:00:00"/>
    <x v="3"/>
    <x v="2"/>
    <x v="3"/>
    <n v="4018"/>
    <b v="1"/>
    <s v="Foggy"/>
    <x v="1"/>
    <s v="Wet"/>
    <s v="18-25"/>
    <n v="11"/>
    <s v="Medium"/>
    <s v="Expired"/>
    <b v="0"/>
    <n v="102"/>
    <s v="Haryana"/>
    <n v="5"/>
    <n v="1"/>
    <n v="865"/>
    <x v="2"/>
    <s v="Not an Outliers"/>
  </r>
  <r>
    <d v="2024-11-18T00:00:00"/>
    <x v="0"/>
    <x v="0"/>
    <x v="2"/>
    <n v="2914"/>
    <b v="0"/>
    <s v="Rainy"/>
    <x v="3"/>
    <s v="Dry"/>
    <s v="36-50"/>
    <n v="0"/>
    <s v="High"/>
    <s v="Valid"/>
    <b v="1"/>
    <n v="113"/>
    <s v="Haryana"/>
    <n v="4"/>
    <n v="1"/>
    <n v="3495"/>
    <x v="1"/>
    <s v="Not an Outliers"/>
  </r>
  <r>
    <d v="2024-11-18T00:00:00"/>
    <x v="1"/>
    <x v="1"/>
    <x v="5"/>
    <n v="5674"/>
    <b v="1"/>
    <s v="Cloudy"/>
    <x v="3"/>
    <s v="Dry"/>
    <s v="18-25"/>
    <n v="4"/>
    <s v="Medium"/>
    <s v="Learner"/>
    <b v="0"/>
    <n v="95"/>
    <s v="Rajasthan"/>
    <n v="7"/>
    <n v="2"/>
    <n v="2143"/>
    <x v="2"/>
    <s v="Not an Outliers"/>
  </r>
  <r>
    <d v="2024-11-18T00:00:00"/>
    <x v="5"/>
    <x v="1"/>
    <x v="1"/>
    <n v="1000"/>
    <b v="1"/>
    <s v="Cloudy"/>
    <x v="2"/>
    <s v="Slippery"/>
    <s v="50+"/>
    <n v="3"/>
    <s v="High"/>
    <s v="Learner"/>
    <b v="1"/>
    <n v="63"/>
    <s v="Rajasthan"/>
    <n v="5"/>
    <n v="1"/>
    <n v="4415"/>
    <x v="1"/>
    <s v="Not an Outliers"/>
  </r>
  <r>
    <d v="2024-11-19T00:00:00"/>
    <x v="1"/>
    <x v="3"/>
    <x v="2"/>
    <n v="1206"/>
    <b v="0"/>
    <s v="Rainy"/>
    <x v="2"/>
    <s v="Under Construction"/>
    <s v="18-25"/>
    <n v="2"/>
    <s v="Medium"/>
    <s v="Valid"/>
    <b v="1"/>
    <n v="115"/>
    <s v="Punjab"/>
    <n v="5"/>
    <n v="3"/>
    <n v="3071"/>
    <x v="0"/>
    <s v="Not an Outliers"/>
  </r>
  <r>
    <d v="2024-11-19T00:00:00"/>
    <x v="8"/>
    <x v="4"/>
    <x v="5"/>
    <n v="5191"/>
    <b v="1"/>
    <s v="Clear"/>
    <x v="3"/>
    <s v="Dry"/>
    <s v="50+"/>
    <n v="0"/>
    <s v="Low"/>
    <s v="Expired"/>
    <b v="0"/>
    <n v="99"/>
    <s v="Rajasthan"/>
    <n v="2"/>
    <n v="1"/>
    <n v="2629"/>
    <x v="2"/>
    <s v="Not an Outliers"/>
  </r>
  <r>
    <d v="2024-11-20T00:00:00"/>
    <x v="0"/>
    <x v="1"/>
    <x v="4"/>
    <n v="6050"/>
    <b v="0"/>
    <s v="Cloudy"/>
    <x v="1"/>
    <s v="Dry"/>
    <s v="26-35"/>
    <n v="4"/>
    <s v="Medium"/>
    <s v="Expired"/>
    <b v="0"/>
    <n v="28"/>
    <s v="Punjab"/>
    <n v="3"/>
    <n v="3"/>
    <n v="1774"/>
    <x v="2"/>
    <s v="Not an Outliers"/>
  </r>
  <r>
    <d v="2024-11-20T00:00:00"/>
    <x v="10"/>
    <x v="0"/>
    <x v="5"/>
    <n v="5652"/>
    <b v="0"/>
    <s v="Rainy"/>
    <x v="3"/>
    <s v="Dry"/>
    <s v="36-50"/>
    <n v="2"/>
    <s v="High"/>
    <s v="Learner"/>
    <b v="1"/>
    <n v="43"/>
    <s v="Punjab"/>
    <n v="10"/>
    <n v="3"/>
    <n v="4820"/>
    <x v="2"/>
    <s v="Not an Outliers"/>
  </r>
  <r>
    <d v="2024-11-21T00:00:00"/>
    <x v="7"/>
    <x v="0"/>
    <x v="0"/>
    <n v="1000"/>
    <b v="1"/>
    <s v="Clear"/>
    <x v="3"/>
    <s v="Dry"/>
    <s v="50+"/>
    <n v="0"/>
    <s v="High"/>
    <s v="Expired"/>
    <b v="1"/>
    <n v="41"/>
    <s v="Rajasthan"/>
    <n v="5"/>
    <n v="3"/>
    <n v="3941"/>
    <x v="1"/>
    <s v="Not an Outliers"/>
  </r>
  <r>
    <d v="2024-11-22T00:00:00"/>
    <x v="12"/>
    <x v="3"/>
    <x v="3"/>
    <n v="2288"/>
    <b v="0"/>
    <s v="Foggy"/>
    <x v="2"/>
    <s v="Dry"/>
    <s v="50+"/>
    <n v="4"/>
    <s v="Low"/>
    <s v="Valid"/>
    <b v="0"/>
    <n v="8"/>
    <s v="Rajasthan"/>
    <n v="4"/>
    <n v="2"/>
    <n v="4452"/>
    <x v="2"/>
    <s v="Not an Outliers"/>
  </r>
  <r>
    <d v="2024-11-22T00:00:00"/>
    <x v="10"/>
    <x v="1"/>
    <x v="4"/>
    <n v="7672"/>
    <b v="0"/>
    <s v="Clear"/>
    <x v="3"/>
    <s v="Under Construction"/>
    <s v="50+"/>
    <n v="5"/>
    <s v="Medium"/>
    <s v="Learner"/>
    <b v="0"/>
    <n v="99"/>
    <s v="Rajasthan"/>
    <n v="10"/>
    <n v="3"/>
    <n v="4053"/>
    <x v="0"/>
    <s v="Not an Outliers"/>
  </r>
  <r>
    <d v="2024-11-22T00:00:00"/>
    <x v="2"/>
    <x v="2"/>
    <x v="5"/>
    <n v="4245"/>
    <b v="0"/>
    <s v="Foggy"/>
    <x v="1"/>
    <s v="Wet"/>
    <s v="36-50"/>
    <n v="2"/>
    <s v="Low"/>
    <s v="Suspended"/>
    <b v="1"/>
    <n v="33"/>
    <s v="Haryana"/>
    <n v="3"/>
    <n v="2"/>
    <n v="3377"/>
    <x v="0"/>
    <s v="Not an Outliers"/>
  </r>
  <r>
    <d v="2024-11-23T00:00:00"/>
    <x v="14"/>
    <x v="3"/>
    <x v="2"/>
    <n v="2478"/>
    <b v="1"/>
    <s v="Rainy"/>
    <x v="2"/>
    <s v="Slippery"/>
    <s v="36-50"/>
    <n v="5"/>
    <s v="High"/>
    <s v="Valid"/>
    <b v="0"/>
    <n v="111"/>
    <s v="Haryana"/>
    <n v="10"/>
    <n v="3"/>
    <n v="3168"/>
    <x v="0"/>
    <s v="Not an Outliers"/>
  </r>
  <r>
    <d v="2024-11-23T00:00:00"/>
    <x v="10"/>
    <x v="1"/>
    <x v="2"/>
    <n v="4287"/>
    <b v="0"/>
    <s v="Cloudy"/>
    <x v="2"/>
    <s v="Under Construction"/>
    <s v="50+"/>
    <n v="3"/>
    <s v="High"/>
    <s v="Expired"/>
    <b v="0"/>
    <n v="61"/>
    <s v="Delhi"/>
    <n v="8"/>
    <n v="1"/>
    <n v="3860"/>
    <x v="1"/>
    <s v="Not an Outliers"/>
  </r>
  <r>
    <d v="2024-11-23T00:00:00"/>
    <x v="3"/>
    <x v="4"/>
    <x v="5"/>
    <n v="4822"/>
    <b v="0"/>
    <s v="Rainy"/>
    <x v="2"/>
    <s v="Wet"/>
    <s v="26-35"/>
    <n v="2"/>
    <s v="Low"/>
    <s v="Valid"/>
    <b v="1"/>
    <n v="52"/>
    <s v="Uttar Pradesh"/>
    <n v="6"/>
    <n v="2"/>
    <n v="4469"/>
    <x v="1"/>
    <s v="Not an Outliers"/>
  </r>
  <r>
    <d v="2024-11-24T00:00:00"/>
    <x v="10"/>
    <x v="0"/>
    <x v="0"/>
    <n v="1000"/>
    <b v="0"/>
    <s v="Foggy"/>
    <x v="1"/>
    <s v="Under Construction"/>
    <s v="50+"/>
    <n v="3"/>
    <s v="Low"/>
    <s v="Valid"/>
    <b v="1"/>
    <n v="54"/>
    <s v="Rajasthan"/>
    <n v="4"/>
    <n v="1"/>
    <n v="1855"/>
    <x v="0"/>
    <s v="Not an Outliers"/>
  </r>
  <r>
    <d v="2024-11-24T00:00:00"/>
    <x v="8"/>
    <x v="4"/>
    <x v="1"/>
    <n v="1000"/>
    <b v="0"/>
    <s v="Foggy"/>
    <x v="2"/>
    <s v="Wet"/>
    <s v="26-35"/>
    <n v="5"/>
    <s v="Medium"/>
    <s v="Valid"/>
    <b v="1"/>
    <n v="20"/>
    <s v="Rajasthan"/>
    <n v="9"/>
    <n v="2"/>
    <n v="1856"/>
    <x v="0"/>
    <s v="Not an Outliers"/>
  </r>
  <r>
    <d v="2024-11-24T00:00:00"/>
    <x v="8"/>
    <x v="0"/>
    <x v="0"/>
    <n v="1000"/>
    <b v="0"/>
    <s v="Rainy"/>
    <x v="2"/>
    <s v="Dry"/>
    <s v="18-25"/>
    <n v="2"/>
    <s v="Medium"/>
    <s v="Learner"/>
    <b v="0"/>
    <n v="52"/>
    <s v="Rajasthan"/>
    <n v="6"/>
    <n v="1"/>
    <n v="1152"/>
    <x v="2"/>
    <s v="Not an Outliers"/>
  </r>
  <r>
    <d v="2024-11-24T00:00:00"/>
    <x v="10"/>
    <x v="0"/>
    <x v="4"/>
    <n v="8096"/>
    <b v="0"/>
    <s v="Clear"/>
    <x v="0"/>
    <s v="Under Construction"/>
    <s v="36-50"/>
    <n v="2"/>
    <s v="High"/>
    <s v="Suspended"/>
    <b v="1"/>
    <n v="77"/>
    <s v="Delhi"/>
    <n v="8"/>
    <n v="3"/>
    <n v="879"/>
    <x v="1"/>
    <s v="Not an Outliers"/>
  </r>
  <r>
    <d v="2024-11-25T00:00:00"/>
    <x v="5"/>
    <x v="4"/>
    <x v="5"/>
    <n v="3362"/>
    <b v="0"/>
    <s v="Rainy"/>
    <x v="0"/>
    <s v="Slippery"/>
    <s v="50+"/>
    <n v="4"/>
    <s v="Medium"/>
    <s v="Expired"/>
    <b v="0"/>
    <n v="119"/>
    <s v="Uttar Pradesh"/>
    <n v="3"/>
    <n v="3"/>
    <n v="4043"/>
    <x v="0"/>
    <s v="Not an Outliers"/>
  </r>
  <r>
    <d v="2024-11-25T00:00:00"/>
    <x v="5"/>
    <x v="3"/>
    <x v="5"/>
    <n v="6423"/>
    <b v="0"/>
    <s v="Rainy"/>
    <x v="2"/>
    <s v="Slippery"/>
    <s v="26-35"/>
    <n v="5"/>
    <s v="Low"/>
    <s v="Suspended"/>
    <b v="0"/>
    <n v="40"/>
    <s v="Punjab"/>
    <n v="10"/>
    <n v="2"/>
    <n v="4407"/>
    <x v="1"/>
    <s v="Not an Outliers"/>
  </r>
  <r>
    <d v="2024-11-25T00:00:00"/>
    <x v="0"/>
    <x v="1"/>
    <x v="3"/>
    <n v="3624"/>
    <b v="1"/>
    <s v="Rainy"/>
    <x v="0"/>
    <s v="Under Construction"/>
    <s v="18-25"/>
    <n v="5"/>
    <s v="Low"/>
    <s v="Expired"/>
    <b v="1"/>
    <n v="57"/>
    <s v="Uttar Pradesh"/>
    <n v="8"/>
    <n v="1"/>
    <n v="3802"/>
    <x v="0"/>
    <s v="Not an Outliers"/>
  </r>
  <r>
    <d v="2024-11-25T00:00:00"/>
    <x v="12"/>
    <x v="1"/>
    <x v="2"/>
    <n v="1962"/>
    <b v="1"/>
    <s v="Foggy"/>
    <x v="2"/>
    <s v="Under Construction"/>
    <s v="50+"/>
    <n v="3"/>
    <s v="High"/>
    <s v="Valid"/>
    <b v="1"/>
    <n v="77"/>
    <s v="Delhi"/>
    <n v="8"/>
    <n v="1"/>
    <n v="1825"/>
    <x v="0"/>
    <s v="Not an Outliers"/>
  </r>
  <r>
    <d v="2024-11-27T00:00:00"/>
    <x v="2"/>
    <x v="2"/>
    <x v="3"/>
    <n v="2202"/>
    <b v="0"/>
    <s v="Clear"/>
    <x v="0"/>
    <s v="Wet"/>
    <s v="36-50"/>
    <n v="5"/>
    <s v="Low"/>
    <s v="Valid"/>
    <b v="1"/>
    <n v="26"/>
    <s v="Uttar Pradesh"/>
    <n v="6"/>
    <n v="2"/>
    <n v="2456"/>
    <x v="1"/>
    <s v="Not an Outliers"/>
  </r>
  <r>
    <d v="2024-11-27T00:00:00"/>
    <x v="5"/>
    <x v="0"/>
    <x v="4"/>
    <n v="8717"/>
    <b v="0"/>
    <s v="Cloudy"/>
    <x v="1"/>
    <s v="Wet"/>
    <s v="50+"/>
    <n v="4"/>
    <s v="Medium"/>
    <s v="Learner"/>
    <b v="1"/>
    <n v="3"/>
    <s v="Rajasthan"/>
    <n v="3"/>
    <n v="2"/>
    <n v="1803"/>
    <x v="0"/>
    <s v="Not an Outliers"/>
  </r>
  <r>
    <d v="2024-11-28T00:00:00"/>
    <x v="0"/>
    <x v="4"/>
    <x v="1"/>
    <n v="1000"/>
    <b v="0"/>
    <s v="Cloudy"/>
    <x v="1"/>
    <s v="Wet"/>
    <s v="26-35"/>
    <n v="4"/>
    <s v="Low"/>
    <s v="Suspended"/>
    <b v="1"/>
    <n v="71"/>
    <s v="Delhi"/>
    <n v="9"/>
    <n v="3"/>
    <n v="2025"/>
    <x v="1"/>
    <s v="Not an Outliers"/>
  </r>
  <r>
    <d v="2024-11-28T00:00:00"/>
    <x v="0"/>
    <x v="3"/>
    <x v="3"/>
    <n v="3077"/>
    <b v="1"/>
    <s v="Foggy"/>
    <x v="2"/>
    <s v="Slippery"/>
    <s v="26-35"/>
    <n v="1"/>
    <s v="High"/>
    <s v="Learner"/>
    <b v="1"/>
    <n v="105"/>
    <s v="Punjab"/>
    <n v="3"/>
    <n v="2"/>
    <n v="3961"/>
    <x v="0"/>
    <s v="Not an Outliers"/>
  </r>
  <r>
    <d v="2024-12-01T00:00:00"/>
    <x v="11"/>
    <x v="0"/>
    <x v="2"/>
    <n v="1111"/>
    <b v="1"/>
    <s v="Rainy"/>
    <x v="1"/>
    <s v="Dry"/>
    <s v="18-25"/>
    <n v="0"/>
    <s v="High"/>
    <s v="Learner"/>
    <b v="0"/>
    <n v="10"/>
    <s v="Punjab"/>
    <n v="1"/>
    <n v="1"/>
    <n v="1384"/>
    <x v="1"/>
    <s v="Not an Outliers"/>
  </r>
  <r>
    <d v="2024-12-01T00:00:00"/>
    <x v="5"/>
    <x v="0"/>
    <x v="0"/>
    <n v="1000"/>
    <b v="0"/>
    <s v="Rainy"/>
    <x v="2"/>
    <s v="Wet"/>
    <s v="50+"/>
    <n v="1"/>
    <s v="Medium"/>
    <s v="Expired"/>
    <b v="1"/>
    <n v="106"/>
    <s v="Delhi"/>
    <n v="7"/>
    <n v="2"/>
    <n v="4496"/>
    <x v="1"/>
    <s v="Not an Outliers"/>
  </r>
  <r>
    <d v="2024-12-01T00:00:00"/>
    <x v="10"/>
    <x v="1"/>
    <x v="1"/>
    <n v="1000"/>
    <b v="1"/>
    <s v="Foggy"/>
    <x v="2"/>
    <s v="Dry"/>
    <s v="18-25"/>
    <n v="3"/>
    <s v="Low"/>
    <s v="Expired"/>
    <b v="1"/>
    <n v="36"/>
    <s v="Uttar Pradesh"/>
    <n v="6"/>
    <n v="1"/>
    <n v="579"/>
    <x v="1"/>
    <s v="Not an Outliers"/>
  </r>
  <r>
    <d v="2024-12-01T00:00:00"/>
    <x v="8"/>
    <x v="4"/>
    <x v="5"/>
    <n v="2592"/>
    <b v="0"/>
    <s v="Stormy"/>
    <x v="2"/>
    <s v="Under Construction"/>
    <s v="18-25"/>
    <n v="1"/>
    <s v="High"/>
    <s v="Learner"/>
    <b v="0"/>
    <n v="59"/>
    <s v="Punjab"/>
    <n v="8"/>
    <n v="3"/>
    <n v="2059"/>
    <x v="1"/>
    <s v="Not an Outliers"/>
  </r>
  <r>
    <d v="2024-12-01T00:00:00"/>
    <x v="1"/>
    <x v="3"/>
    <x v="1"/>
    <n v="1000"/>
    <b v="0"/>
    <s v="Clear"/>
    <x v="3"/>
    <s v="Slippery"/>
    <s v="50+"/>
    <n v="4"/>
    <s v="Medium"/>
    <s v="Valid"/>
    <b v="0"/>
    <n v="96"/>
    <s v="Uttar Pradesh"/>
    <n v="4"/>
    <n v="3"/>
    <n v="1261"/>
    <x v="2"/>
    <s v="Not an Outliers"/>
  </r>
  <r>
    <d v="2024-12-01T00:00:00"/>
    <x v="13"/>
    <x v="2"/>
    <x v="1"/>
    <n v="1000"/>
    <b v="0"/>
    <s v="Stormy"/>
    <x v="1"/>
    <s v="Under Construction"/>
    <s v="26-35"/>
    <n v="1"/>
    <s v="Medium"/>
    <s v="Suspended"/>
    <b v="1"/>
    <n v="39"/>
    <s v="Punjab"/>
    <n v="2"/>
    <n v="3"/>
    <n v="1441"/>
    <x v="0"/>
    <s v="Not an Outliers"/>
  </r>
  <r>
    <d v="2024-12-02T00:00:00"/>
    <x v="9"/>
    <x v="2"/>
    <x v="1"/>
    <n v="1000"/>
    <b v="1"/>
    <s v="Foggy"/>
    <x v="2"/>
    <s v="Dry"/>
    <s v="18-25"/>
    <n v="2"/>
    <s v="Medium"/>
    <s v="Suspended"/>
    <b v="1"/>
    <n v="44"/>
    <s v="Rajasthan"/>
    <n v="3"/>
    <n v="2"/>
    <n v="3250"/>
    <x v="1"/>
    <s v="Not an Outliers"/>
  </r>
  <r>
    <d v="2024-12-02T00:00:00"/>
    <x v="4"/>
    <x v="3"/>
    <x v="2"/>
    <n v="3365"/>
    <b v="1"/>
    <s v="Rainy"/>
    <x v="2"/>
    <s v="Slippery"/>
    <s v="18-25"/>
    <n v="4"/>
    <s v="Medium"/>
    <s v="Valid"/>
    <b v="1"/>
    <n v="66"/>
    <s v="Rajasthan"/>
    <n v="4"/>
    <n v="2"/>
    <n v="2088"/>
    <x v="1"/>
    <s v="Not an Outliers"/>
  </r>
  <r>
    <d v="2024-12-03T00:00:00"/>
    <x v="2"/>
    <x v="0"/>
    <x v="5"/>
    <n v="2138"/>
    <b v="1"/>
    <s v="Stormy"/>
    <x v="0"/>
    <s v="Dry"/>
    <s v="50+"/>
    <n v="3"/>
    <s v="Medium"/>
    <s v="Expired"/>
    <b v="1"/>
    <n v="98"/>
    <s v="Haryana"/>
    <n v="3"/>
    <n v="1"/>
    <n v="4493"/>
    <x v="2"/>
    <s v="Not an Outliers"/>
  </r>
  <r>
    <d v="2024-12-03T00:00:00"/>
    <x v="14"/>
    <x v="4"/>
    <x v="1"/>
    <n v="1000"/>
    <b v="0"/>
    <s v="Rainy"/>
    <x v="3"/>
    <s v="Slippery"/>
    <s v="18-25"/>
    <n v="2"/>
    <s v="High"/>
    <s v="Suspended"/>
    <b v="1"/>
    <n v="88"/>
    <s v="Uttar Pradesh"/>
    <n v="1"/>
    <n v="2"/>
    <n v="781"/>
    <x v="0"/>
    <s v="Not an Outliers"/>
  </r>
  <r>
    <d v="2024-12-04T00:00:00"/>
    <x v="2"/>
    <x v="4"/>
    <x v="3"/>
    <n v="1506"/>
    <b v="0"/>
    <s v="Cloudy"/>
    <x v="0"/>
    <s v="Under Construction"/>
    <s v="26-35"/>
    <n v="2"/>
    <s v="Low"/>
    <s v="Suspended"/>
    <b v="1"/>
    <n v="3"/>
    <s v="Haryana"/>
    <n v="9"/>
    <n v="1"/>
    <n v="2808"/>
    <x v="0"/>
    <s v="Not an Outliers"/>
  </r>
  <r>
    <d v="2024-12-04T00:00:00"/>
    <x v="2"/>
    <x v="0"/>
    <x v="0"/>
    <n v="1000"/>
    <b v="1"/>
    <s v="Cloudy"/>
    <x v="2"/>
    <s v="Under Construction"/>
    <s v="18-25"/>
    <n v="1"/>
    <s v="Low"/>
    <s v="Valid"/>
    <b v="1"/>
    <n v="111"/>
    <s v="Haryana"/>
    <n v="6"/>
    <n v="2"/>
    <n v="2377"/>
    <x v="1"/>
    <s v="Not an Outliers"/>
  </r>
  <r>
    <d v="2024-12-05T00:00:00"/>
    <x v="10"/>
    <x v="0"/>
    <x v="4"/>
    <n v="5318"/>
    <b v="1"/>
    <s v="Clear"/>
    <x v="1"/>
    <s v="Dry"/>
    <s v="26-35"/>
    <n v="3"/>
    <s v="Low"/>
    <s v="Learner"/>
    <b v="1"/>
    <n v="94"/>
    <s v="Rajasthan"/>
    <n v="9"/>
    <n v="3"/>
    <n v="2268"/>
    <x v="0"/>
    <s v="Not an Outliers"/>
  </r>
  <r>
    <d v="2024-12-06T00:00:00"/>
    <x v="4"/>
    <x v="0"/>
    <x v="4"/>
    <n v="7929"/>
    <b v="0"/>
    <s v="Stormy"/>
    <x v="1"/>
    <s v="Slippery"/>
    <s v="18-25"/>
    <n v="3"/>
    <s v="Medium"/>
    <s v="Expired"/>
    <b v="0"/>
    <n v="79"/>
    <s v="Rajasthan"/>
    <n v="4"/>
    <n v="1"/>
    <n v="1114"/>
    <x v="0"/>
    <s v="Not an Outliers"/>
  </r>
  <r>
    <d v="2024-12-06T00:00:00"/>
    <x v="2"/>
    <x v="2"/>
    <x v="2"/>
    <n v="1701"/>
    <b v="1"/>
    <s v="Stormy"/>
    <x v="3"/>
    <s v="Wet"/>
    <s v="26-35"/>
    <n v="2"/>
    <s v="High"/>
    <s v="Valid"/>
    <b v="1"/>
    <n v="73"/>
    <s v="Rajasthan"/>
    <n v="8"/>
    <n v="1"/>
    <n v="1523"/>
    <x v="0"/>
    <s v="Not an Outliers"/>
  </r>
  <r>
    <d v="2024-12-07T00:00:00"/>
    <x v="1"/>
    <x v="4"/>
    <x v="1"/>
    <n v="1000"/>
    <b v="0"/>
    <s v="Cloudy"/>
    <x v="1"/>
    <s v="Slippery"/>
    <s v="50+"/>
    <n v="3"/>
    <s v="Medium"/>
    <s v="Suspended"/>
    <b v="1"/>
    <n v="79"/>
    <s v="Uttar Pradesh"/>
    <n v="8"/>
    <n v="1"/>
    <n v="1619"/>
    <x v="2"/>
    <s v="Not an Outliers"/>
  </r>
  <r>
    <d v="2024-12-07T00:00:00"/>
    <x v="12"/>
    <x v="2"/>
    <x v="2"/>
    <n v="2548"/>
    <b v="1"/>
    <s v="Rainy"/>
    <x v="2"/>
    <s v="Slippery"/>
    <s v="36-50"/>
    <n v="4"/>
    <s v="High"/>
    <s v="Expired"/>
    <b v="0"/>
    <n v="52"/>
    <s v="Delhi"/>
    <n v="7"/>
    <n v="2"/>
    <n v="4141"/>
    <x v="0"/>
    <s v="Not an Outliers"/>
  </r>
  <r>
    <d v="2024-12-07T00:00:00"/>
    <x v="2"/>
    <x v="1"/>
    <x v="1"/>
    <n v="1000"/>
    <b v="0"/>
    <s v="Clear"/>
    <x v="0"/>
    <s v="Dry"/>
    <s v="50+"/>
    <n v="2"/>
    <s v="High"/>
    <s v="Expired"/>
    <b v="1"/>
    <n v="33"/>
    <s v="Delhi"/>
    <n v="3"/>
    <n v="1"/>
    <n v="1477"/>
    <x v="1"/>
    <s v="Not an Outliers"/>
  </r>
  <r>
    <d v="2024-12-07T00:00:00"/>
    <x v="13"/>
    <x v="4"/>
    <x v="2"/>
    <n v="1295"/>
    <b v="0"/>
    <s v="Rainy"/>
    <x v="0"/>
    <s v="Slippery"/>
    <s v="36-50"/>
    <n v="2"/>
    <s v="Medium"/>
    <s v="Learner"/>
    <b v="0"/>
    <n v="51"/>
    <s v="Uttar Pradesh"/>
    <n v="6"/>
    <n v="2"/>
    <n v="3416"/>
    <x v="1"/>
    <s v="Not an Outliers"/>
  </r>
  <r>
    <d v="2024-12-07T00:00:00"/>
    <x v="9"/>
    <x v="1"/>
    <x v="3"/>
    <n v="4381"/>
    <b v="0"/>
    <s v="Rainy"/>
    <x v="2"/>
    <s v="Dry"/>
    <s v="18-25"/>
    <n v="2"/>
    <s v="Medium"/>
    <s v="Suspended"/>
    <b v="1"/>
    <n v="7"/>
    <s v="Uttar Pradesh"/>
    <n v="9"/>
    <n v="2"/>
    <n v="2920"/>
    <x v="1"/>
    <s v="Not an Outliers"/>
  </r>
  <r>
    <d v="2024-12-08T00:00:00"/>
    <x v="8"/>
    <x v="4"/>
    <x v="3"/>
    <n v="4179"/>
    <b v="0"/>
    <s v="Rainy"/>
    <x v="2"/>
    <s v="Slippery"/>
    <s v="18-25"/>
    <n v="5"/>
    <s v="High"/>
    <s v="Learner"/>
    <b v="1"/>
    <n v="82"/>
    <s v="Delhi"/>
    <n v="9"/>
    <n v="3"/>
    <n v="3407"/>
    <x v="2"/>
    <s v="Not an Outliers"/>
  </r>
  <r>
    <d v="2024-12-08T00:00:00"/>
    <x v="1"/>
    <x v="2"/>
    <x v="4"/>
    <n v="7285"/>
    <b v="0"/>
    <s v="Foggy"/>
    <x v="1"/>
    <s v="Dry"/>
    <s v="18-25"/>
    <n v="0"/>
    <s v="Low"/>
    <s v="Expired"/>
    <b v="0"/>
    <n v="36"/>
    <s v="Haryana"/>
    <n v="6"/>
    <n v="2"/>
    <n v="1130"/>
    <x v="1"/>
    <s v="Not an Outliers"/>
  </r>
  <r>
    <d v="2024-12-09T00:00:00"/>
    <x v="12"/>
    <x v="2"/>
    <x v="3"/>
    <n v="3870"/>
    <b v="1"/>
    <s v="Foggy"/>
    <x v="0"/>
    <s v="Slippery"/>
    <s v="50+"/>
    <n v="1"/>
    <s v="Low"/>
    <s v="Suspended"/>
    <b v="1"/>
    <n v="8"/>
    <s v="Delhi"/>
    <n v="1"/>
    <n v="2"/>
    <n v="1043"/>
    <x v="2"/>
    <s v="Not an Outliers"/>
  </r>
  <r>
    <d v="2024-12-09T00:00:00"/>
    <x v="14"/>
    <x v="4"/>
    <x v="2"/>
    <n v="2618"/>
    <b v="0"/>
    <s v="Foggy"/>
    <x v="3"/>
    <s v="Slippery"/>
    <s v="26-35"/>
    <n v="4"/>
    <s v="Low"/>
    <s v="Suspended"/>
    <b v="1"/>
    <n v="59"/>
    <s v="Delhi"/>
    <n v="1"/>
    <n v="1"/>
    <n v="2453"/>
    <x v="1"/>
    <s v="Not an Outliers"/>
  </r>
  <r>
    <d v="2024-12-10T00:00:00"/>
    <x v="0"/>
    <x v="2"/>
    <x v="2"/>
    <n v="3054"/>
    <b v="0"/>
    <s v="Clear"/>
    <x v="3"/>
    <s v="Wet"/>
    <s v="26-35"/>
    <n v="1"/>
    <s v="High"/>
    <s v="Expired"/>
    <b v="0"/>
    <n v="94"/>
    <s v="Delhi"/>
    <n v="8"/>
    <n v="3"/>
    <n v="3060"/>
    <x v="2"/>
    <s v="Not an Outliers"/>
  </r>
  <r>
    <d v="2024-12-10T00:00:00"/>
    <x v="3"/>
    <x v="4"/>
    <x v="3"/>
    <n v="4549"/>
    <b v="0"/>
    <s v="Foggy"/>
    <x v="2"/>
    <s v="Slippery"/>
    <s v="26-35"/>
    <n v="0"/>
    <s v="Low"/>
    <s v="Suspended"/>
    <b v="1"/>
    <n v="2"/>
    <s v="Punjab"/>
    <n v="9"/>
    <n v="1"/>
    <n v="2918"/>
    <x v="2"/>
    <s v="Not an Outliers"/>
  </r>
  <r>
    <d v="2024-12-11T00:00:00"/>
    <x v="4"/>
    <x v="1"/>
    <x v="1"/>
    <n v="1000"/>
    <b v="0"/>
    <s v="Cloudy"/>
    <x v="2"/>
    <s v="Wet"/>
    <s v="18-25"/>
    <n v="0"/>
    <s v="Low"/>
    <s v="Expired"/>
    <b v="0"/>
    <n v="89"/>
    <s v="Punjab"/>
    <n v="5"/>
    <n v="2"/>
    <n v="4749"/>
    <x v="0"/>
    <s v="Not an Outliers"/>
  </r>
  <r>
    <d v="2024-12-11T00:00:00"/>
    <x v="7"/>
    <x v="4"/>
    <x v="2"/>
    <n v="3172"/>
    <b v="0"/>
    <s v="Rainy"/>
    <x v="3"/>
    <s v="Wet"/>
    <s v="26-35"/>
    <n v="5"/>
    <s v="Low"/>
    <s v="Valid"/>
    <b v="0"/>
    <n v="19"/>
    <s v="Delhi"/>
    <n v="3"/>
    <n v="2"/>
    <n v="2519"/>
    <x v="2"/>
    <s v="Not an Outliers"/>
  </r>
  <r>
    <d v="2024-12-12T00:00:00"/>
    <x v="11"/>
    <x v="1"/>
    <x v="2"/>
    <n v="3645"/>
    <b v="0"/>
    <s v="Clear"/>
    <x v="0"/>
    <s v="Under Construction"/>
    <s v="50+"/>
    <n v="1"/>
    <s v="High"/>
    <s v="Valid"/>
    <b v="0"/>
    <n v="109"/>
    <s v="Uttar Pradesh"/>
    <n v="1"/>
    <n v="1"/>
    <n v="933"/>
    <x v="0"/>
    <s v="Not an Outliers"/>
  </r>
  <r>
    <d v="2024-12-12T00:00:00"/>
    <x v="7"/>
    <x v="1"/>
    <x v="4"/>
    <n v="8918"/>
    <b v="0"/>
    <s v="Rainy"/>
    <x v="3"/>
    <s v="Under Construction"/>
    <s v="18-25"/>
    <n v="5"/>
    <s v="Medium"/>
    <s v="Suspended"/>
    <b v="0"/>
    <n v="55"/>
    <s v="Haryana"/>
    <n v="2"/>
    <n v="3"/>
    <n v="4562"/>
    <x v="2"/>
    <s v="Not an Outliers"/>
  </r>
  <r>
    <d v="2024-12-12T00:00:00"/>
    <x v="1"/>
    <x v="4"/>
    <x v="1"/>
    <n v="1000"/>
    <b v="1"/>
    <s v="Stormy"/>
    <x v="2"/>
    <s v="Slippery"/>
    <s v="50+"/>
    <n v="4"/>
    <s v="Medium"/>
    <s v="Suspended"/>
    <b v="1"/>
    <n v="108"/>
    <s v="Punjab"/>
    <n v="7"/>
    <n v="3"/>
    <n v="2271"/>
    <x v="1"/>
    <s v="Not an Outliers"/>
  </r>
  <r>
    <d v="2024-12-13T00:00:00"/>
    <x v="10"/>
    <x v="4"/>
    <x v="3"/>
    <n v="3508"/>
    <b v="0"/>
    <s v="Stormy"/>
    <x v="1"/>
    <s v="Slippery"/>
    <s v="26-35"/>
    <n v="3"/>
    <s v="Medium"/>
    <s v="Suspended"/>
    <b v="0"/>
    <n v="1"/>
    <s v="Punjab"/>
    <n v="8"/>
    <n v="2"/>
    <n v="3733"/>
    <x v="2"/>
    <s v="Not an Outliers"/>
  </r>
  <r>
    <d v="2024-12-14T00:00:00"/>
    <x v="3"/>
    <x v="2"/>
    <x v="5"/>
    <n v="4311"/>
    <b v="1"/>
    <s v="Foggy"/>
    <x v="0"/>
    <s v="Wet"/>
    <s v="26-35"/>
    <n v="4"/>
    <s v="Medium"/>
    <s v="Expired"/>
    <b v="1"/>
    <n v="83"/>
    <s v="Haryana"/>
    <n v="3"/>
    <n v="2"/>
    <n v="1138"/>
    <x v="0"/>
    <s v="Not an Outliers"/>
  </r>
  <r>
    <d v="2024-12-14T00:00:00"/>
    <x v="0"/>
    <x v="4"/>
    <x v="2"/>
    <n v="4776"/>
    <b v="0"/>
    <s v="Cloudy"/>
    <x v="0"/>
    <s v="Dry"/>
    <s v="50+"/>
    <n v="4"/>
    <s v="Medium"/>
    <s v="Suspended"/>
    <b v="0"/>
    <n v="64"/>
    <s v="Delhi"/>
    <n v="10"/>
    <n v="1"/>
    <n v="4540"/>
    <x v="0"/>
    <s v="Not an Outliers"/>
  </r>
  <r>
    <d v="2024-12-14T00:00:00"/>
    <x v="11"/>
    <x v="0"/>
    <x v="0"/>
    <n v="1000"/>
    <b v="0"/>
    <s v="Rainy"/>
    <x v="2"/>
    <s v="Dry"/>
    <s v="18-25"/>
    <n v="2"/>
    <s v="Medium"/>
    <s v="Learner"/>
    <b v="0"/>
    <n v="61"/>
    <s v="Haryana"/>
    <n v="1"/>
    <n v="1"/>
    <n v="2262"/>
    <x v="1"/>
    <s v="Not an Outliers"/>
  </r>
  <r>
    <d v="2024-12-14T00:00:00"/>
    <x v="7"/>
    <x v="4"/>
    <x v="5"/>
    <n v="7612"/>
    <b v="0"/>
    <s v="Stormy"/>
    <x v="0"/>
    <s v="Slippery"/>
    <s v="50+"/>
    <n v="4"/>
    <s v="Medium"/>
    <s v="Learner"/>
    <b v="1"/>
    <n v="105"/>
    <s v="Delhi"/>
    <n v="3"/>
    <n v="3"/>
    <n v="3517"/>
    <x v="0"/>
    <s v="Not an Outliers"/>
  </r>
  <r>
    <d v="2024-12-14T00:00:00"/>
    <x v="7"/>
    <x v="0"/>
    <x v="2"/>
    <n v="1509"/>
    <b v="0"/>
    <s v="Cloudy"/>
    <x v="0"/>
    <s v="Under Construction"/>
    <s v="50+"/>
    <n v="1"/>
    <s v="High"/>
    <s v="Suspended"/>
    <b v="0"/>
    <n v="78"/>
    <s v="Uttar Pradesh"/>
    <n v="7"/>
    <n v="3"/>
    <n v="2090"/>
    <x v="2"/>
    <s v="Not an Outliers"/>
  </r>
  <r>
    <d v="2024-12-14T00:00:00"/>
    <x v="4"/>
    <x v="0"/>
    <x v="3"/>
    <n v="3166"/>
    <b v="0"/>
    <s v="Rainy"/>
    <x v="3"/>
    <s v="Under Construction"/>
    <s v="26-35"/>
    <n v="2"/>
    <s v="Low"/>
    <s v="Learner"/>
    <b v="1"/>
    <n v="120"/>
    <s v="Haryana"/>
    <n v="8"/>
    <n v="2"/>
    <n v="4858"/>
    <x v="0"/>
    <s v="Not an Outliers"/>
  </r>
  <r>
    <d v="2024-12-14T00:00:00"/>
    <x v="9"/>
    <x v="3"/>
    <x v="1"/>
    <n v="1000"/>
    <b v="0"/>
    <s v="Rainy"/>
    <x v="3"/>
    <s v="Wet"/>
    <s v="18-25"/>
    <n v="4"/>
    <s v="Medium"/>
    <s v="Suspended"/>
    <b v="1"/>
    <n v="18"/>
    <s v="Punjab"/>
    <n v="2"/>
    <n v="3"/>
    <n v="1157"/>
    <x v="0"/>
    <s v="Not an Outliers"/>
  </r>
  <r>
    <d v="2024-12-14T00:00:00"/>
    <x v="8"/>
    <x v="1"/>
    <x v="3"/>
    <n v="2848"/>
    <b v="0"/>
    <s v="Clear"/>
    <x v="2"/>
    <s v="Slippery"/>
    <s v="18-25"/>
    <n v="0"/>
    <s v="Low"/>
    <s v="Expired"/>
    <b v="1"/>
    <n v="113"/>
    <s v="Punjab"/>
    <n v="8"/>
    <n v="2"/>
    <n v="2983"/>
    <x v="0"/>
    <s v="Not an Outliers"/>
  </r>
  <r>
    <d v="2024-12-15T00:00:00"/>
    <x v="0"/>
    <x v="2"/>
    <x v="4"/>
    <n v="9777"/>
    <b v="0"/>
    <s v="Stormy"/>
    <x v="1"/>
    <s v="Wet"/>
    <s v="18-25"/>
    <n v="5"/>
    <s v="Medium"/>
    <s v="Valid"/>
    <b v="1"/>
    <n v="99"/>
    <s v="Haryana"/>
    <n v="3"/>
    <n v="3"/>
    <n v="4191"/>
    <x v="2"/>
    <s v="Not an Outliers"/>
  </r>
  <r>
    <d v="2024-12-16T00:00:00"/>
    <x v="1"/>
    <x v="0"/>
    <x v="0"/>
    <n v="1000"/>
    <b v="0"/>
    <s v="Rainy"/>
    <x v="2"/>
    <s v="Wet"/>
    <s v="26-35"/>
    <n v="3"/>
    <s v="Low"/>
    <s v="Suspended"/>
    <b v="0"/>
    <n v="107"/>
    <s v="Delhi"/>
    <n v="7"/>
    <n v="3"/>
    <n v="2747"/>
    <x v="0"/>
    <s v="Not an Outliers"/>
  </r>
  <r>
    <d v="2024-12-16T00:00:00"/>
    <x v="7"/>
    <x v="1"/>
    <x v="2"/>
    <n v="2682"/>
    <b v="0"/>
    <s v="Stormy"/>
    <x v="3"/>
    <s v="Wet"/>
    <s v="18-25"/>
    <n v="5"/>
    <s v="High"/>
    <s v="Valid"/>
    <b v="0"/>
    <n v="91"/>
    <s v="Uttar Pradesh"/>
    <n v="10"/>
    <n v="1"/>
    <n v="4847"/>
    <x v="2"/>
    <s v="Not an Outliers"/>
  </r>
  <r>
    <d v="2024-12-16T00:00:00"/>
    <x v="5"/>
    <x v="4"/>
    <x v="4"/>
    <n v="7609"/>
    <b v="0"/>
    <s v="Cloudy"/>
    <x v="0"/>
    <s v="Dry"/>
    <s v="36-50"/>
    <n v="1"/>
    <s v="Low"/>
    <s v="Valid"/>
    <b v="0"/>
    <n v="83"/>
    <s v="Uttar Pradesh"/>
    <n v="5"/>
    <n v="1"/>
    <n v="4706"/>
    <x v="1"/>
    <s v="Not an Outliers"/>
  </r>
  <r>
    <d v="2024-12-16T00:00:00"/>
    <x v="13"/>
    <x v="2"/>
    <x v="5"/>
    <n v="2386"/>
    <b v="0"/>
    <s v="Cloudy"/>
    <x v="1"/>
    <s v="Wet"/>
    <s v="26-35"/>
    <n v="4"/>
    <s v="High"/>
    <s v="Suspended"/>
    <b v="1"/>
    <n v="120"/>
    <s v="Delhi"/>
    <n v="9"/>
    <n v="2"/>
    <n v="2520"/>
    <x v="2"/>
    <s v="Not an Outliers"/>
  </r>
  <r>
    <d v="2024-12-16T00:00:00"/>
    <x v="5"/>
    <x v="4"/>
    <x v="2"/>
    <n v="1373"/>
    <b v="0"/>
    <s v="Stormy"/>
    <x v="3"/>
    <s v="Under Construction"/>
    <s v="26-35"/>
    <n v="0"/>
    <s v="Medium"/>
    <s v="Suspended"/>
    <b v="0"/>
    <n v="21"/>
    <s v="Delhi"/>
    <n v="8"/>
    <n v="3"/>
    <n v="959"/>
    <x v="2"/>
    <s v="Not an Outliers"/>
  </r>
  <r>
    <d v="2024-12-16T00:00:00"/>
    <x v="14"/>
    <x v="1"/>
    <x v="2"/>
    <n v="2252"/>
    <b v="1"/>
    <s v="Clear"/>
    <x v="1"/>
    <s v="Wet"/>
    <s v="36-50"/>
    <n v="3"/>
    <s v="Medium"/>
    <s v="Valid"/>
    <b v="0"/>
    <n v="75"/>
    <s v="Delhi"/>
    <n v="5"/>
    <n v="1"/>
    <n v="2661"/>
    <x v="2"/>
    <s v="Not an Outliers"/>
  </r>
  <r>
    <d v="2024-12-16T00:00:00"/>
    <x v="0"/>
    <x v="4"/>
    <x v="1"/>
    <n v="1000"/>
    <b v="1"/>
    <s v="Stormy"/>
    <x v="2"/>
    <s v="Under Construction"/>
    <s v="50+"/>
    <n v="4"/>
    <s v="High"/>
    <s v="Learner"/>
    <b v="1"/>
    <n v="48"/>
    <s v="Punjab"/>
    <n v="4"/>
    <n v="3"/>
    <n v="3818"/>
    <x v="1"/>
    <s v="Not an Outliers"/>
  </r>
  <r>
    <d v="2024-12-17T00:00:00"/>
    <x v="3"/>
    <x v="2"/>
    <x v="1"/>
    <n v="1000"/>
    <b v="0"/>
    <s v="Foggy"/>
    <x v="1"/>
    <s v="Under Construction"/>
    <s v="18-25"/>
    <n v="1"/>
    <s v="High"/>
    <s v="Learner"/>
    <b v="0"/>
    <n v="57"/>
    <s v="Uttar Pradesh"/>
    <n v="5"/>
    <n v="2"/>
    <n v="4345"/>
    <x v="0"/>
    <s v="Not an Outliers"/>
  </r>
  <r>
    <d v="2024-12-17T00:00:00"/>
    <x v="3"/>
    <x v="2"/>
    <x v="5"/>
    <n v="2658"/>
    <b v="0"/>
    <s v="Clear"/>
    <x v="3"/>
    <s v="Slippery"/>
    <s v="36-50"/>
    <n v="2"/>
    <s v="Low"/>
    <s v="Learner"/>
    <b v="1"/>
    <n v="11"/>
    <s v="Rajasthan"/>
    <n v="4"/>
    <n v="3"/>
    <n v="549"/>
    <x v="1"/>
    <s v="Not an Outliers"/>
  </r>
  <r>
    <d v="2024-12-17T00:00:00"/>
    <x v="9"/>
    <x v="3"/>
    <x v="2"/>
    <n v="2927"/>
    <b v="1"/>
    <s v="Clear"/>
    <x v="0"/>
    <s v="Slippery"/>
    <s v="26-35"/>
    <n v="1"/>
    <s v="Low"/>
    <s v="Suspended"/>
    <b v="1"/>
    <n v="66"/>
    <s v="Haryana"/>
    <n v="4"/>
    <n v="1"/>
    <n v="3337"/>
    <x v="2"/>
    <s v="Not an Outliers"/>
  </r>
  <r>
    <d v="2024-12-17T00:00:00"/>
    <x v="12"/>
    <x v="2"/>
    <x v="1"/>
    <n v="1000"/>
    <b v="1"/>
    <s v="Rainy"/>
    <x v="2"/>
    <s v="Wet"/>
    <s v="18-25"/>
    <n v="5"/>
    <s v="Medium"/>
    <s v="Expired"/>
    <b v="1"/>
    <n v="80"/>
    <s v="Delhi"/>
    <n v="1"/>
    <n v="1"/>
    <n v="4974"/>
    <x v="0"/>
    <s v="Not an Outliers"/>
  </r>
  <r>
    <d v="2024-12-18T00:00:00"/>
    <x v="3"/>
    <x v="3"/>
    <x v="4"/>
    <n v="6565"/>
    <b v="0"/>
    <s v="Rainy"/>
    <x v="0"/>
    <s v="Wet"/>
    <s v="26-35"/>
    <n v="1"/>
    <s v="Medium"/>
    <s v="Valid"/>
    <b v="0"/>
    <n v="33"/>
    <s v="Punjab"/>
    <n v="6"/>
    <n v="1"/>
    <n v="677"/>
    <x v="1"/>
    <s v="Not an Outliers"/>
  </r>
  <r>
    <d v="2024-12-19T00:00:00"/>
    <x v="4"/>
    <x v="4"/>
    <x v="1"/>
    <n v="1000"/>
    <b v="0"/>
    <s v="Cloudy"/>
    <x v="1"/>
    <s v="Wet"/>
    <s v="18-25"/>
    <n v="5"/>
    <s v="Low"/>
    <s v="Expired"/>
    <b v="0"/>
    <n v="85"/>
    <s v="Delhi"/>
    <n v="3"/>
    <n v="2"/>
    <n v="1543"/>
    <x v="0"/>
    <s v="Not an Outliers"/>
  </r>
  <r>
    <d v="2024-12-19T00:00:00"/>
    <x v="7"/>
    <x v="4"/>
    <x v="5"/>
    <n v="5401"/>
    <b v="0"/>
    <s v="Rainy"/>
    <x v="0"/>
    <s v="Wet"/>
    <s v="26-35"/>
    <n v="5"/>
    <s v="Low"/>
    <s v="Suspended"/>
    <b v="1"/>
    <n v="3"/>
    <s v="Haryana"/>
    <n v="6"/>
    <n v="3"/>
    <n v="4212"/>
    <x v="2"/>
    <s v="Not an Outliers"/>
  </r>
  <r>
    <d v="2024-12-20T00:00:00"/>
    <x v="8"/>
    <x v="3"/>
    <x v="3"/>
    <n v="2751"/>
    <b v="0"/>
    <s v="Stormy"/>
    <x v="1"/>
    <s v="Under Construction"/>
    <s v="26-35"/>
    <n v="1"/>
    <s v="Medium"/>
    <s v="Valid"/>
    <b v="0"/>
    <n v="112"/>
    <s v="Punjab"/>
    <n v="7"/>
    <n v="2"/>
    <n v="4654"/>
    <x v="2"/>
    <s v="Not an Outliers"/>
  </r>
  <r>
    <d v="2024-12-20T00:00:00"/>
    <x v="2"/>
    <x v="2"/>
    <x v="4"/>
    <n v="8532"/>
    <b v="1"/>
    <s v="Clear"/>
    <x v="1"/>
    <s v="Under Construction"/>
    <s v="26-35"/>
    <n v="2"/>
    <s v="High"/>
    <s v="Expired"/>
    <b v="0"/>
    <n v="115"/>
    <s v="Haryana"/>
    <n v="10"/>
    <n v="2"/>
    <n v="3259"/>
    <x v="0"/>
    <s v="Not an Outliers"/>
  </r>
  <r>
    <d v="2024-12-20T00:00:00"/>
    <x v="14"/>
    <x v="4"/>
    <x v="5"/>
    <n v="2415"/>
    <b v="0"/>
    <s v="Cloudy"/>
    <x v="1"/>
    <s v="Slippery"/>
    <s v="50+"/>
    <n v="1"/>
    <s v="Medium"/>
    <s v="Learner"/>
    <b v="1"/>
    <n v="62"/>
    <s v="Punjab"/>
    <n v="1"/>
    <n v="3"/>
    <n v="1541"/>
    <x v="2"/>
    <s v="Not an Outliers"/>
  </r>
  <r>
    <d v="2024-12-20T00:00:00"/>
    <x v="7"/>
    <x v="4"/>
    <x v="5"/>
    <n v="3600"/>
    <b v="0"/>
    <s v="Clear"/>
    <x v="0"/>
    <s v="Wet"/>
    <s v="18-25"/>
    <n v="5"/>
    <s v="Low"/>
    <s v="Expired"/>
    <b v="0"/>
    <n v="1"/>
    <s v="Uttar Pradesh"/>
    <n v="4"/>
    <n v="3"/>
    <n v="4887"/>
    <x v="0"/>
    <s v="Not an Outliers"/>
  </r>
  <r>
    <d v="2024-12-21T00:00:00"/>
    <x v="9"/>
    <x v="2"/>
    <x v="5"/>
    <n v="5038"/>
    <b v="0"/>
    <s v="Rainy"/>
    <x v="0"/>
    <s v="Dry"/>
    <s v="50+"/>
    <n v="2"/>
    <s v="High"/>
    <s v="Expired"/>
    <b v="1"/>
    <n v="15"/>
    <s v="Punjab"/>
    <n v="1"/>
    <n v="1"/>
    <n v="1858"/>
    <x v="2"/>
    <s v="Not an Outliers"/>
  </r>
  <r>
    <d v="2024-12-21T00:00:00"/>
    <x v="5"/>
    <x v="0"/>
    <x v="4"/>
    <n v="5828"/>
    <b v="0"/>
    <s v="Rainy"/>
    <x v="0"/>
    <s v="Under Construction"/>
    <s v="26-35"/>
    <n v="1"/>
    <s v="Medium"/>
    <s v="Expired"/>
    <b v="1"/>
    <n v="46"/>
    <s v="Rajasthan"/>
    <n v="9"/>
    <n v="1"/>
    <n v="4176"/>
    <x v="0"/>
    <s v="Not an Outliers"/>
  </r>
  <r>
    <d v="2024-12-21T00:00:00"/>
    <x v="3"/>
    <x v="3"/>
    <x v="4"/>
    <n v="7858"/>
    <b v="1"/>
    <s v="Clear"/>
    <x v="2"/>
    <s v="Wet"/>
    <s v="26-35"/>
    <n v="0"/>
    <s v="Low"/>
    <s v="Expired"/>
    <b v="0"/>
    <n v="34"/>
    <s v="Haryana"/>
    <n v="2"/>
    <n v="1"/>
    <n v="3615"/>
    <x v="2"/>
    <s v="Not an Outliers"/>
  </r>
  <r>
    <d v="2024-12-21T00:00:00"/>
    <x v="2"/>
    <x v="2"/>
    <x v="3"/>
    <n v="3051"/>
    <b v="0"/>
    <s v="Cloudy"/>
    <x v="2"/>
    <s v="Dry"/>
    <s v="26-35"/>
    <n v="5"/>
    <s v="Low"/>
    <s v="Valid"/>
    <b v="0"/>
    <n v="46"/>
    <s v="Haryana"/>
    <n v="3"/>
    <n v="2"/>
    <n v="3823"/>
    <x v="1"/>
    <s v="Not an Outliers"/>
  </r>
  <r>
    <d v="2024-12-22T00:00:00"/>
    <x v="14"/>
    <x v="0"/>
    <x v="3"/>
    <n v="3044"/>
    <b v="0"/>
    <s v="Stormy"/>
    <x v="0"/>
    <s v="Under Construction"/>
    <s v="26-35"/>
    <n v="4"/>
    <s v="High"/>
    <s v="Learner"/>
    <b v="1"/>
    <n v="61"/>
    <s v="Haryana"/>
    <n v="4"/>
    <n v="1"/>
    <n v="1400"/>
    <x v="2"/>
    <s v="Not an Outliers"/>
  </r>
  <r>
    <d v="2024-12-22T00:00:00"/>
    <x v="0"/>
    <x v="2"/>
    <x v="1"/>
    <n v="1000"/>
    <b v="0"/>
    <s v="Rainy"/>
    <x v="0"/>
    <s v="Under Construction"/>
    <s v="26-35"/>
    <n v="0"/>
    <s v="Low"/>
    <s v="Suspended"/>
    <b v="1"/>
    <n v="84"/>
    <s v="Delhi"/>
    <n v="9"/>
    <n v="3"/>
    <n v="3382"/>
    <x v="1"/>
    <s v="Not an Outliers"/>
  </r>
  <r>
    <d v="2024-12-22T00:00:00"/>
    <x v="2"/>
    <x v="4"/>
    <x v="2"/>
    <n v="4339"/>
    <b v="0"/>
    <s v="Foggy"/>
    <x v="3"/>
    <s v="Dry"/>
    <s v="18-25"/>
    <n v="4"/>
    <s v="Medium"/>
    <s v="Suspended"/>
    <b v="1"/>
    <n v="37"/>
    <s v="Haryana"/>
    <n v="1"/>
    <n v="1"/>
    <n v="2038"/>
    <x v="2"/>
    <s v="Not an Outliers"/>
  </r>
  <r>
    <d v="2024-12-23T00:00:00"/>
    <x v="5"/>
    <x v="1"/>
    <x v="2"/>
    <n v="1441"/>
    <b v="0"/>
    <s v="Stormy"/>
    <x v="3"/>
    <s v="Wet"/>
    <s v="26-35"/>
    <n v="1"/>
    <s v="Medium"/>
    <s v="Valid"/>
    <b v="0"/>
    <n v="78"/>
    <s v="Delhi"/>
    <n v="8"/>
    <n v="3"/>
    <n v="4371"/>
    <x v="2"/>
    <s v="Not an Outliers"/>
  </r>
  <r>
    <d v="2024-12-23T00:00:00"/>
    <x v="7"/>
    <x v="2"/>
    <x v="4"/>
    <n v="7370"/>
    <b v="1"/>
    <s v="Clear"/>
    <x v="2"/>
    <s v="Dry"/>
    <s v="18-25"/>
    <n v="2"/>
    <s v="High"/>
    <s v="Valid"/>
    <b v="0"/>
    <n v="9"/>
    <s v="Haryana"/>
    <n v="2"/>
    <n v="2"/>
    <n v="3012"/>
    <x v="1"/>
    <s v="Not an Outliers"/>
  </r>
  <r>
    <d v="2024-12-23T00:00:00"/>
    <x v="12"/>
    <x v="1"/>
    <x v="2"/>
    <n v="3435"/>
    <b v="0"/>
    <s v="Cloudy"/>
    <x v="3"/>
    <s v="Dry"/>
    <s v="36-50"/>
    <n v="1"/>
    <s v="Medium"/>
    <s v="Valid"/>
    <b v="1"/>
    <n v="21"/>
    <s v="Delhi"/>
    <n v="2"/>
    <n v="1"/>
    <n v="2559"/>
    <x v="1"/>
    <s v="Not an Outliers"/>
  </r>
  <r>
    <d v="2024-12-24T00:00:00"/>
    <x v="5"/>
    <x v="0"/>
    <x v="2"/>
    <n v="3506"/>
    <b v="0"/>
    <s v="Cloudy"/>
    <x v="3"/>
    <s v="Wet"/>
    <s v="18-25"/>
    <n v="0"/>
    <s v="High"/>
    <s v="Expired"/>
    <b v="1"/>
    <n v="105"/>
    <s v="Haryana"/>
    <n v="7"/>
    <n v="3"/>
    <n v="564"/>
    <x v="1"/>
    <s v="Not an Outliers"/>
  </r>
  <r>
    <d v="2024-12-24T00:00:00"/>
    <x v="1"/>
    <x v="0"/>
    <x v="5"/>
    <n v="4632"/>
    <b v="0"/>
    <s v="Stormy"/>
    <x v="0"/>
    <s v="Wet"/>
    <s v="36-50"/>
    <n v="4"/>
    <s v="High"/>
    <s v="Valid"/>
    <b v="1"/>
    <n v="11"/>
    <s v="Uttar Pradesh"/>
    <n v="4"/>
    <n v="2"/>
    <n v="2337"/>
    <x v="1"/>
    <s v="Not an Outliers"/>
  </r>
  <r>
    <d v="2024-12-24T00:00:00"/>
    <x v="13"/>
    <x v="2"/>
    <x v="5"/>
    <n v="7986"/>
    <b v="0"/>
    <s v="Rainy"/>
    <x v="3"/>
    <s v="Slippery"/>
    <s v="50+"/>
    <n v="5"/>
    <s v="Medium"/>
    <s v="Learner"/>
    <b v="0"/>
    <n v="90"/>
    <s v="Uttar Pradesh"/>
    <n v="7"/>
    <n v="2"/>
    <n v="3459"/>
    <x v="2"/>
    <s v="Not an Outliers"/>
  </r>
  <r>
    <d v="2024-12-24T00:00:00"/>
    <x v="14"/>
    <x v="3"/>
    <x v="4"/>
    <n v="8866"/>
    <b v="0"/>
    <s v="Foggy"/>
    <x v="3"/>
    <s v="Slippery"/>
    <s v="26-35"/>
    <n v="1"/>
    <s v="High"/>
    <s v="Suspended"/>
    <b v="0"/>
    <n v="90"/>
    <s v="Uttar Pradesh"/>
    <n v="9"/>
    <n v="1"/>
    <n v="903"/>
    <x v="0"/>
    <s v="Not an Outliers"/>
  </r>
  <r>
    <d v="2024-12-26T00:00:00"/>
    <x v="9"/>
    <x v="3"/>
    <x v="2"/>
    <n v="1342"/>
    <b v="0"/>
    <s v="Cloudy"/>
    <x v="2"/>
    <s v="Under Construction"/>
    <s v="50+"/>
    <n v="5"/>
    <s v="High"/>
    <s v="Valid"/>
    <b v="1"/>
    <n v="117"/>
    <s v="Rajasthan"/>
    <n v="5"/>
    <n v="3"/>
    <n v="3186"/>
    <x v="1"/>
    <s v="Not an Outliers"/>
  </r>
  <r>
    <d v="2024-12-26T00:00:00"/>
    <x v="7"/>
    <x v="0"/>
    <x v="4"/>
    <n v="7507"/>
    <b v="0"/>
    <s v="Cloudy"/>
    <x v="1"/>
    <s v="Dry"/>
    <s v="26-35"/>
    <n v="1"/>
    <s v="High"/>
    <s v="Expired"/>
    <b v="0"/>
    <n v="15"/>
    <s v="Uttar Pradesh"/>
    <n v="2"/>
    <n v="3"/>
    <n v="4940"/>
    <x v="1"/>
    <s v="Not an Outliers"/>
  </r>
  <r>
    <d v="2024-12-27T00:00:00"/>
    <x v="9"/>
    <x v="3"/>
    <x v="4"/>
    <n v="6912"/>
    <b v="0"/>
    <s v="Stormy"/>
    <x v="1"/>
    <s v="Wet"/>
    <s v="36-50"/>
    <n v="0"/>
    <s v="Low"/>
    <s v="Valid"/>
    <b v="1"/>
    <n v="35"/>
    <s v="Punjab"/>
    <n v="1"/>
    <n v="2"/>
    <n v="3912"/>
    <x v="2"/>
    <s v="Not an Outliers"/>
  </r>
  <r>
    <d v="2024-12-27T00:00:00"/>
    <x v="1"/>
    <x v="3"/>
    <x v="3"/>
    <n v="2151"/>
    <b v="1"/>
    <s v="Stormy"/>
    <x v="2"/>
    <s v="Dry"/>
    <s v="18-25"/>
    <n v="3"/>
    <s v="High"/>
    <s v="Expired"/>
    <b v="0"/>
    <n v="106"/>
    <s v="Punjab"/>
    <n v="1"/>
    <n v="2"/>
    <n v="4389"/>
    <x v="2"/>
    <s v="Not an Outliers"/>
  </r>
  <r>
    <d v="2024-12-27T00:00:00"/>
    <x v="14"/>
    <x v="2"/>
    <x v="5"/>
    <n v="4843"/>
    <b v="0"/>
    <s v="Cloudy"/>
    <x v="2"/>
    <s v="Dry"/>
    <s v="36-50"/>
    <n v="4"/>
    <s v="High"/>
    <s v="Suspended"/>
    <b v="1"/>
    <n v="115"/>
    <s v="Rajasthan"/>
    <n v="4"/>
    <n v="3"/>
    <n v="3842"/>
    <x v="2"/>
    <s v="Not an Outliers"/>
  </r>
  <r>
    <d v="2024-12-27T00:00:00"/>
    <x v="0"/>
    <x v="3"/>
    <x v="1"/>
    <n v="1000"/>
    <b v="0"/>
    <s v="Clear"/>
    <x v="2"/>
    <s v="Slippery"/>
    <s v="26-35"/>
    <n v="4"/>
    <s v="High"/>
    <s v="Expired"/>
    <b v="0"/>
    <n v="24"/>
    <s v="Punjab"/>
    <n v="2"/>
    <n v="1"/>
    <n v="1886"/>
    <x v="0"/>
    <s v="Not an Outliers"/>
  </r>
  <r>
    <d v="2024-12-28T00:00:00"/>
    <x v="2"/>
    <x v="1"/>
    <x v="3"/>
    <n v="2362"/>
    <b v="1"/>
    <s v="Foggy"/>
    <x v="1"/>
    <s v="Slippery"/>
    <s v="36-50"/>
    <n v="0"/>
    <s v="High"/>
    <s v="Learner"/>
    <b v="0"/>
    <n v="29"/>
    <s v="Delhi"/>
    <n v="6"/>
    <n v="3"/>
    <n v="1460"/>
    <x v="1"/>
    <s v="Not an Outliers"/>
  </r>
  <r>
    <d v="2024-12-28T00:00:00"/>
    <x v="1"/>
    <x v="4"/>
    <x v="2"/>
    <n v="2353"/>
    <b v="0"/>
    <s v="Cloudy"/>
    <x v="1"/>
    <s v="Dry"/>
    <s v="26-35"/>
    <n v="2"/>
    <s v="Medium"/>
    <s v="Expired"/>
    <b v="0"/>
    <n v="24"/>
    <s v="Haryana"/>
    <n v="1"/>
    <n v="3"/>
    <n v="1803"/>
    <x v="1"/>
    <s v="Not an Outliers"/>
  </r>
  <r>
    <d v="2024-12-28T00:00:00"/>
    <x v="0"/>
    <x v="3"/>
    <x v="1"/>
    <n v="1000"/>
    <b v="0"/>
    <s v="Rainy"/>
    <x v="0"/>
    <s v="Slippery"/>
    <s v="36-50"/>
    <n v="2"/>
    <s v="Low"/>
    <s v="Suspended"/>
    <b v="1"/>
    <n v="3"/>
    <s v="Delhi"/>
    <n v="3"/>
    <n v="2"/>
    <n v="2834"/>
    <x v="1"/>
    <s v="Not an Outliers"/>
  </r>
  <r>
    <d v="2024-12-28T00:00:00"/>
    <x v="0"/>
    <x v="4"/>
    <x v="3"/>
    <n v="3218"/>
    <b v="0"/>
    <s v="Cloudy"/>
    <x v="2"/>
    <s v="Dry"/>
    <s v="26-35"/>
    <n v="3"/>
    <s v="High"/>
    <s v="Expired"/>
    <b v="0"/>
    <n v="55"/>
    <s v="Haryana"/>
    <n v="2"/>
    <n v="1"/>
    <n v="3937"/>
    <x v="2"/>
    <s v="Not an Outlier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8">
  <r>
    <d v="2024-01-01T00:00:00"/>
    <s v="Sector 56"/>
    <s v="Bike"/>
    <x v="0"/>
    <n v="1000"/>
    <b v="0"/>
    <x v="0"/>
    <s v="Morning"/>
    <s v="Slippery"/>
    <s v="26-35"/>
    <n v="0"/>
    <s v="Medium"/>
    <s v="Suspended"/>
    <b v="0"/>
    <n v="103"/>
    <s v="Delhi"/>
    <n v="7"/>
    <n v="3"/>
    <n v="2190"/>
    <s v="Unpaid"/>
    <s v="Not an Outliers"/>
    <x v="0"/>
  </r>
  <r>
    <d v="2024-01-01T00:00:00"/>
    <s v="Sikanderpur"/>
    <s v="Truck"/>
    <x v="1"/>
    <n v="1000"/>
    <b v="0"/>
    <x v="1"/>
    <s v="Night"/>
    <s v="Wet"/>
    <s v="26-35"/>
    <n v="2"/>
    <s v="Medium"/>
    <s v="Valid"/>
    <b v="1"/>
    <n v="32"/>
    <s v="Delhi"/>
    <n v="7"/>
    <n v="2"/>
    <n v="3386"/>
    <s v="Paid"/>
    <s v="Not an Outliers"/>
    <x v="0"/>
  </r>
  <r>
    <d v="2024-01-01T00:00:00"/>
    <s v="Sector 29"/>
    <s v="Bus"/>
    <x v="1"/>
    <n v="1000"/>
    <b v="1"/>
    <x v="2"/>
    <s v="Afternoon"/>
    <s v="Dry"/>
    <s v="50+"/>
    <n v="5"/>
    <s v="High"/>
    <s v="Suspended"/>
    <b v="1"/>
    <n v="120"/>
    <s v="Delhi"/>
    <n v="9"/>
    <n v="2"/>
    <n v="3053"/>
    <s v="Paid"/>
    <s v="Not an Outliers"/>
    <x v="0"/>
  </r>
  <r>
    <d v="2024-01-01T00:00:00"/>
    <s v="NH-8"/>
    <s v="Auto-rickshaw"/>
    <x v="2"/>
    <n v="4050"/>
    <b v="0"/>
    <x v="3"/>
    <s v="Night"/>
    <s v="Dry"/>
    <s v="26-35"/>
    <n v="2"/>
    <s v="Low"/>
    <s v="Expired"/>
    <b v="1"/>
    <n v="72"/>
    <s v="Punjab"/>
    <n v="2"/>
    <n v="2"/>
    <n v="3796"/>
    <s v="Paid"/>
    <s v="Not an Outliers"/>
    <x v="0"/>
  </r>
  <r>
    <d v="2024-01-01T00:00:00"/>
    <s v="Rajiv Chowk"/>
    <s v="Bus"/>
    <x v="3"/>
    <n v="2548"/>
    <b v="0"/>
    <x v="1"/>
    <s v="Evening"/>
    <s v="Wet"/>
    <s v="36-50"/>
    <n v="4"/>
    <s v="Medium"/>
    <s v="Suspended"/>
    <b v="1"/>
    <n v="79"/>
    <s v="Uttar Pradesh"/>
    <n v="8"/>
    <n v="1"/>
    <n v="4831"/>
    <s v="Disputed"/>
    <s v="Not an Outliers"/>
    <x v="0"/>
  </r>
  <r>
    <d v="2024-01-01T00:00:00"/>
    <s v="Rajiv Chowk"/>
    <s v="Auto-rickshaw"/>
    <x v="4"/>
    <n v="9039"/>
    <b v="0"/>
    <x v="0"/>
    <s v="Evening"/>
    <s v="Wet"/>
    <s v="26-35"/>
    <n v="2"/>
    <s v="Low"/>
    <s v="Suspended"/>
    <b v="0"/>
    <n v="18"/>
    <s v="Haryana"/>
    <n v="10"/>
    <n v="3"/>
    <n v="2437"/>
    <s v="Disputed"/>
    <s v="Not an Outliers"/>
    <x v="0"/>
  </r>
  <r>
    <d v="2024-01-01T00:00:00"/>
    <s v="Sector 56"/>
    <s v="Truck"/>
    <x v="3"/>
    <n v="3653"/>
    <b v="0"/>
    <x v="0"/>
    <s v="Night"/>
    <s v="Under Construction"/>
    <s v="26-35"/>
    <n v="3"/>
    <s v="Medium"/>
    <s v="Valid"/>
    <b v="0"/>
    <n v="117"/>
    <s v="Rajasthan"/>
    <n v="10"/>
    <n v="2"/>
    <n v="573"/>
    <s v="Unpaid"/>
    <s v="Not an Outliers"/>
    <x v="0"/>
  </r>
  <r>
    <d v="2024-01-02T00:00:00"/>
    <s v="Huda City Center"/>
    <s v="Auto-rickshaw"/>
    <x v="3"/>
    <n v="1717"/>
    <b v="0"/>
    <x v="1"/>
    <s v="Evening"/>
    <s v="Wet"/>
    <s v="36-50"/>
    <n v="5"/>
    <s v="High"/>
    <s v="Learner"/>
    <b v="1"/>
    <n v="29"/>
    <s v="Rajasthan"/>
    <n v="8"/>
    <n v="3"/>
    <n v="1070"/>
    <s v="Disputed"/>
    <s v="Not an Outliers"/>
    <x v="0"/>
  </r>
  <r>
    <d v="2024-01-02T00:00:00"/>
    <s v="IFFCO Chowk"/>
    <s v="Bike"/>
    <x v="0"/>
    <n v="1000"/>
    <b v="0"/>
    <x v="2"/>
    <s v="Afternoon"/>
    <s v="Wet"/>
    <s v="50+"/>
    <n v="2"/>
    <s v="High"/>
    <s v="Suspended"/>
    <b v="1"/>
    <n v="11"/>
    <s v="Uttar Pradesh"/>
    <n v="9"/>
    <n v="3"/>
    <n v="3939"/>
    <s v="Paid"/>
    <s v="Not an Outliers"/>
    <x v="0"/>
  </r>
  <r>
    <d v="2024-01-02T00:00:00"/>
    <s v="Manesar Toll"/>
    <s v="Car"/>
    <x v="1"/>
    <n v="1000"/>
    <b v="0"/>
    <x v="3"/>
    <s v="Morning"/>
    <s v="Wet"/>
    <s v="26-35"/>
    <n v="5"/>
    <s v="Low"/>
    <s v="Valid"/>
    <b v="1"/>
    <n v="94"/>
    <s v="Rajasthan"/>
    <n v="1"/>
    <n v="2"/>
    <n v="4734"/>
    <s v="Disputed"/>
    <s v="Not an Outliers"/>
    <x v="0"/>
  </r>
  <r>
    <d v="2024-01-02T00:00:00"/>
    <s v="Huda City Center"/>
    <s v="Bike"/>
    <x v="2"/>
    <n v="1522"/>
    <b v="1"/>
    <x v="3"/>
    <s v="Morning"/>
    <s v="Under Construction"/>
    <s v="18-25"/>
    <n v="3"/>
    <s v="Medium"/>
    <s v="Expired"/>
    <b v="0"/>
    <n v="86"/>
    <s v="Punjab"/>
    <n v="7"/>
    <n v="3"/>
    <n v="4737"/>
    <s v="Paid"/>
    <s v="Not an Outliers"/>
    <x v="0"/>
  </r>
  <r>
    <d v="2024-01-03T00:00:00"/>
    <s v="Sohna Road near Iris Tech Park"/>
    <s v="Truck"/>
    <x v="5"/>
    <n v="3040"/>
    <b v="1"/>
    <x v="4"/>
    <s v="Evening"/>
    <s v="Slippery"/>
    <s v="18-25"/>
    <n v="4"/>
    <s v="Low"/>
    <s v="Learner"/>
    <b v="0"/>
    <n v="88"/>
    <s v="Punjab"/>
    <n v="4"/>
    <n v="2"/>
    <n v="764"/>
    <s v="Unpaid"/>
    <s v="Not an Outliers"/>
    <x v="0"/>
  </r>
  <r>
    <d v="2024-01-04T00:00:00"/>
    <s v="IFFCO Chowk"/>
    <s v="Bus"/>
    <x v="1"/>
    <n v="1000"/>
    <b v="1"/>
    <x v="2"/>
    <s v="Evening"/>
    <s v="Slippery"/>
    <s v="50+"/>
    <n v="1"/>
    <s v="Medium"/>
    <s v="Expired"/>
    <b v="1"/>
    <n v="74"/>
    <s v="Haryana"/>
    <n v="6"/>
    <n v="3"/>
    <n v="4985"/>
    <s v="Disputed"/>
    <s v="Not an Outliers"/>
    <x v="0"/>
  </r>
  <r>
    <d v="2024-01-04T00:00:00"/>
    <s v="Sector 29"/>
    <s v="Auto-rickshaw"/>
    <x v="2"/>
    <n v="1399"/>
    <b v="0"/>
    <x v="2"/>
    <s v="Evening"/>
    <s v="Wet"/>
    <s v="26-35"/>
    <n v="0"/>
    <s v="Low"/>
    <s v="Expired"/>
    <b v="0"/>
    <n v="64"/>
    <s v="Haryana"/>
    <n v="8"/>
    <n v="3"/>
    <n v="1885"/>
    <s v="Disputed"/>
    <s v="Not an Outliers"/>
    <x v="0"/>
  </r>
  <r>
    <d v="2024-01-04T00:00:00"/>
    <s v="MG Road"/>
    <s v="Bike"/>
    <x v="3"/>
    <n v="2329"/>
    <b v="0"/>
    <x v="2"/>
    <s v="Afternoon"/>
    <s v="Under Construction"/>
    <s v="26-35"/>
    <n v="1"/>
    <s v="High"/>
    <s v="Expired"/>
    <b v="0"/>
    <n v="92"/>
    <s v="Rajasthan"/>
    <n v="1"/>
    <n v="3"/>
    <n v="3131"/>
    <s v="Disputed"/>
    <s v="Not an Outliers"/>
    <x v="0"/>
  </r>
  <r>
    <d v="2024-01-04T00:00:00"/>
    <s v="IFFCO Chowk"/>
    <s v="Truck"/>
    <x v="3"/>
    <n v="2780"/>
    <b v="0"/>
    <x v="2"/>
    <s v="Evening"/>
    <s v="Slippery"/>
    <s v="50+"/>
    <n v="5"/>
    <s v="Medium"/>
    <s v="Valid"/>
    <b v="0"/>
    <n v="119"/>
    <s v="Rajasthan"/>
    <n v="1"/>
    <n v="1"/>
    <n v="1438"/>
    <s v="Unpaid"/>
    <s v="Not an Outliers"/>
    <x v="0"/>
  </r>
  <r>
    <d v="2024-01-05T00:00:00"/>
    <s v="Signature Tower Chowk"/>
    <s v="Auto-rickshaw"/>
    <x v="4"/>
    <n v="6948"/>
    <b v="1"/>
    <x v="4"/>
    <s v="Night"/>
    <s v="Under Construction"/>
    <s v="26-35"/>
    <n v="1"/>
    <s v="Low"/>
    <s v="Suspended"/>
    <b v="0"/>
    <n v="29"/>
    <s v="Haryana"/>
    <n v="9"/>
    <n v="1"/>
    <n v="4980"/>
    <s v="Unpaid"/>
    <s v="Not an Outliers"/>
    <x v="0"/>
  </r>
  <r>
    <d v="2024-01-05T00:00:00"/>
    <s v="Sector 29"/>
    <s v="Bus"/>
    <x v="3"/>
    <n v="4615"/>
    <b v="0"/>
    <x v="1"/>
    <s v="Night"/>
    <s v="Wet"/>
    <s v="50+"/>
    <n v="0"/>
    <s v="Medium"/>
    <s v="Suspended"/>
    <b v="1"/>
    <n v="14"/>
    <s v="Haryana"/>
    <n v="5"/>
    <n v="3"/>
    <n v="2103"/>
    <s v="Paid"/>
    <s v="Not an Outliers"/>
    <x v="0"/>
  </r>
  <r>
    <d v="2024-01-06T00:00:00"/>
    <s v="Sector 56"/>
    <s v="Car"/>
    <x v="4"/>
    <n v="9835"/>
    <b v="0"/>
    <x v="2"/>
    <s v="Morning"/>
    <s v="Under Construction"/>
    <s v="50+"/>
    <n v="3"/>
    <s v="Medium"/>
    <s v="Expired"/>
    <b v="0"/>
    <n v="68"/>
    <s v="Delhi"/>
    <n v="8"/>
    <n v="3"/>
    <n v="4275"/>
    <s v="Unpaid"/>
    <s v="Not an Outliers"/>
    <x v="1"/>
  </r>
  <r>
    <d v="2024-01-06T00:00:00"/>
    <s v="NH-8"/>
    <s v="Car"/>
    <x v="1"/>
    <n v="1000"/>
    <b v="0"/>
    <x v="1"/>
    <s v="Morning"/>
    <s v="Wet"/>
    <s v="26-35"/>
    <n v="1"/>
    <s v="High"/>
    <s v="Expired"/>
    <b v="0"/>
    <n v="28"/>
    <s v="Delhi"/>
    <n v="7"/>
    <n v="3"/>
    <n v="3711"/>
    <s v="Paid"/>
    <s v="Not an Outliers"/>
    <x v="1"/>
  </r>
  <r>
    <d v="2024-01-06T00:00:00"/>
    <s v="Huda City Center"/>
    <s v="Car"/>
    <x v="2"/>
    <n v="3313"/>
    <b v="1"/>
    <x v="4"/>
    <s v="Night"/>
    <s v="Wet"/>
    <s v="50+"/>
    <n v="3"/>
    <s v="High"/>
    <s v="Learner"/>
    <b v="0"/>
    <n v="70"/>
    <s v="Rajasthan"/>
    <n v="8"/>
    <n v="2"/>
    <n v="1443"/>
    <s v="Disputed"/>
    <s v="Not an Outliers"/>
    <x v="1"/>
  </r>
  <r>
    <d v="2024-01-06T00:00:00"/>
    <s v="Cyber City"/>
    <s v="Car"/>
    <x v="2"/>
    <n v="1462"/>
    <b v="0"/>
    <x v="4"/>
    <s v="Evening"/>
    <s v="Dry"/>
    <s v="36-50"/>
    <n v="5"/>
    <s v="Medium"/>
    <s v="Suspended"/>
    <b v="1"/>
    <n v="42"/>
    <s v="Punjab"/>
    <n v="10"/>
    <n v="3"/>
    <n v="2175"/>
    <s v="Unpaid"/>
    <s v="Not an Outliers"/>
    <x v="1"/>
  </r>
  <r>
    <d v="2024-01-07T00:00:00"/>
    <s v="Sikanderpur"/>
    <s v="Car"/>
    <x v="1"/>
    <n v="1000"/>
    <b v="0"/>
    <x v="2"/>
    <s v="Morning"/>
    <s v="Wet"/>
    <s v="50+"/>
    <n v="1"/>
    <s v="Low"/>
    <s v="Learner"/>
    <b v="0"/>
    <n v="5"/>
    <s v="Uttar Pradesh"/>
    <n v="8"/>
    <n v="2"/>
    <n v="2096"/>
    <s v="Disputed"/>
    <s v="Not an Outliers"/>
    <x v="1"/>
  </r>
  <r>
    <d v="2024-01-07T00:00:00"/>
    <s v="Udyog Vihar"/>
    <s v="Auto-rickshaw"/>
    <x v="3"/>
    <n v="3304"/>
    <b v="0"/>
    <x v="3"/>
    <s v="Afternoon"/>
    <s v="Wet"/>
    <s v="26-35"/>
    <n v="0"/>
    <s v="Low"/>
    <s v="Expired"/>
    <b v="1"/>
    <n v="40"/>
    <s v="Rajasthan"/>
    <n v="4"/>
    <n v="1"/>
    <n v="4415"/>
    <s v="Unpaid"/>
    <s v="Not an Outliers"/>
    <x v="1"/>
  </r>
  <r>
    <d v="2024-01-07T00:00:00"/>
    <s v="Sikanderpur"/>
    <s v="Auto-rickshaw"/>
    <x v="5"/>
    <n v="5937"/>
    <b v="0"/>
    <x v="3"/>
    <s v="Evening"/>
    <s v="Dry"/>
    <s v="26-35"/>
    <n v="4"/>
    <s v="High"/>
    <s v="Valid"/>
    <b v="1"/>
    <n v="78"/>
    <s v="Rajasthan"/>
    <n v="8"/>
    <n v="2"/>
    <n v="3732"/>
    <s v="Paid"/>
    <s v="Not an Outliers"/>
    <x v="1"/>
  </r>
  <r>
    <d v="2024-01-07T00:00:00"/>
    <s v="MG Road"/>
    <s v="Auto-rickshaw"/>
    <x v="3"/>
    <n v="1857"/>
    <b v="0"/>
    <x v="1"/>
    <s v="Night"/>
    <s v="Wet"/>
    <s v="18-25"/>
    <n v="3"/>
    <s v="High"/>
    <s v="Suspended"/>
    <b v="0"/>
    <n v="64"/>
    <s v="Uttar Pradesh"/>
    <n v="9"/>
    <n v="2"/>
    <n v="2722"/>
    <s v="Paid"/>
    <s v="Not an Outliers"/>
    <x v="1"/>
  </r>
  <r>
    <d v="2024-01-07T00:00:00"/>
    <s v="Sohna Road near Iris Tech Park"/>
    <s v="Bus"/>
    <x v="1"/>
    <n v="1000"/>
    <b v="0"/>
    <x v="4"/>
    <s v="Morning"/>
    <s v="Under Construction"/>
    <s v="18-25"/>
    <n v="1"/>
    <s v="High"/>
    <s v="Suspended"/>
    <b v="0"/>
    <n v="119"/>
    <s v="Punjab"/>
    <n v="2"/>
    <n v="2"/>
    <n v="791"/>
    <s v="Paid"/>
    <s v="Not an Outliers"/>
    <x v="1"/>
  </r>
  <r>
    <d v="2024-01-08T00:00:00"/>
    <s v="Cyber City"/>
    <s v="Truck"/>
    <x v="3"/>
    <n v="4484"/>
    <b v="0"/>
    <x v="4"/>
    <s v="Night"/>
    <s v="Dry"/>
    <s v="36-50"/>
    <n v="4"/>
    <s v="Low"/>
    <s v="Suspended"/>
    <b v="1"/>
    <n v="93"/>
    <s v="Uttar Pradesh"/>
    <n v="2"/>
    <n v="2"/>
    <n v="3193"/>
    <s v="Disputed"/>
    <s v="Not an Outliers"/>
    <x v="0"/>
  </r>
  <r>
    <d v="2024-01-09T00:00:00"/>
    <s v="Signature Tower Chowk"/>
    <s v="Bike"/>
    <x v="5"/>
    <n v="5259"/>
    <b v="0"/>
    <x v="2"/>
    <s v="Afternoon"/>
    <s v="Under Construction"/>
    <s v="18-25"/>
    <n v="5"/>
    <s v="High"/>
    <s v="Suspended"/>
    <b v="1"/>
    <n v="78"/>
    <s v="Punjab"/>
    <n v="9"/>
    <n v="2"/>
    <n v="3846"/>
    <s v="Paid"/>
    <s v="Not an Outliers"/>
    <x v="0"/>
  </r>
  <r>
    <d v="2024-01-09T00:00:00"/>
    <s v="Signature Tower Chowk"/>
    <s v="Bike"/>
    <x v="4"/>
    <n v="9662"/>
    <b v="0"/>
    <x v="3"/>
    <s v="Afternoon"/>
    <s v="Dry"/>
    <s v="18-25"/>
    <n v="2"/>
    <s v="Medium"/>
    <s v="Learner"/>
    <b v="0"/>
    <n v="113"/>
    <s v="Uttar Pradesh"/>
    <n v="4"/>
    <n v="3"/>
    <n v="1686"/>
    <s v="Paid"/>
    <s v="Not an Outliers"/>
    <x v="0"/>
  </r>
  <r>
    <d v="2024-01-09T00:00:00"/>
    <s v="MG Road"/>
    <s v="Car"/>
    <x v="3"/>
    <n v="4184"/>
    <b v="1"/>
    <x v="1"/>
    <s v="Evening"/>
    <s v="Dry"/>
    <s v="50+"/>
    <n v="2"/>
    <s v="Medium"/>
    <s v="Valid"/>
    <b v="1"/>
    <n v="8"/>
    <s v="Rajasthan"/>
    <n v="5"/>
    <n v="2"/>
    <n v="3051"/>
    <s v="Unpaid"/>
    <s v="Not an Outliers"/>
    <x v="0"/>
  </r>
  <r>
    <d v="2024-01-10T00:00:00"/>
    <s v="Manesar Toll"/>
    <s v="Bus"/>
    <x v="1"/>
    <n v="1000"/>
    <b v="0"/>
    <x v="2"/>
    <s v="Evening"/>
    <s v="Dry"/>
    <s v="36-50"/>
    <n v="1"/>
    <s v="High"/>
    <s v="Suspended"/>
    <b v="1"/>
    <n v="88"/>
    <s v="Rajasthan"/>
    <n v="4"/>
    <n v="2"/>
    <n v="3829"/>
    <s v="Disputed"/>
    <s v="Not an Outliers"/>
    <x v="0"/>
  </r>
  <r>
    <d v="2024-01-11T00:00:00"/>
    <s v="Cyber City"/>
    <s v="Truck"/>
    <x v="1"/>
    <n v="1000"/>
    <b v="0"/>
    <x v="3"/>
    <s v="Afternoon"/>
    <s v="Dry"/>
    <s v="18-25"/>
    <n v="2"/>
    <s v="High"/>
    <s v="Expired"/>
    <b v="1"/>
    <n v="34"/>
    <s v="Delhi"/>
    <n v="2"/>
    <n v="1"/>
    <n v="3705"/>
    <s v="Unpaid"/>
    <s v="Not an Outliers"/>
    <x v="0"/>
  </r>
  <r>
    <d v="2024-01-11T00:00:00"/>
    <s v="Manesar Toll"/>
    <s v="Auto-rickshaw"/>
    <x v="2"/>
    <n v="1818"/>
    <b v="1"/>
    <x v="2"/>
    <s v="Morning"/>
    <s v="Wet"/>
    <s v="36-50"/>
    <n v="1"/>
    <s v="High"/>
    <s v="Suspended"/>
    <b v="1"/>
    <n v="93"/>
    <s v="Rajasthan"/>
    <n v="6"/>
    <n v="2"/>
    <n v="2239"/>
    <s v="Paid"/>
    <s v="Not an Outliers"/>
    <x v="0"/>
  </r>
  <r>
    <d v="2024-01-12T00:00:00"/>
    <s v="Huda City Center"/>
    <s v="Auto-rickshaw"/>
    <x v="3"/>
    <n v="3172"/>
    <b v="0"/>
    <x v="0"/>
    <s v="Afternoon"/>
    <s v="Slippery"/>
    <s v="50+"/>
    <n v="4"/>
    <s v="Low"/>
    <s v="Valid"/>
    <b v="1"/>
    <n v="98"/>
    <s v="Punjab"/>
    <n v="10"/>
    <n v="1"/>
    <n v="2788"/>
    <s v="Paid"/>
    <s v="Not an Outliers"/>
    <x v="0"/>
  </r>
  <r>
    <d v="2024-01-12T00:00:00"/>
    <s v="IFFCO Chowk"/>
    <s v="Car"/>
    <x v="1"/>
    <n v="1000"/>
    <b v="0"/>
    <x v="4"/>
    <s v="Afternoon"/>
    <s v="Dry"/>
    <s v="50+"/>
    <n v="1"/>
    <s v="Medium"/>
    <s v="Suspended"/>
    <b v="0"/>
    <n v="15"/>
    <s v="Uttar Pradesh"/>
    <n v="6"/>
    <n v="3"/>
    <n v="3367"/>
    <s v="Disputed"/>
    <s v="Not an Outliers"/>
    <x v="0"/>
  </r>
  <r>
    <d v="2024-01-12T00:00:00"/>
    <s v="Sikanderpur"/>
    <s v="Bike"/>
    <x v="5"/>
    <n v="3681"/>
    <b v="0"/>
    <x v="1"/>
    <s v="Night"/>
    <s v="Dry"/>
    <s v="18-25"/>
    <n v="2"/>
    <s v="Medium"/>
    <s v="Suspended"/>
    <b v="0"/>
    <n v="57"/>
    <s v="Uttar Pradesh"/>
    <n v="3"/>
    <n v="1"/>
    <n v="3354"/>
    <s v="Unpaid"/>
    <s v="Not an Outliers"/>
    <x v="0"/>
  </r>
  <r>
    <d v="2024-01-12T00:00:00"/>
    <s v="Sohna Road near Iris Tech Park"/>
    <s v="Truck"/>
    <x v="1"/>
    <n v="1000"/>
    <b v="0"/>
    <x v="2"/>
    <s v="Afternoon"/>
    <s v="Under Construction"/>
    <s v="36-50"/>
    <n v="4"/>
    <s v="Low"/>
    <s v="Suspended"/>
    <b v="1"/>
    <n v="76"/>
    <s v="Uttar Pradesh"/>
    <n v="6"/>
    <n v="2"/>
    <n v="1301"/>
    <s v="Disputed"/>
    <s v="Not an Outliers"/>
    <x v="0"/>
  </r>
  <r>
    <d v="2024-01-13T00:00:00"/>
    <s v="Signature Tower Chowk"/>
    <s v="Bus"/>
    <x v="3"/>
    <n v="4415"/>
    <b v="1"/>
    <x v="4"/>
    <s v="Night"/>
    <s v="Dry"/>
    <s v="18-25"/>
    <n v="4"/>
    <s v="Low"/>
    <s v="Valid"/>
    <b v="1"/>
    <n v="34"/>
    <s v="Uttar Pradesh"/>
    <n v="3"/>
    <n v="3"/>
    <n v="4463"/>
    <s v="Paid"/>
    <s v="Not an Outliers"/>
    <x v="1"/>
  </r>
  <r>
    <d v="2024-01-13T00:00:00"/>
    <s v="IFFCO Chowk"/>
    <s v="Car"/>
    <x v="1"/>
    <n v="1000"/>
    <b v="0"/>
    <x v="2"/>
    <s v="Afternoon"/>
    <s v="Wet"/>
    <s v="50+"/>
    <n v="1"/>
    <s v="Low"/>
    <s v="Valid"/>
    <b v="0"/>
    <n v="119"/>
    <s v="Delhi"/>
    <n v="8"/>
    <n v="3"/>
    <n v="1423"/>
    <s v="Disputed"/>
    <s v="Not an Outliers"/>
    <x v="1"/>
  </r>
  <r>
    <d v="2024-01-13T00:00:00"/>
    <s v="Udyog Vihar"/>
    <s v="Bus"/>
    <x v="2"/>
    <n v="4316"/>
    <b v="1"/>
    <x v="0"/>
    <s v="Morning"/>
    <s v="Under Construction"/>
    <s v="18-25"/>
    <n v="3"/>
    <s v="High"/>
    <s v="Learner"/>
    <b v="1"/>
    <n v="92"/>
    <s v="Delhi"/>
    <n v="10"/>
    <n v="1"/>
    <n v="4854"/>
    <s v="Unpaid"/>
    <s v="Not an Outliers"/>
    <x v="1"/>
  </r>
  <r>
    <d v="2024-01-13T00:00:00"/>
    <s v="Sector 56"/>
    <s v="Bike"/>
    <x v="0"/>
    <n v="1000"/>
    <b v="0"/>
    <x v="2"/>
    <s v="Evening"/>
    <s v="Slippery"/>
    <s v="18-25"/>
    <n v="4"/>
    <s v="Low"/>
    <s v="Learner"/>
    <b v="0"/>
    <n v="56"/>
    <s v="Haryana"/>
    <n v="9"/>
    <n v="2"/>
    <n v="1894"/>
    <s v="Disputed"/>
    <s v="Not an Outliers"/>
    <x v="1"/>
  </r>
  <r>
    <d v="2024-01-13T00:00:00"/>
    <s v="Cyber City"/>
    <s v="Auto-rickshaw"/>
    <x v="5"/>
    <n v="5617"/>
    <b v="0"/>
    <x v="2"/>
    <s v="Morning"/>
    <s v="Under Construction"/>
    <s v="18-25"/>
    <n v="5"/>
    <s v="High"/>
    <s v="Valid"/>
    <b v="1"/>
    <n v="72"/>
    <s v="Punjab"/>
    <n v="8"/>
    <n v="3"/>
    <n v="547"/>
    <s v="Unpaid"/>
    <s v="Not an Outliers"/>
    <x v="1"/>
  </r>
  <r>
    <d v="2024-01-13T00:00:00"/>
    <s v="Sector 29"/>
    <s v="Bike"/>
    <x v="4"/>
    <n v="8843"/>
    <b v="1"/>
    <x v="4"/>
    <s v="Night"/>
    <s v="Wet"/>
    <s v="36-50"/>
    <n v="2"/>
    <s v="Medium"/>
    <s v="Expired"/>
    <b v="1"/>
    <n v="59"/>
    <s v="Delhi"/>
    <n v="3"/>
    <n v="2"/>
    <n v="2206"/>
    <s v="Unpaid"/>
    <s v="Not an Outliers"/>
    <x v="1"/>
  </r>
  <r>
    <d v="2024-01-14T00:00:00"/>
    <s v="Udyog Vihar"/>
    <s v="Car"/>
    <x v="1"/>
    <n v="1000"/>
    <b v="0"/>
    <x v="3"/>
    <s v="Afternoon"/>
    <s v="Dry"/>
    <s v="26-35"/>
    <n v="0"/>
    <s v="Low"/>
    <s v="Learner"/>
    <b v="0"/>
    <n v="59"/>
    <s v="Rajasthan"/>
    <n v="8"/>
    <n v="1"/>
    <n v="1978"/>
    <s v="Unpaid"/>
    <s v="Not an Outliers"/>
    <x v="1"/>
  </r>
  <r>
    <d v="2024-01-14T00:00:00"/>
    <s v="Sheetala Mata Road"/>
    <s v="Bus"/>
    <x v="2"/>
    <n v="1511"/>
    <b v="1"/>
    <x v="3"/>
    <s v="Night"/>
    <s v="Dry"/>
    <s v="26-35"/>
    <n v="2"/>
    <s v="Medium"/>
    <s v="Valid"/>
    <b v="1"/>
    <n v="54"/>
    <s v="Uttar Pradesh"/>
    <n v="1"/>
    <n v="1"/>
    <n v="667"/>
    <s v="Disputed"/>
    <s v="Not an Outliers"/>
    <x v="1"/>
  </r>
  <r>
    <d v="2024-01-14T00:00:00"/>
    <s v="Udyog Vihar"/>
    <s v="Truck"/>
    <x v="4"/>
    <n v="5836"/>
    <b v="0"/>
    <x v="4"/>
    <s v="Afternoon"/>
    <s v="Wet"/>
    <s v="36-50"/>
    <n v="4"/>
    <s v="Low"/>
    <s v="Learner"/>
    <b v="0"/>
    <n v="63"/>
    <s v="Punjab"/>
    <n v="9"/>
    <n v="1"/>
    <n v="2817"/>
    <s v="Paid"/>
    <s v="Not an Outliers"/>
    <x v="1"/>
  </r>
  <r>
    <d v="2024-01-14T00:00:00"/>
    <s v="Cyber City"/>
    <s v="Auto-rickshaw"/>
    <x v="1"/>
    <n v="1000"/>
    <b v="1"/>
    <x v="2"/>
    <s v="Morning"/>
    <s v="Under Construction"/>
    <s v="26-35"/>
    <n v="0"/>
    <s v="Low"/>
    <s v="Valid"/>
    <b v="0"/>
    <n v="114"/>
    <s v="Uttar Pradesh"/>
    <n v="7"/>
    <n v="3"/>
    <n v="4674"/>
    <s v="Paid"/>
    <s v="Not an Outliers"/>
    <x v="1"/>
  </r>
  <r>
    <d v="2024-01-15T00:00:00"/>
    <s v="Golf Course Road"/>
    <s v="Truck"/>
    <x v="2"/>
    <n v="1757"/>
    <b v="1"/>
    <x v="0"/>
    <s v="Morning"/>
    <s v="Slippery"/>
    <s v="36-50"/>
    <n v="1"/>
    <s v="Low"/>
    <s v="Expired"/>
    <b v="0"/>
    <n v="33"/>
    <s v="Haryana"/>
    <n v="2"/>
    <n v="1"/>
    <n v="1272"/>
    <s v="Paid"/>
    <s v="Not an Outliers"/>
    <x v="0"/>
  </r>
  <r>
    <d v="2024-01-15T00:00:00"/>
    <s v="Sector 56"/>
    <s v="Bus"/>
    <x v="4"/>
    <n v="5002"/>
    <b v="0"/>
    <x v="0"/>
    <s v="Evening"/>
    <s v="Wet"/>
    <s v="26-35"/>
    <n v="1"/>
    <s v="Medium"/>
    <s v="Learner"/>
    <b v="0"/>
    <n v="116"/>
    <s v="Delhi"/>
    <n v="6"/>
    <n v="3"/>
    <n v="2094"/>
    <s v="Paid"/>
    <s v="Not an Outliers"/>
    <x v="0"/>
  </r>
  <r>
    <d v="2024-01-16T00:00:00"/>
    <s v="MG Road"/>
    <s v="Auto-rickshaw"/>
    <x v="2"/>
    <n v="3069"/>
    <b v="1"/>
    <x v="4"/>
    <s v="Afternoon"/>
    <s v="Slippery"/>
    <s v="18-25"/>
    <n v="1"/>
    <s v="Medium"/>
    <s v="Valid"/>
    <b v="1"/>
    <n v="120"/>
    <s v="Rajasthan"/>
    <n v="8"/>
    <n v="3"/>
    <n v="4738"/>
    <s v="Paid"/>
    <s v="Not an Outliers"/>
    <x v="0"/>
  </r>
  <r>
    <d v="2024-01-16T00:00:00"/>
    <s v="Cyber City"/>
    <s v="Bike"/>
    <x v="0"/>
    <n v="1000"/>
    <b v="0"/>
    <x v="3"/>
    <s v="Morning"/>
    <s v="Slippery"/>
    <s v="18-25"/>
    <n v="2"/>
    <s v="High"/>
    <s v="Expired"/>
    <b v="0"/>
    <n v="50"/>
    <s v="Delhi"/>
    <n v="3"/>
    <n v="3"/>
    <n v="1161"/>
    <s v="Disputed"/>
    <s v="Not an Outliers"/>
    <x v="0"/>
  </r>
  <r>
    <d v="2024-01-17T00:00:00"/>
    <s v="Sector 29"/>
    <s v="Bus"/>
    <x v="5"/>
    <n v="3296"/>
    <b v="0"/>
    <x v="2"/>
    <s v="Evening"/>
    <s v="Dry"/>
    <s v="50+"/>
    <n v="5"/>
    <s v="High"/>
    <s v="Suspended"/>
    <b v="0"/>
    <n v="89"/>
    <s v="Uttar Pradesh"/>
    <n v="6"/>
    <n v="2"/>
    <n v="3625"/>
    <s v="Unpaid"/>
    <s v="Not an Outliers"/>
    <x v="0"/>
  </r>
  <r>
    <d v="2024-01-17T00:00:00"/>
    <s v="Sector 29"/>
    <s v="Truck"/>
    <x v="5"/>
    <n v="6379"/>
    <b v="1"/>
    <x v="1"/>
    <s v="Night"/>
    <s v="Slippery"/>
    <s v="50+"/>
    <n v="2"/>
    <s v="Medium"/>
    <s v="Learner"/>
    <b v="0"/>
    <n v="88"/>
    <s v="Punjab"/>
    <n v="7"/>
    <n v="1"/>
    <n v="2484"/>
    <s v="Disputed"/>
    <s v="Not an Outliers"/>
    <x v="0"/>
  </r>
  <r>
    <d v="2024-01-18T00:00:00"/>
    <s v="Sohna Road near Iris Tech Park"/>
    <s v="Car"/>
    <x v="5"/>
    <n v="4725"/>
    <b v="1"/>
    <x v="4"/>
    <s v="Night"/>
    <s v="Slippery"/>
    <s v="50+"/>
    <n v="5"/>
    <s v="Low"/>
    <s v="Valid"/>
    <b v="1"/>
    <n v="27"/>
    <s v="Rajasthan"/>
    <n v="4"/>
    <n v="2"/>
    <n v="3879"/>
    <s v="Disputed"/>
    <s v="Not an Outliers"/>
    <x v="0"/>
  </r>
  <r>
    <d v="2024-01-18T00:00:00"/>
    <s v="Sikanderpur"/>
    <s v="Car"/>
    <x v="5"/>
    <n v="4114"/>
    <b v="0"/>
    <x v="2"/>
    <s v="Afternoon"/>
    <s v="Dry"/>
    <s v="18-25"/>
    <n v="3"/>
    <s v="High"/>
    <s v="Expired"/>
    <b v="0"/>
    <n v="67"/>
    <s v="Delhi"/>
    <n v="8"/>
    <n v="3"/>
    <n v="2646"/>
    <s v="Unpaid"/>
    <s v="Not an Outliers"/>
    <x v="0"/>
  </r>
  <r>
    <d v="2024-01-18T00:00:00"/>
    <s v="NH-8"/>
    <s v="Car"/>
    <x v="4"/>
    <n v="43125"/>
    <b v="0"/>
    <x v="2"/>
    <s v="Evening"/>
    <s v="Wet"/>
    <s v="36-50"/>
    <n v="5"/>
    <s v="High"/>
    <s v="Valid"/>
    <b v="1"/>
    <n v="3"/>
    <s v="Haryana"/>
    <n v="10"/>
    <n v="1"/>
    <n v="3722"/>
    <s v="Unpaid"/>
    <s v="Outliers"/>
    <x v="0"/>
  </r>
  <r>
    <d v="2024-01-19T00:00:00"/>
    <s v="Cyber City"/>
    <s v="Bus"/>
    <x v="5"/>
    <n v="3717"/>
    <b v="0"/>
    <x v="0"/>
    <s v="Evening"/>
    <s v="Dry"/>
    <s v="26-35"/>
    <n v="2"/>
    <s v="Low"/>
    <s v="Learner"/>
    <b v="1"/>
    <n v="45"/>
    <s v="Haryana"/>
    <n v="1"/>
    <n v="3"/>
    <n v="1884"/>
    <s v="Unpaid"/>
    <s v="Not an Outliers"/>
    <x v="0"/>
  </r>
  <r>
    <d v="2024-01-19T00:00:00"/>
    <s v="Cyber City"/>
    <s v="Auto-rickshaw"/>
    <x v="1"/>
    <n v="1000"/>
    <b v="0"/>
    <x v="2"/>
    <s v="Night"/>
    <s v="Dry"/>
    <s v="36-50"/>
    <n v="4"/>
    <s v="Medium"/>
    <s v="Learner"/>
    <b v="1"/>
    <n v="105"/>
    <s v="Uttar Pradesh"/>
    <n v="3"/>
    <n v="1"/>
    <n v="4503"/>
    <s v="Disputed"/>
    <s v="Not an Outliers"/>
    <x v="0"/>
  </r>
  <r>
    <d v="2024-01-19T00:00:00"/>
    <s v="Signature Tower Chowk"/>
    <s v="Bus"/>
    <x v="1"/>
    <n v="1000"/>
    <b v="1"/>
    <x v="2"/>
    <s v="Evening"/>
    <s v="Slippery"/>
    <s v="26-35"/>
    <n v="4"/>
    <s v="Low"/>
    <s v="Suspended"/>
    <b v="1"/>
    <n v="77"/>
    <s v="Haryana"/>
    <n v="4"/>
    <n v="1"/>
    <n v="4373"/>
    <s v="Unpaid"/>
    <s v="Not an Outliers"/>
    <x v="0"/>
  </r>
  <r>
    <d v="2024-01-20T00:00:00"/>
    <s v="Rajiv Chowk"/>
    <s v="Bus"/>
    <x v="3"/>
    <n v="4030"/>
    <b v="1"/>
    <x v="3"/>
    <s v="Evening"/>
    <s v="Dry"/>
    <s v="36-50"/>
    <n v="5"/>
    <s v="Medium"/>
    <s v="Expired"/>
    <b v="1"/>
    <n v="45"/>
    <s v="Haryana"/>
    <n v="2"/>
    <n v="3"/>
    <n v="1971"/>
    <s v="Paid"/>
    <s v="Not an Outliers"/>
    <x v="1"/>
  </r>
  <r>
    <d v="2024-01-20T00:00:00"/>
    <s v="Rajiv Chowk"/>
    <s v="Bus"/>
    <x v="5"/>
    <n v="7488"/>
    <b v="0"/>
    <x v="3"/>
    <s v="Afternoon"/>
    <s v="Wet"/>
    <s v="36-50"/>
    <n v="1"/>
    <s v="High"/>
    <s v="Learner"/>
    <b v="0"/>
    <n v="106"/>
    <s v="Rajasthan"/>
    <n v="5"/>
    <n v="1"/>
    <n v="1397"/>
    <s v="Paid"/>
    <s v="Not an Outliers"/>
    <x v="1"/>
  </r>
  <r>
    <d v="2024-01-20T00:00:00"/>
    <s v="Huda City Center"/>
    <s v="Bus"/>
    <x v="4"/>
    <n v="6232"/>
    <b v="0"/>
    <x v="2"/>
    <s v="Evening"/>
    <s v="Wet"/>
    <s v="36-50"/>
    <n v="3"/>
    <s v="Medium"/>
    <s v="Valid"/>
    <b v="0"/>
    <n v="12"/>
    <s v="Uttar Pradesh"/>
    <n v="3"/>
    <n v="1"/>
    <n v="2663"/>
    <s v="Paid"/>
    <s v="Not an Outliers"/>
    <x v="1"/>
  </r>
  <r>
    <d v="2024-01-20T00:00:00"/>
    <s v="Sikanderpur"/>
    <s v="Truck"/>
    <x v="4"/>
    <n v="9477"/>
    <b v="0"/>
    <x v="1"/>
    <s v="Evening"/>
    <s v="Dry"/>
    <s v="26-35"/>
    <n v="1"/>
    <s v="Medium"/>
    <s v="Expired"/>
    <b v="1"/>
    <n v="110"/>
    <s v="Delhi"/>
    <n v="4"/>
    <n v="2"/>
    <n v="2959"/>
    <s v="Disputed"/>
    <s v="Not an Outliers"/>
    <x v="1"/>
  </r>
  <r>
    <d v="2024-01-20T00:00:00"/>
    <s v="Manesar Toll"/>
    <s v="Auto-rickshaw"/>
    <x v="5"/>
    <n v="7689"/>
    <b v="1"/>
    <x v="0"/>
    <s v="Evening"/>
    <s v="Dry"/>
    <s v="18-25"/>
    <n v="0"/>
    <s v="Medium"/>
    <s v="Suspended"/>
    <b v="0"/>
    <n v="22"/>
    <s v="Uttar Pradesh"/>
    <n v="7"/>
    <n v="3"/>
    <n v="1976"/>
    <s v="Paid"/>
    <s v="Not an Outliers"/>
    <x v="1"/>
  </r>
  <r>
    <d v="2024-01-20T00:00:00"/>
    <s v="Rajiv Chowk"/>
    <s v="Truck"/>
    <x v="3"/>
    <n v="4699"/>
    <b v="0"/>
    <x v="0"/>
    <s v="Night"/>
    <s v="Dry"/>
    <s v="26-35"/>
    <n v="2"/>
    <s v="Low"/>
    <s v="Expired"/>
    <b v="0"/>
    <n v="93"/>
    <s v="Uttar Pradesh"/>
    <n v="2"/>
    <n v="1"/>
    <n v="4918"/>
    <s v="Unpaid"/>
    <s v="Not an Outliers"/>
    <x v="1"/>
  </r>
  <r>
    <d v="2024-01-21T00:00:00"/>
    <s v="Udyog Vihar"/>
    <s v="Bike"/>
    <x v="0"/>
    <n v="1000"/>
    <b v="1"/>
    <x v="3"/>
    <s v="Afternoon"/>
    <s v="Dry"/>
    <s v="26-35"/>
    <n v="2"/>
    <s v="Low"/>
    <s v="Valid"/>
    <b v="1"/>
    <n v="50"/>
    <s v="Punjab"/>
    <n v="2"/>
    <n v="1"/>
    <n v="3495"/>
    <s v="Disputed"/>
    <s v="Not an Outliers"/>
    <x v="1"/>
  </r>
  <r>
    <d v="2024-01-21T00:00:00"/>
    <s v="Signature Tower Chowk"/>
    <s v="Bike"/>
    <x v="3"/>
    <n v="4251"/>
    <b v="0"/>
    <x v="4"/>
    <s v="Morning"/>
    <s v="Slippery"/>
    <s v="50+"/>
    <n v="3"/>
    <s v="Low"/>
    <s v="Learner"/>
    <b v="1"/>
    <n v="25"/>
    <s v="Haryana"/>
    <n v="3"/>
    <n v="2"/>
    <n v="4162"/>
    <s v="Unpaid"/>
    <s v="Not an Outliers"/>
    <x v="1"/>
  </r>
  <r>
    <d v="2024-01-21T00:00:00"/>
    <s v="Sohna Road near Iris Tech Park"/>
    <s v="Auto-rickshaw"/>
    <x v="3"/>
    <n v="2465"/>
    <b v="0"/>
    <x v="0"/>
    <s v="Afternoon"/>
    <s v="Dry"/>
    <s v="50+"/>
    <n v="3"/>
    <s v="High"/>
    <s v="Learner"/>
    <b v="1"/>
    <n v="47"/>
    <s v="Punjab"/>
    <n v="3"/>
    <n v="3"/>
    <n v="1264"/>
    <s v="Unpaid"/>
    <s v="Not an Outliers"/>
    <x v="1"/>
  </r>
  <r>
    <d v="2024-01-22T00:00:00"/>
    <s v="Cyber City"/>
    <s v="Bike"/>
    <x v="5"/>
    <n v="4602"/>
    <b v="0"/>
    <x v="1"/>
    <s v="Night"/>
    <s v="Dry"/>
    <s v="36-50"/>
    <n v="1"/>
    <s v="High"/>
    <s v="Suspended"/>
    <b v="1"/>
    <n v="76"/>
    <s v="Delhi"/>
    <n v="5"/>
    <n v="1"/>
    <n v="1937"/>
    <s v="Disputed"/>
    <s v="Not an Outliers"/>
    <x v="0"/>
  </r>
  <r>
    <d v="2024-01-22T00:00:00"/>
    <s v="Sikanderpur"/>
    <s v="Bus"/>
    <x v="2"/>
    <n v="2139"/>
    <b v="1"/>
    <x v="0"/>
    <s v="Morning"/>
    <s v="Dry"/>
    <s v="36-50"/>
    <n v="1"/>
    <s v="Medium"/>
    <s v="Expired"/>
    <b v="1"/>
    <n v="27"/>
    <s v="Punjab"/>
    <n v="9"/>
    <n v="3"/>
    <n v="3142"/>
    <s v="Paid"/>
    <s v="Not an Outliers"/>
    <x v="0"/>
  </r>
  <r>
    <d v="2024-01-22T00:00:00"/>
    <s v="Cyber City"/>
    <s v="Truck"/>
    <x v="3"/>
    <n v="4702"/>
    <b v="0"/>
    <x v="0"/>
    <s v="Morning"/>
    <s v="Slippery"/>
    <s v="26-35"/>
    <n v="3"/>
    <s v="Low"/>
    <s v="Expired"/>
    <b v="1"/>
    <n v="0"/>
    <s v="Delhi"/>
    <n v="10"/>
    <n v="1"/>
    <n v="3597"/>
    <s v="Disputed"/>
    <s v="Not an Outliers"/>
    <x v="0"/>
  </r>
  <r>
    <d v="2024-01-23T00:00:00"/>
    <s v="Sector 56"/>
    <s v="Bus"/>
    <x v="3"/>
    <n v="4256"/>
    <b v="1"/>
    <x v="4"/>
    <s v="Night"/>
    <s v="Under Construction"/>
    <s v="26-35"/>
    <n v="5"/>
    <s v="High"/>
    <s v="Valid"/>
    <b v="1"/>
    <n v="22"/>
    <s v="Punjab"/>
    <n v="1"/>
    <n v="1"/>
    <n v="2258"/>
    <s v="Unpaid"/>
    <s v="Not an Outliers"/>
    <x v="0"/>
  </r>
  <r>
    <d v="2024-01-23T00:00:00"/>
    <s v="NH-8"/>
    <s v="Car"/>
    <x v="1"/>
    <n v="1000"/>
    <b v="0"/>
    <x v="2"/>
    <s v="Evening"/>
    <s v="Dry"/>
    <s v="50+"/>
    <n v="4"/>
    <s v="Medium"/>
    <s v="Expired"/>
    <b v="1"/>
    <n v="60"/>
    <s v="Delhi"/>
    <n v="10"/>
    <n v="2"/>
    <n v="1946"/>
    <s v="Unpaid"/>
    <s v="Not an Outliers"/>
    <x v="0"/>
  </r>
  <r>
    <d v="2024-01-23T00:00:00"/>
    <s v="Cyber City"/>
    <s v="Auto-rickshaw"/>
    <x v="2"/>
    <n v="1118"/>
    <b v="1"/>
    <x v="1"/>
    <s v="Afternoon"/>
    <s v="Wet"/>
    <s v="26-35"/>
    <n v="5"/>
    <s v="Low"/>
    <s v="Valid"/>
    <b v="0"/>
    <n v="54"/>
    <s v="Delhi"/>
    <n v="9"/>
    <n v="2"/>
    <n v="3170"/>
    <s v="Unpaid"/>
    <s v="Not an Outliers"/>
    <x v="0"/>
  </r>
  <r>
    <d v="2024-01-23T00:00:00"/>
    <s v="MG Road"/>
    <s v="Auto-rickshaw"/>
    <x v="1"/>
    <n v="1000"/>
    <b v="0"/>
    <x v="3"/>
    <s v="Evening"/>
    <s v="Under Construction"/>
    <s v="36-50"/>
    <n v="1"/>
    <s v="Medium"/>
    <s v="Learner"/>
    <b v="1"/>
    <n v="44"/>
    <s v="Rajasthan"/>
    <n v="1"/>
    <n v="2"/>
    <n v="1788"/>
    <s v="Disputed"/>
    <s v="Not an Outliers"/>
    <x v="0"/>
  </r>
  <r>
    <d v="2024-01-23T00:00:00"/>
    <s v="MG Road"/>
    <s v="Bus"/>
    <x v="3"/>
    <n v="4189"/>
    <b v="0"/>
    <x v="2"/>
    <s v="Evening"/>
    <s v="Under Construction"/>
    <s v="18-25"/>
    <n v="0"/>
    <s v="High"/>
    <s v="Learner"/>
    <b v="0"/>
    <n v="69"/>
    <s v="Uttar Pradesh"/>
    <n v="4"/>
    <n v="2"/>
    <n v="636"/>
    <s v="Unpaid"/>
    <s v="Not an Outliers"/>
    <x v="0"/>
  </r>
  <r>
    <d v="2024-01-23T00:00:00"/>
    <s v="IFFCO Chowk"/>
    <s v="Bus"/>
    <x v="3"/>
    <n v="3785"/>
    <b v="1"/>
    <x v="3"/>
    <s v="Night"/>
    <s v="Dry"/>
    <s v="50+"/>
    <n v="4"/>
    <s v="Medium"/>
    <s v="Suspended"/>
    <b v="0"/>
    <n v="35"/>
    <s v="Punjab"/>
    <n v="8"/>
    <n v="1"/>
    <n v="1298"/>
    <s v="Paid"/>
    <s v="Not an Outliers"/>
    <x v="0"/>
  </r>
  <r>
    <d v="2024-01-24T00:00:00"/>
    <s v="Sector 56"/>
    <s v="Car"/>
    <x v="1"/>
    <n v="1000"/>
    <b v="0"/>
    <x v="4"/>
    <s v="Morning"/>
    <s v="Wet"/>
    <s v="18-25"/>
    <n v="2"/>
    <s v="High"/>
    <s v="Valid"/>
    <b v="1"/>
    <n v="78"/>
    <s v="Uttar Pradesh"/>
    <n v="10"/>
    <n v="2"/>
    <n v="3456"/>
    <s v="Unpaid"/>
    <s v="Not an Outliers"/>
    <x v="0"/>
  </r>
  <r>
    <d v="2024-01-24T00:00:00"/>
    <s v="Sikanderpur"/>
    <s v="Car"/>
    <x v="1"/>
    <n v="1000"/>
    <b v="0"/>
    <x v="0"/>
    <s v="Morning"/>
    <s v="Wet"/>
    <s v="36-50"/>
    <n v="5"/>
    <s v="Low"/>
    <s v="Expired"/>
    <b v="1"/>
    <n v="75"/>
    <s v="Rajasthan"/>
    <n v="9"/>
    <n v="3"/>
    <n v="1993"/>
    <s v="Paid"/>
    <s v="Not an Outliers"/>
    <x v="0"/>
  </r>
  <r>
    <d v="2024-01-24T00:00:00"/>
    <s v="Huda City Center"/>
    <s v="Bus"/>
    <x v="2"/>
    <n v="3903"/>
    <b v="0"/>
    <x v="2"/>
    <s v="Night"/>
    <s v="Under Construction"/>
    <s v="26-35"/>
    <n v="4"/>
    <s v="High"/>
    <s v="Learner"/>
    <b v="0"/>
    <n v="109"/>
    <s v="Haryana"/>
    <n v="3"/>
    <n v="3"/>
    <n v="3570"/>
    <s v="Unpaid"/>
    <s v="Not an Outliers"/>
    <x v="0"/>
  </r>
  <r>
    <d v="2024-01-24T00:00:00"/>
    <s v="Golf Course Road"/>
    <s v="Car"/>
    <x v="1"/>
    <n v="1000"/>
    <b v="0"/>
    <x v="1"/>
    <s v="Morning"/>
    <s v="Dry"/>
    <s v="36-50"/>
    <n v="2"/>
    <s v="Medium"/>
    <s v="Learner"/>
    <b v="0"/>
    <n v="92"/>
    <s v="Rajasthan"/>
    <n v="4"/>
    <n v="1"/>
    <n v="2169"/>
    <s v="Unpaid"/>
    <s v="Not an Outliers"/>
    <x v="0"/>
  </r>
  <r>
    <d v="2024-01-24T00:00:00"/>
    <s v="Sector 29"/>
    <s v="Auto-rickshaw"/>
    <x v="1"/>
    <n v="1000"/>
    <b v="1"/>
    <x v="0"/>
    <s v="Morning"/>
    <s v="Under Construction"/>
    <s v="36-50"/>
    <n v="5"/>
    <s v="High"/>
    <s v="Learner"/>
    <b v="1"/>
    <n v="63"/>
    <s v="Punjab"/>
    <n v="8"/>
    <n v="2"/>
    <n v="2835"/>
    <s v="Unpaid"/>
    <s v="Not an Outliers"/>
    <x v="0"/>
  </r>
  <r>
    <d v="2024-01-24T00:00:00"/>
    <s v="NH-8"/>
    <s v="Bus"/>
    <x v="5"/>
    <n v="7452"/>
    <b v="1"/>
    <x v="0"/>
    <s v="Night"/>
    <s v="Under Construction"/>
    <s v="26-35"/>
    <n v="1"/>
    <s v="High"/>
    <s v="Valid"/>
    <b v="1"/>
    <n v="119"/>
    <s v="Delhi"/>
    <n v="5"/>
    <n v="3"/>
    <n v="1284"/>
    <s v="Paid"/>
    <s v="Not an Outliers"/>
    <x v="0"/>
  </r>
  <r>
    <d v="2024-01-25T00:00:00"/>
    <s v="MG Road"/>
    <s v="Auto-rickshaw"/>
    <x v="3"/>
    <n v="4529"/>
    <b v="1"/>
    <x v="1"/>
    <s v="Morning"/>
    <s v="Slippery"/>
    <s v="18-25"/>
    <n v="1"/>
    <s v="Medium"/>
    <s v="Learner"/>
    <b v="0"/>
    <n v="8"/>
    <s v="Punjab"/>
    <n v="2"/>
    <n v="1"/>
    <n v="1223"/>
    <s v="Disputed"/>
    <s v="Not an Outliers"/>
    <x v="0"/>
  </r>
  <r>
    <d v="2024-01-25T00:00:00"/>
    <s v="Sohna Road near Iris Tech Park"/>
    <s v="Car"/>
    <x v="5"/>
    <n v="3465"/>
    <b v="0"/>
    <x v="2"/>
    <s v="Afternoon"/>
    <s v="Dry"/>
    <s v="36-50"/>
    <n v="0"/>
    <s v="Medium"/>
    <s v="Suspended"/>
    <b v="0"/>
    <n v="42"/>
    <s v="Punjab"/>
    <n v="1"/>
    <n v="2"/>
    <n v="1884"/>
    <s v="Unpaid"/>
    <s v="Not an Outliers"/>
    <x v="0"/>
  </r>
  <r>
    <d v="2024-01-26T00:00:00"/>
    <s v="Golf Course Road"/>
    <s v="Truck"/>
    <x v="3"/>
    <n v="2643"/>
    <b v="0"/>
    <x v="2"/>
    <s v="Evening"/>
    <s v="Slippery"/>
    <s v="50+"/>
    <n v="4"/>
    <s v="Low"/>
    <s v="Learner"/>
    <b v="1"/>
    <n v="46"/>
    <s v="Uttar Pradesh"/>
    <n v="2"/>
    <n v="3"/>
    <n v="4158"/>
    <s v="Paid"/>
    <s v="Not an Outliers"/>
    <x v="0"/>
  </r>
  <r>
    <d v="2024-01-26T00:00:00"/>
    <s v="Golf Course Road"/>
    <s v="Car"/>
    <x v="4"/>
    <n v="7331"/>
    <b v="0"/>
    <x v="0"/>
    <s v="Morning"/>
    <s v="Dry"/>
    <s v="50+"/>
    <n v="1"/>
    <s v="Medium"/>
    <s v="Expired"/>
    <b v="1"/>
    <n v="10"/>
    <s v="Punjab"/>
    <n v="6"/>
    <n v="1"/>
    <n v="2304"/>
    <s v="Disputed"/>
    <s v="Not an Outliers"/>
    <x v="0"/>
  </r>
  <r>
    <d v="2024-01-26T00:00:00"/>
    <s v="Sector 29"/>
    <s v="Bike"/>
    <x v="0"/>
    <n v="1000"/>
    <b v="1"/>
    <x v="2"/>
    <s v="Afternoon"/>
    <s v="Under Construction"/>
    <s v="18-25"/>
    <n v="2"/>
    <s v="High"/>
    <s v="Valid"/>
    <b v="0"/>
    <n v="81"/>
    <s v="Rajasthan"/>
    <n v="10"/>
    <n v="3"/>
    <n v="3443"/>
    <s v="Unpaid"/>
    <s v="Not an Outliers"/>
    <x v="0"/>
  </r>
  <r>
    <d v="2024-01-26T00:00:00"/>
    <s v="Udyog Vihar"/>
    <s v="Bus"/>
    <x v="1"/>
    <n v="1000"/>
    <b v="0"/>
    <x v="2"/>
    <s v="Night"/>
    <s v="Dry"/>
    <s v="18-25"/>
    <n v="2"/>
    <s v="Medium"/>
    <s v="Expired"/>
    <b v="0"/>
    <n v="57"/>
    <s v="Rajasthan"/>
    <n v="8"/>
    <n v="3"/>
    <n v="2368"/>
    <s v="Unpaid"/>
    <s v="Not an Outliers"/>
    <x v="0"/>
  </r>
  <r>
    <d v="2024-01-26T00:00:00"/>
    <s v="NH-8"/>
    <s v="Bike"/>
    <x v="4"/>
    <n v="8949"/>
    <b v="0"/>
    <x v="0"/>
    <s v="Evening"/>
    <s v="Slippery"/>
    <s v="50+"/>
    <n v="3"/>
    <s v="High"/>
    <s v="Suspended"/>
    <b v="1"/>
    <n v="50"/>
    <s v="Haryana"/>
    <n v="8"/>
    <n v="1"/>
    <n v="3483"/>
    <s v="Unpaid"/>
    <s v="Not an Outliers"/>
    <x v="0"/>
  </r>
  <r>
    <d v="2024-01-27T00:00:00"/>
    <s v="MG Road"/>
    <s v="Bus"/>
    <x v="1"/>
    <n v="1000"/>
    <b v="0"/>
    <x v="4"/>
    <s v="Morning"/>
    <s v="Wet"/>
    <s v="36-50"/>
    <n v="15"/>
    <s v="High"/>
    <s v="Expired"/>
    <b v="1"/>
    <n v="37"/>
    <s v="Haryana"/>
    <n v="1"/>
    <n v="3"/>
    <n v="2227"/>
    <s v="Paid"/>
    <s v="Not an Outliers"/>
    <x v="1"/>
  </r>
  <r>
    <d v="2024-01-27T00:00:00"/>
    <s v="Huda City Center"/>
    <s v="Auto-rickshaw"/>
    <x v="2"/>
    <n v="3838"/>
    <b v="1"/>
    <x v="3"/>
    <s v="Afternoon"/>
    <s v="Slippery"/>
    <s v="18-25"/>
    <n v="2"/>
    <s v="Medium"/>
    <s v="Learner"/>
    <b v="0"/>
    <n v="6"/>
    <s v="Punjab"/>
    <n v="10"/>
    <n v="3"/>
    <n v="2978"/>
    <s v="Unpaid"/>
    <s v="Not an Outliers"/>
    <x v="1"/>
  </r>
  <r>
    <d v="2024-01-27T00:00:00"/>
    <s v="Sector 29"/>
    <s v="Bus"/>
    <x v="5"/>
    <n v="2974"/>
    <b v="0"/>
    <x v="4"/>
    <s v="Morning"/>
    <s v="Under Construction"/>
    <s v="18-25"/>
    <n v="5"/>
    <s v="High"/>
    <s v="Suspended"/>
    <b v="1"/>
    <n v="6"/>
    <s v="Haryana"/>
    <n v="7"/>
    <n v="3"/>
    <n v="3551"/>
    <s v="Unpaid"/>
    <s v="Not an Outliers"/>
    <x v="1"/>
  </r>
  <r>
    <d v="2024-01-28T00:00:00"/>
    <s v="MG Road"/>
    <s v="Car"/>
    <x v="5"/>
    <n v="5541"/>
    <b v="0"/>
    <x v="1"/>
    <s v="Morning"/>
    <s v="Wet"/>
    <s v="18-25"/>
    <n v="4"/>
    <s v="Low"/>
    <s v="Expired"/>
    <b v="1"/>
    <n v="118"/>
    <s v="Delhi"/>
    <n v="3"/>
    <n v="1"/>
    <n v="894"/>
    <s v="Unpaid"/>
    <s v="Not an Outliers"/>
    <x v="1"/>
  </r>
  <r>
    <d v="2024-02-01T00:00:00"/>
    <s v="Manesar Toll"/>
    <s v="Car"/>
    <x v="4"/>
    <n v="9515"/>
    <b v="1"/>
    <x v="1"/>
    <s v="Night"/>
    <s v="Dry"/>
    <s v="26-35"/>
    <n v="5"/>
    <s v="Low"/>
    <s v="Suspended"/>
    <b v="0"/>
    <n v="55"/>
    <s v="Punjab"/>
    <n v="4"/>
    <n v="2"/>
    <n v="3040"/>
    <s v="Paid"/>
    <s v="Not an Outliers"/>
    <x v="0"/>
  </r>
  <r>
    <d v="2024-02-01T00:00:00"/>
    <s v="Sohna Road near Iris Tech Park"/>
    <s v="Bus"/>
    <x v="4"/>
    <n v="7372"/>
    <b v="0"/>
    <x v="1"/>
    <s v="Evening"/>
    <s v="Wet"/>
    <s v="18-25"/>
    <n v="4"/>
    <s v="Low"/>
    <s v="Suspended"/>
    <b v="0"/>
    <n v="73"/>
    <s v="Rajasthan"/>
    <n v="5"/>
    <n v="1"/>
    <n v="4767"/>
    <s v="Paid"/>
    <s v="Not an Outliers"/>
    <x v="0"/>
  </r>
  <r>
    <d v="2024-02-01T00:00:00"/>
    <s v="IFFCO Chowk"/>
    <s v="Truck"/>
    <x v="5"/>
    <n v="3723"/>
    <b v="1"/>
    <x v="2"/>
    <s v="Evening"/>
    <s v="Slippery"/>
    <s v="50+"/>
    <n v="4"/>
    <s v="Medium"/>
    <s v="Learner"/>
    <b v="1"/>
    <n v="49"/>
    <s v="Rajasthan"/>
    <n v="1"/>
    <n v="1"/>
    <n v="1366"/>
    <s v="Disputed"/>
    <s v="Not an Outliers"/>
    <x v="0"/>
  </r>
  <r>
    <d v="2024-02-02T00:00:00"/>
    <s v="Signature Tower Chowk"/>
    <s v="Bike"/>
    <x v="0"/>
    <n v="1000"/>
    <b v="1"/>
    <x v="1"/>
    <s v="Evening"/>
    <s v="Wet"/>
    <s v="36-50"/>
    <n v="1"/>
    <s v="High"/>
    <s v="Learner"/>
    <b v="1"/>
    <n v="97"/>
    <s v="Delhi"/>
    <n v="5"/>
    <n v="1"/>
    <n v="1589"/>
    <s v="Paid"/>
    <s v="Not an Outliers"/>
    <x v="0"/>
  </r>
  <r>
    <d v="2024-02-03T00:00:00"/>
    <s v="Cyber City"/>
    <s v="Auto-rickshaw"/>
    <x v="2"/>
    <n v="4346"/>
    <b v="0"/>
    <x v="3"/>
    <s v="Afternoon"/>
    <s v="Slippery"/>
    <s v="50+"/>
    <n v="1"/>
    <s v="Medium"/>
    <s v="Suspended"/>
    <b v="1"/>
    <n v="92"/>
    <s v="Haryana"/>
    <n v="5"/>
    <n v="2"/>
    <n v="3073"/>
    <s v="Unpaid"/>
    <s v="Not an Outliers"/>
    <x v="1"/>
  </r>
  <r>
    <d v="2024-02-04T00:00:00"/>
    <s v="Sector 29"/>
    <s v="Auto-rickshaw"/>
    <x v="1"/>
    <n v="1000"/>
    <b v="0"/>
    <x v="4"/>
    <s v="Afternoon"/>
    <s v="Slippery"/>
    <s v="50+"/>
    <n v="4"/>
    <s v="Low"/>
    <s v="Expired"/>
    <b v="0"/>
    <n v="8"/>
    <s v="Punjab"/>
    <n v="8"/>
    <n v="1"/>
    <n v="1096"/>
    <s v="Unpaid"/>
    <s v="Not an Outliers"/>
    <x v="1"/>
  </r>
  <r>
    <d v="2024-02-04T00:00:00"/>
    <s v="Manesar Toll"/>
    <s v="Bus"/>
    <x v="5"/>
    <n v="4991"/>
    <b v="1"/>
    <x v="3"/>
    <s v="Night"/>
    <s v="Wet"/>
    <s v="26-35"/>
    <n v="3"/>
    <s v="Low"/>
    <s v="Expired"/>
    <b v="0"/>
    <n v="24"/>
    <s v="Rajasthan"/>
    <n v="2"/>
    <n v="1"/>
    <n v="901"/>
    <s v="Unpaid"/>
    <s v="Not an Outliers"/>
    <x v="1"/>
  </r>
  <r>
    <d v="2024-02-04T00:00:00"/>
    <s v="Sheetala Mata Road"/>
    <s v="Auto-rickshaw"/>
    <x v="4"/>
    <n v="5668"/>
    <b v="0"/>
    <x v="4"/>
    <s v="Afternoon"/>
    <s v="Dry"/>
    <s v="26-35"/>
    <n v="0"/>
    <s v="High"/>
    <s v="Expired"/>
    <b v="0"/>
    <n v="27"/>
    <s v="Haryana"/>
    <n v="2"/>
    <n v="3"/>
    <n v="1479"/>
    <s v="Paid"/>
    <s v="Not an Outliers"/>
    <x v="1"/>
  </r>
  <r>
    <d v="2024-02-04T00:00:00"/>
    <s v="Sikanderpur"/>
    <s v="Car"/>
    <x v="4"/>
    <n v="34890"/>
    <b v="0"/>
    <x v="0"/>
    <s v="Afternoon"/>
    <s v="Under Construction"/>
    <s v="26-35"/>
    <n v="3"/>
    <s v="High"/>
    <s v="Suspended"/>
    <b v="1"/>
    <n v="44"/>
    <s v="Haryana"/>
    <n v="6"/>
    <n v="1"/>
    <n v="3239"/>
    <s v="Disputed"/>
    <s v="Outliers"/>
    <x v="1"/>
  </r>
  <r>
    <d v="2024-02-05T00:00:00"/>
    <s v="Cyber City"/>
    <s v="Car"/>
    <x v="1"/>
    <n v="1000"/>
    <b v="1"/>
    <x v="2"/>
    <s v="Afternoon"/>
    <s v="Under Construction"/>
    <s v="50+"/>
    <n v="0"/>
    <s v="Medium"/>
    <s v="Suspended"/>
    <b v="1"/>
    <n v="53"/>
    <s v="Delhi"/>
    <n v="1"/>
    <n v="2"/>
    <n v="3207"/>
    <s v="Disputed"/>
    <s v="Not an Outliers"/>
    <x v="0"/>
  </r>
  <r>
    <d v="2024-02-06T00:00:00"/>
    <s v="Huda City Center"/>
    <s v="Bus"/>
    <x v="5"/>
    <n v="3632"/>
    <b v="1"/>
    <x v="2"/>
    <s v="Morning"/>
    <s v="Under Construction"/>
    <s v="50+"/>
    <n v="0"/>
    <s v="Medium"/>
    <s v="Valid"/>
    <b v="0"/>
    <n v="119"/>
    <s v="Delhi"/>
    <n v="9"/>
    <n v="3"/>
    <n v="1105"/>
    <s v="Unpaid"/>
    <s v="Not an Outliers"/>
    <x v="0"/>
  </r>
  <r>
    <d v="2024-02-06T00:00:00"/>
    <s v="NH-8"/>
    <s v="Car"/>
    <x v="5"/>
    <n v="5601"/>
    <b v="1"/>
    <x v="0"/>
    <s v="Night"/>
    <s v="Wet"/>
    <s v="50+"/>
    <n v="2"/>
    <s v="Low"/>
    <s v="Expired"/>
    <b v="0"/>
    <n v="53"/>
    <s v="Haryana"/>
    <n v="1"/>
    <n v="1"/>
    <n v="1189"/>
    <s v="Paid"/>
    <s v="Not an Outliers"/>
    <x v="0"/>
  </r>
  <r>
    <d v="2024-02-06T00:00:00"/>
    <s v="NH-8"/>
    <s v="Auto-rickshaw"/>
    <x v="2"/>
    <n v="4625"/>
    <b v="0"/>
    <x v="4"/>
    <s v="Night"/>
    <s v="Dry"/>
    <s v="18-25"/>
    <n v="0"/>
    <s v="Medium"/>
    <s v="Suspended"/>
    <b v="0"/>
    <n v="2"/>
    <s v="Uttar Pradesh"/>
    <n v="7"/>
    <n v="2"/>
    <n v="4353"/>
    <s v="Disputed"/>
    <s v="Not an Outliers"/>
    <x v="0"/>
  </r>
  <r>
    <d v="2024-02-07T00:00:00"/>
    <s v="NH-8"/>
    <s v="Truck"/>
    <x v="1"/>
    <n v="1000"/>
    <b v="1"/>
    <x v="2"/>
    <s v="Morning"/>
    <s v="Dry"/>
    <s v="18-25"/>
    <n v="1"/>
    <s v="Low"/>
    <s v="Suspended"/>
    <b v="1"/>
    <n v="41"/>
    <s v="Rajasthan"/>
    <n v="5"/>
    <n v="3"/>
    <n v="2227"/>
    <s v="Disputed"/>
    <s v="Not an Outliers"/>
    <x v="0"/>
  </r>
  <r>
    <d v="2024-02-07T00:00:00"/>
    <s v="Sector 56"/>
    <s v="Truck"/>
    <x v="1"/>
    <n v="1000"/>
    <b v="1"/>
    <x v="4"/>
    <s v="Morning"/>
    <s v="Under Construction"/>
    <s v="50+"/>
    <n v="5"/>
    <s v="Medium"/>
    <s v="Learner"/>
    <b v="0"/>
    <n v="114"/>
    <s v="Rajasthan"/>
    <n v="10"/>
    <n v="1"/>
    <n v="2578"/>
    <s v="Unpaid"/>
    <s v="Not an Outliers"/>
    <x v="0"/>
  </r>
  <r>
    <d v="2024-02-08T00:00:00"/>
    <s v="Rajiv Chowk"/>
    <s v="Truck"/>
    <x v="5"/>
    <n v="5590"/>
    <b v="0"/>
    <x v="3"/>
    <s v="Afternoon"/>
    <s v="Wet"/>
    <s v="36-50"/>
    <n v="5"/>
    <s v="Low"/>
    <s v="Learner"/>
    <b v="0"/>
    <n v="38"/>
    <s v="Uttar Pradesh"/>
    <n v="4"/>
    <n v="2"/>
    <n v="3962"/>
    <s v="Disputed"/>
    <s v="Not an Outliers"/>
    <x v="0"/>
  </r>
  <r>
    <d v="2024-02-09T00:00:00"/>
    <s v="Rajiv Chowk"/>
    <s v="Bus"/>
    <x v="3"/>
    <n v="1717"/>
    <b v="0"/>
    <x v="1"/>
    <s v="Afternoon"/>
    <s v="Under Construction"/>
    <s v="26-35"/>
    <n v="4"/>
    <s v="Medium"/>
    <s v="Expired"/>
    <b v="1"/>
    <n v="62"/>
    <s v="Delhi"/>
    <n v="6"/>
    <n v="2"/>
    <n v="2162"/>
    <s v="Paid"/>
    <s v="Not an Outliers"/>
    <x v="0"/>
  </r>
  <r>
    <d v="2024-02-09T00:00:00"/>
    <s v="Sohna Road near Iris Tech Park"/>
    <s v="Truck"/>
    <x v="5"/>
    <n v="3606"/>
    <b v="0"/>
    <x v="2"/>
    <s v="Evening"/>
    <s v="Slippery"/>
    <s v="50+"/>
    <n v="2"/>
    <s v="Medium"/>
    <s v="Learner"/>
    <b v="1"/>
    <n v="68"/>
    <s v="Uttar Pradesh"/>
    <n v="10"/>
    <n v="2"/>
    <n v="2427"/>
    <s v="Paid"/>
    <s v="Not an Outliers"/>
    <x v="0"/>
  </r>
  <r>
    <d v="2024-02-09T00:00:00"/>
    <s v="Sohna Road near Iris Tech Park"/>
    <s v="Truck"/>
    <x v="4"/>
    <n v="5852"/>
    <b v="0"/>
    <x v="4"/>
    <s v="Night"/>
    <s v="Under Construction"/>
    <s v="36-50"/>
    <n v="3"/>
    <s v="Medium"/>
    <s v="Suspended"/>
    <b v="0"/>
    <n v="21"/>
    <s v="Haryana"/>
    <n v="3"/>
    <n v="2"/>
    <n v="4939"/>
    <s v="Unpaid"/>
    <s v="Not an Outliers"/>
    <x v="0"/>
  </r>
  <r>
    <d v="2024-02-09T00:00:00"/>
    <s v="NH-8"/>
    <s v="Bus"/>
    <x v="2"/>
    <n v="2582"/>
    <b v="0"/>
    <x v="2"/>
    <s v="Night"/>
    <s v="Slippery"/>
    <s v="26-35"/>
    <n v="3"/>
    <s v="High"/>
    <s v="Suspended"/>
    <b v="1"/>
    <n v="78"/>
    <s v="Delhi"/>
    <n v="5"/>
    <n v="1"/>
    <n v="3074"/>
    <s v="Unpaid"/>
    <s v="Not an Outliers"/>
    <x v="0"/>
  </r>
  <r>
    <d v="2024-02-09T00:00:00"/>
    <s v="Manesar Toll"/>
    <s v="Car"/>
    <x v="2"/>
    <n v="4540"/>
    <b v="1"/>
    <x v="4"/>
    <s v="Night"/>
    <s v="Slippery"/>
    <s v="26-35"/>
    <n v="5"/>
    <s v="High"/>
    <s v="Learner"/>
    <b v="0"/>
    <n v="53"/>
    <s v="Punjab"/>
    <n v="1"/>
    <n v="3"/>
    <n v="1896"/>
    <s v="Paid"/>
    <s v="Not an Outliers"/>
    <x v="0"/>
  </r>
  <r>
    <d v="2024-02-09T00:00:00"/>
    <s v="Manesar Toll"/>
    <s v="Truck"/>
    <x v="2"/>
    <n v="3640"/>
    <b v="1"/>
    <x v="3"/>
    <s v="Night"/>
    <s v="Slippery"/>
    <s v="26-35"/>
    <n v="0"/>
    <s v="Medium"/>
    <s v="Expired"/>
    <b v="0"/>
    <n v="70"/>
    <s v="Haryana"/>
    <n v="8"/>
    <n v="1"/>
    <n v="3006"/>
    <s v="Disputed"/>
    <s v="Not an Outliers"/>
    <x v="0"/>
  </r>
  <r>
    <d v="2024-02-09T00:00:00"/>
    <s v="NH-8"/>
    <s v="Auto-rickshaw"/>
    <x v="5"/>
    <n v="3811"/>
    <b v="0"/>
    <x v="4"/>
    <s v="Evening"/>
    <s v="Dry"/>
    <s v="26-35"/>
    <n v="5"/>
    <s v="Medium"/>
    <s v="Learner"/>
    <b v="0"/>
    <n v="79"/>
    <s v="Rajasthan"/>
    <n v="6"/>
    <n v="3"/>
    <n v="3376"/>
    <s v="Paid"/>
    <s v="Not an Outliers"/>
    <x v="0"/>
  </r>
  <r>
    <d v="2024-02-09T00:00:00"/>
    <s v="NH-8"/>
    <s v="Bus"/>
    <x v="3"/>
    <n v="3230"/>
    <b v="1"/>
    <x v="2"/>
    <s v="Afternoon"/>
    <s v="Dry"/>
    <s v="26-35"/>
    <n v="2"/>
    <s v="High"/>
    <s v="Expired"/>
    <b v="0"/>
    <n v="48"/>
    <s v="Delhi"/>
    <n v="8"/>
    <n v="1"/>
    <n v="2982"/>
    <s v="Unpaid"/>
    <s v="Not an Outliers"/>
    <x v="0"/>
  </r>
  <r>
    <d v="2024-02-10T00:00:00"/>
    <s v="Sector 56"/>
    <s v="Auto-rickshaw"/>
    <x v="2"/>
    <n v="3823"/>
    <b v="1"/>
    <x v="2"/>
    <s v="Evening"/>
    <s v="Slippery"/>
    <s v="26-35"/>
    <n v="5"/>
    <s v="Low"/>
    <s v="Expired"/>
    <b v="0"/>
    <n v="26"/>
    <s v="Punjab"/>
    <n v="4"/>
    <n v="2"/>
    <n v="3625"/>
    <s v="Paid"/>
    <s v="Not an Outliers"/>
    <x v="1"/>
  </r>
  <r>
    <d v="2024-02-10T00:00:00"/>
    <s v="Golf Course Road"/>
    <s v="Truck"/>
    <x v="1"/>
    <n v="1000"/>
    <b v="1"/>
    <x v="1"/>
    <s v="Evening"/>
    <s v="Dry"/>
    <s v="18-25"/>
    <n v="0"/>
    <s v="Medium"/>
    <s v="Suspended"/>
    <b v="0"/>
    <n v="91"/>
    <s v="Delhi"/>
    <n v="8"/>
    <n v="2"/>
    <n v="3637"/>
    <s v="Unpaid"/>
    <s v="Not an Outliers"/>
    <x v="1"/>
  </r>
  <r>
    <d v="2024-02-10T00:00:00"/>
    <s v="Cyber City"/>
    <s v="Truck"/>
    <x v="4"/>
    <n v="9736"/>
    <b v="1"/>
    <x v="3"/>
    <s v="Afternoon"/>
    <s v="Wet"/>
    <s v="26-35"/>
    <n v="1"/>
    <s v="Medium"/>
    <s v="Suspended"/>
    <b v="0"/>
    <n v="41"/>
    <s v="Rajasthan"/>
    <n v="7"/>
    <n v="3"/>
    <n v="2966"/>
    <s v="Unpaid"/>
    <s v="Not an Outliers"/>
    <x v="1"/>
  </r>
  <r>
    <d v="2024-02-10T00:00:00"/>
    <s v="Manesar Toll"/>
    <s v="Truck"/>
    <x v="3"/>
    <n v="4029"/>
    <b v="0"/>
    <x v="3"/>
    <s v="Night"/>
    <s v="Wet"/>
    <s v="50+"/>
    <n v="2"/>
    <s v="High"/>
    <s v="Learner"/>
    <b v="0"/>
    <n v="65"/>
    <s v="Delhi"/>
    <n v="1"/>
    <n v="1"/>
    <n v="2160"/>
    <s v="Unpaid"/>
    <s v="Not an Outliers"/>
    <x v="1"/>
  </r>
  <r>
    <d v="2024-02-10T00:00:00"/>
    <s v="IFFCO Chowk"/>
    <s v="Car"/>
    <x v="3"/>
    <n v="4124"/>
    <b v="0"/>
    <x v="4"/>
    <s v="Afternoon"/>
    <s v="Under Construction"/>
    <s v="50+"/>
    <n v="4"/>
    <s v="Medium"/>
    <s v="Suspended"/>
    <b v="0"/>
    <n v="79"/>
    <s v="Uttar Pradesh"/>
    <n v="2"/>
    <n v="3"/>
    <n v="4184"/>
    <s v="Unpaid"/>
    <s v="Not an Outliers"/>
    <x v="1"/>
  </r>
  <r>
    <d v="2024-02-10T00:00:00"/>
    <s v="Huda City Center"/>
    <s v="Bike"/>
    <x v="4"/>
    <n v="9925"/>
    <b v="0"/>
    <x v="4"/>
    <s v="Afternoon"/>
    <s v="Wet"/>
    <s v="50+"/>
    <n v="1"/>
    <s v="Medium"/>
    <s v="Suspended"/>
    <b v="1"/>
    <n v="98"/>
    <s v="Punjab"/>
    <n v="2"/>
    <n v="3"/>
    <n v="2263"/>
    <s v="Unpaid"/>
    <s v="Not an Outliers"/>
    <x v="1"/>
  </r>
  <r>
    <d v="2024-02-10T00:00:00"/>
    <s v="Sector 29"/>
    <s v="Bus"/>
    <x v="5"/>
    <n v="6057"/>
    <b v="0"/>
    <x v="2"/>
    <s v="Afternoon"/>
    <s v="Slippery"/>
    <s v="36-50"/>
    <n v="12"/>
    <s v="Medium"/>
    <s v="Suspended"/>
    <b v="0"/>
    <n v="1"/>
    <s v="Uttar Pradesh"/>
    <n v="7"/>
    <n v="2"/>
    <n v="1203"/>
    <s v="Disputed"/>
    <s v="Not an Outliers"/>
    <x v="1"/>
  </r>
  <r>
    <d v="2024-02-10T00:00:00"/>
    <s v="NH-8"/>
    <s v="Auto-rickshaw"/>
    <x v="2"/>
    <n v="3892"/>
    <b v="0"/>
    <x v="1"/>
    <s v="Afternoon"/>
    <s v="Under Construction"/>
    <s v="36-50"/>
    <n v="4"/>
    <s v="Medium"/>
    <s v="Learner"/>
    <b v="1"/>
    <n v="80"/>
    <s v="Punjab"/>
    <n v="9"/>
    <n v="3"/>
    <n v="1527"/>
    <s v="Paid"/>
    <s v="Not an Outliers"/>
    <x v="1"/>
  </r>
  <r>
    <d v="2024-02-11T00:00:00"/>
    <s v="Sohna Road near Iris Tech Park"/>
    <s v="Bus"/>
    <x v="1"/>
    <n v="1000"/>
    <b v="1"/>
    <x v="0"/>
    <s v="Afternoon"/>
    <s v="Wet"/>
    <s v="50+"/>
    <n v="8"/>
    <s v="Low"/>
    <s v="Suspended"/>
    <b v="0"/>
    <n v="107"/>
    <s v="Delhi"/>
    <n v="5"/>
    <n v="2"/>
    <n v="3976"/>
    <s v="Unpaid"/>
    <s v="Not an Outliers"/>
    <x v="1"/>
  </r>
  <r>
    <d v="2024-02-11T00:00:00"/>
    <s v="Manesar Toll"/>
    <s v="Truck"/>
    <x v="3"/>
    <n v="3168"/>
    <b v="0"/>
    <x v="1"/>
    <s v="Night"/>
    <s v="Slippery"/>
    <s v="50+"/>
    <n v="1"/>
    <s v="High"/>
    <s v="Learner"/>
    <b v="1"/>
    <n v="82"/>
    <s v="Punjab"/>
    <n v="4"/>
    <n v="1"/>
    <n v="4641"/>
    <s v="Disputed"/>
    <s v="Not an Outliers"/>
    <x v="1"/>
  </r>
  <r>
    <d v="2024-02-12T00:00:00"/>
    <s v="Rajiv Chowk"/>
    <s v="Car"/>
    <x v="2"/>
    <n v="2760"/>
    <b v="0"/>
    <x v="0"/>
    <s v="Morning"/>
    <s v="Dry"/>
    <s v="18-25"/>
    <n v="2"/>
    <s v="High"/>
    <s v="Expired"/>
    <b v="1"/>
    <n v="105"/>
    <s v="Punjab"/>
    <n v="7"/>
    <n v="2"/>
    <n v="1261"/>
    <s v="Disputed"/>
    <s v="Not an Outliers"/>
    <x v="0"/>
  </r>
  <r>
    <d v="2024-02-12T00:00:00"/>
    <s v="IFFCO Chowk"/>
    <s v="Car"/>
    <x v="3"/>
    <n v="3432"/>
    <b v="0"/>
    <x v="2"/>
    <s v="Night"/>
    <s v="Wet"/>
    <s v="18-25"/>
    <n v="2"/>
    <s v="High"/>
    <s v="Expired"/>
    <b v="0"/>
    <n v="78"/>
    <s v="Haryana"/>
    <n v="8"/>
    <n v="2"/>
    <n v="1523"/>
    <s v="Paid"/>
    <s v="Not an Outliers"/>
    <x v="0"/>
  </r>
  <r>
    <d v="2024-02-14T00:00:00"/>
    <s v="Cyber City"/>
    <s v="Bus"/>
    <x v="2"/>
    <n v="1423"/>
    <b v="0"/>
    <x v="0"/>
    <s v="Afternoon"/>
    <s v="Slippery"/>
    <s v="36-50"/>
    <n v="3"/>
    <s v="High"/>
    <s v="Suspended"/>
    <b v="1"/>
    <n v="112"/>
    <s v="Punjab"/>
    <n v="3"/>
    <n v="2"/>
    <n v="1501"/>
    <s v="Disputed"/>
    <s v="Not an Outliers"/>
    <x v="0"/>
  </r>
  <r>
    <d v="2024-02-14T00:00:00"/>
    <s v="NH-8"/>
    <s v="Auto-rickshaw"/>
    <x v="5"/>
    <n v="6873"/>
    <b v="1"/>
    <x v="1"/>
    <s v="Afternoon"/>
    <s v="Slippery"/>
    <s v="26-35"/>
    <n v="0"/>
    <s v="High"/>
    <s v="Expired"/>
    <b v="0"/>
    <n v="65"/>
    <s v="Delhi"/>
    <n v="4"/>
    <n v="1"/>
    <n v="1081"/>
    <s v="Paid"/>
    <s v="Not an Outliers"/>
    <x v="0"/>
  </r>
  <r>
    <d v="2024-02-15T00:00:00"/>
    <s v="Sector 56"/>
    <s v="Auto-rickshaw"/>
    <x v="3"/>
    <n v="2994"/>
    <b v="0"/>
    <x v="1"/>
    <s v="Night"/>
    <s v="Dry"/>
    <s v="50+"/>
    <n v="2"/>
    <s v="High"/>
    <s v="Valid"/>
    <b v="1"/>
    <n v="19"/>
    <s v="Delhi"/>
    <n v="6"/>
    <n v="2"/>
    <n v="4427"/>
    <s v="Unpaid"/>
    <s v="Not an Outliers"/>
    <x v="0"/>
  </r>
  <r>
    <d v="2024-02-15T00:00:00"/>
    <s v="IFFCO Chowk"/>
    <s v="Bike"/>
    <x v="4"/>
    <n v="6702"/>
    <b v="0"/>
    <x v="0"/>
    <s v="Night"/>
    <s v="Wet"/>
    <s v="18-25"/>
    <n v="1"/>
    <s v="Low"/>
    <s v="Suspended"/>
    <b v="1"/>
    <n v="83"/>
    <s v="Haryana"/>
    <n v="9"/>
    <n v="2"/>
    <n v="1571"/>
    <s v="Paid"/>
    <s v="Not an Outliers"/>
    <x v="0"/>
  </r>
  <r>
    <d v="2024-02-15T00:00:00"/>
    <s v="Udyog Vihar"/>
    <s v="Bus"/>
    <x v="1"/>
    <n v="1000"/>
    <b v="1"/>
    <x v="2"/>
    <s v="Evening"/>
    <s v="Under Construction"/>
    <s v="26-35"/>
    <n v="5"/>
    <s v="Low"/>
    <s v="Suspended"/>
    <b v="1"/>
    <n v="116"/>
    <s v="Delhi"/>
    <n v="3"/>
    <n v="1"/>
    <n v="3130"/>
    <s v="Unpaid"/>
    <s v="Not an Outliers"/>
    <x v="0"/>
  </r>
  <r>
    <d v="2024-02-15T00:00:00"/>
    <s v="MG Road"/>
    <s v="Bus"/>
    <x v="2"/>
    <n v="4656"/>
    <b v="0"/>
    <x v="4"/>
    <s v="Morning"/>
    <s v="Dry"/>
    <s v="36-50"/>
    <n v="1"/>
    <s v="Medium"/>
    <s v="Suspended"/>
    <b v="1"/>
    <n v="52"/>
    <s v="Delhi"/>
    <n v="10"/>
    <n v="2"/>
    <n v="2793"/>
    <s v="Disputed"/>
    <s v="Not an Outliers"/>
    <x v="0"/>
  </r>
  <r>
    <d v="2024-02-16T00:00:00"/>
    <s v="Udyog Vihar"/>
    <s v="Bike"/>
    <x v="2"/>
    <n v="3468"/>
    <b v="0"/>
    <x v="4"/>
    <s v="Afternoon"/>
    <s v="Wet"/>
    <s v="36-50"/>
    <n v="0"/>
    <s v="Low"/>
    <s v="Learner"/>
    <b v="1"/>
    <n v="18"/>
    <s v="Punjab"/>
    <n v="6"/>
    <n v="3"/>
    <n v="1044"/>
    <s v="Paid"/>
    <s v="Not an Outliers"/>
    <x v="0"/>
  </r>
  <r>
    <d v="2024-02-16T00:00:00"/>
    <s v="Sheetala Mata Road"/>
    <s v="Auto-rickshaw"/>
    <x v="5"/>
    <n v="5304"/>
    <b v="0"/>
    <x v="0"/>
    <s v="Afternoon"/>
    <s v="Under Construction"/>
    <s v="36-50"/>
    <n v="2"/>
    <s v="Medium"/>
    <s v="Learner"/>
    <b v="1"/>
    <n v="20"/>
    <s v="Uttar Pradesh"/>
    <n v="3"/>
    <n v="1"/>
    <n v="976"/>
    <s v="Disputed"/>
    <s v="Not an Outliers"/>
    <x v="0"/>
  </r>
  <r>
    <d v="2024-02-17T00:00:00"/>
    <s v="Cyber City"/>
    <s v="Bike"/>
    <x v="5"/>
    <n v="5589"/>
    <b v="1"/>
    <x v="1"/>
    <s v="Afternoon"/>
    <s v="Under Construction"/>
    <s v="26-35"/>
    <n v="1"/>
    <s v="High"/>
    <s v="Learner"/>
    <b v="1"/>
    <n v="59"/>
    <s v="Rajasthan"/>
    <n v="8"/>
    <n v="2"/>
    <n v="2815"/>
    <s v="Disputed"/>
    <s v="Not an Outliers"/>
    <x v="1"/>
  </r>
  <r>
    <d v="2024-02-17T00:00:00"/>
    <s v="Manesar Toll"/>
    <s v="Car"/>
    <x v="3"/>
    <n v="2233"/>
    <b v="0"/>
    <x v="1"/>
    <s v="Evening"/>
    <s v="Wet"/>
    <s v="26-35"/>
    <n v="1"/>
    <s v="Medium"/>
    <s v="Expired"/>
    <b v="1"/>
    <n v="8"/>
    <s v="Haryana"/>
    <n v="4"/>
    <n v="1"/>
    <n v="3022"/>
    <s v="Disputed"/>
    <s v="Not an Outliers"/>
    <x v="1"/>
  </r>
  <r>
    <d v="2024-02-17T00:00:00"/>
    <s v="Sector 56"/>
    <s v="Bike"/>
    <x v="2"/>
    <n v="1935"/>
    <b v="1"/>
    <x v="2"/>
    <s v="Night"/>
    <s v="Wet"/>
    <s v="50+"/>
    <n v="1"/>
    <s v="High"/>
    <s v="Expired"/>
    <b v="1"/>
    <n v="84"/>
    <s v="Punjab"/>
    <n v="1"/>
    <n v="1"/>
    <n v="2642"/>
    <s v="Disputed"/>
    <s v="Not an Outliers"/>
    <x v="1"/>
  </r>
  <r>
    <d v="2024-02-18T00:00:00"/>
    <s v="Signature Tower Chowk"/>
    <s v="Car"/>
    <x v="3"/>
    <n v="1826"/>
    <b v="0"/>
    <x v="1"/>
    <s v="Morning"/>
    <s v="Wet"/>
    <s v="50+"/>
    <n v="2"/>
    <s v="High"/>
    <s v="Valid"/>
    <b v="0"/>
    <n v="0"/>
    <s v="Punjab"/>
    <n v="10"/>
    <n v="1"/>
    <n v="4366"/>
    <s v="Paid"/>
    <s v="Not an Outliers"/>
    <x v="1"/>
  </r>
  <r>
    <d v="2024-02-18T00:00:00"/>
    <s v="Huda City Center"/>
    <s v="Auto-rickshaw"/>
    <x v="1"/>
    <n v="1000"/>
    <b v="0"/>
    <x v="1"/>
    <s v="Night"/>
    <s v="Slippery"/>
    <s v="36-50"/>
    <n v="3"/>
    <s v="Low"/>
    <s v="Suspended"/>
    <b v="0"/>
    <n v="32"/>
    <s v="Delhi"/>
    <n v="10"/>
    <n v="3"/>
    <n v="3121"/>
    <s v="Disputed"/>
    <s v="Not an Outliers"/>
    <x v="1"/>
  </r>
  <r>
    <d v="2024-02-18T00:00:00"/>
    <s v="Cyber City"/>
    <s v="Truck"/>
    <x v="3"/>
    <n v="4062"/>
    <b v="0"/>
    <x v="2"/>
    <s v="Night"/>
    <s v="Wet"/>
    <s v="26-35"/>
    <n v="0"/>
    <s v="Medium"/>
    <s v="Valid"/>
    <b v="1"/>
    <n v="4"/>
    <s v="Haryana"/>
    <n v="9"/>
    <n v="3"/>
    <n v="1085"/>
    <s v="Unpaid"/>
    <s v="Not an Outliers"/>
    <x v="1"/>
  </r>
  <r>
    <d v="2024-02-19T00:00:00"/>
    <s v="Rajiv Chowk"/>
    <s v="Truck"/>
    <x v="1"/>
    <n v="1000"/>
    <b v="0"/>
    <x v="1"/>
    <s v="Evening"/>
    <s v="Dry"/>
    <s v="50+"/>
    <n v="1"/>
    <s v="High"/>
    <s v="Valid"/>
    <b v="0"/>
    <n v="58"/>
    <s v="Delhi"/>
    <n v="9"/>
    <n v="1"/>
    <n v="4305"/>
    <s v="Paid"/>
    <s v="Not an Outliers"/>
    <x v="0"/>
  </r>
  <r>
    <d v="2024-02-19T00:00:00"/>
    <s v="Sikanderpur"/>
    <s v="Bus"/>
    <x v="5"/>
    <n v="7318"/>
    <b v="0"/>
    <x v="2"/>
    <s v="Afternoon"/>
    <s v="Wet"/>
    <s v="50+"/>
    <n v="2"/>
    <s v="Low"/>
    <s v="Learner"/>
    <b v="1"/>
    <n v="79"/>
    <s v="Punjab"/>
    <n v="4"/>
    <n v="2"/>
    <n v="4544"/>
    <s v="Disputed"/>
    <s v="Not an Outliers"/>
    <x v="0"/>
  </r>
  <r>
    <d v="2024-02-19T00:00:00"/>
    <s v="IFFCO Chowk"/>
    <s v="Truck"/>
    <x v="3"/>
    <n v="4326"/>
    <b v="1"/>
    <x v="3"/>
    <s v="Evening"/>
    <s v="Wet"/>
    <s v="50+"/>
    <n v="3"/>
    <s v="Medium"/>
    <s v="Valid"/>
    <b v="0"/>
    <n v="33"/>
    <s v="Rajasthan"/>
    <n v="7"/>
    <n v="2"/>
    <n v="3347"/>
    <s v="Disputed"/>
    <s v="Not an Outliers"/>
    <x v="0"/>
  </r>
  <r>
    <d v="2024-02-20T00:00:00"/>
    <s v="Manesar Toll"/>
    <s v="Bike"/>
    <x v="0"/>
    <n v="1000"/>
    <b v="1"/>
    <x v="2"/>
    <s v="Evening"/>
    <s v="Under Construction"/>
    <s v="26-35"/>
    <n v="3"/>
    <s v="Low"/>
    <s v="Learner"/>
    <b v="0"/>
    <n v="96"/>
    <s v="Delhi"/>
    <n v="8"/>
    <n v="1"/>
    <n v="4935"/>
    <s v="Unpaid"/>
    <s v="Not an Outliers"/>
    <x v="0"/>
  </r>
  <r>
    <d v="2024-02-20T00:00:00"/>
    <s v="Huda City Center"/>
    <s v="Car"/>
    <x v="5"/>
    <n v="4662"/>
    <b v="0"/>
    <x v="0"/>
    <s v="Afternoon"/>
    <s v="Under Construction"/>
    <s v="26-35"/>
    <n v="5"/>
    <s v="High"/>
    <s v="Expired"/>
    <b v="1"/>
    <n v="110"/>
    <s v="Rajasthan"/>
    <n v="8"/>
    <n v="3"/>
    <n v="1893"/>
    <s v="Unpaid"/>
    <s v="Not an Outliers"/>
    <x v="0"/>
  </r>
  <r>
    <d v="2024-02-21T00:00:00"/>
    <s v="Sector 56"/>
    <s v="Truck"/>
    <x v="1"/>
    <n v="1000"/>
    <b v="0"/>
    <x v="2"/>
    <s v="Morning"/>
    <s v="Wet"/>
    <s v="36-50"/>
    <n v="3"/>
    <s v="Low"/>
    <s v="Expired"/>
    <b v="1"/>
    <n v="22"/>
    <s v="Delhi"/>
    <n v="3"/>
    <n v="2"/>
    <n v="1719"/>
    <s v="Disputed"/>
    <s v="Not an Outliers"/>
    <x v="0"/>
  </r>
  <r>
    <d v="2024-02-21T00:00:00"/>
    <s v="Udyog Vihar"/>
    <s v="Auto-rickshaw"/>
    <x v="2"/>
    <n v="2838"/>
    <b v="0"/>
    <x v="1"/>
    <s v="Night"/>
    <s v="Under Construction"/>
    <s v="26-35"/>
    <n v="1"/>
    <s v="Medium"/>
    <s v="Expired"/>
    <b v="0"/>
    <n v="67"/>
    <s v="Rajasthan"/>
    <n v="5"/>
    <n v="2"/>
    <n v="4044"/>
    <s v="Disputed"/>
    <s v="Not an Outliers"/>
    <x v="0"/>
  </r>
  <r>
    <d v="2024-02-21T00:00:00"/>
    <s v="Manesar Toll"/>
    <s v="Bike"/>
    <x v="3"/>
    <n v="3642"/>
    <b v="0"/>
    <x v="1"/>
    <s v="Afternoon"/>
    <s v="Under Construction"/>
    <s v="50+"/>
    <n v="4"/>
    <s v="High"/>
    <s v="Expired"/>
    <b v="1"/>
    <n v="111"/>
    <s v="Haryana"/>
    <n v="8"/>
    <n v="1"/>
    <n v="503"/>
    <s v="Paid"/>
    <s v="Not an Outliers"/>
    <x v="0"/>
  </r>
  <r>
    <d v="2024-02-21T00:00:00"/>
    <s v="Huda City Center"/>
    <s v="Car"/>
    <x v="2"/>
    <n v="4393"/>
    <b v="0"/>
    <x v="0"/>
    <s v="Afternoon"/>
    <s v="Dry"/>
    <s v="26-35"/>
    <n v="0"/>
    <s v="Low"/>
    <s v="Learner"/>
    <b v="1"/>
    <n v="5"/>
    <s v="Delhi"/>
    <n v="5"/>
    <n v="2"/>
    <n v="1732"/>
    <s v="Paid"/>
    <s v="Not an Outliers"/>
    <x v="0"/>
  </r>
  <r>
    <d v="2024-02-21T00:00:00"/>
    <s v="IFFCO Chowk"/>
    <s v="Bike"/>
    <x v="3"/>
    <n v="3157"/>
    <b v="1"/>
    <x v="3"/>
    <s v="Night"/>
    <s v="Slippery"/>
    <s v="26-35"/>
    <n v="2"/>
    <s v="Medium"/>
    <s v="Learner"/>
    <b v="0"/>
    <n v="101"/>
    <s v="Punjab"/>
    <n v="1"/>
    <n v="3"/>
    <n v="2434"/>
    <s v="Disputed"/>
    <s v="Not an Outliers"/>
    <x v="0"/>
  </r>
  <r>
    <d v="2024-02-22T00:00:00"/>
    <s v="IFFCO Chowk"/>
    <s v="Car"/>
    <x v="4"/>
    <n v="6697"/>
    <b v="0"/>
    <x v="1"/>
    <s v="Evening"/>
    <s v="Dry"/>
    <s v="26-35"/>
    <n v="0"/>
    <s v="Medium"/>
    <s v="Suspended"/>
    <b v="0"/>
    <n v="34"/>
    <s v="Haryana"/>
    <n v="7"/>
    <n v="1"/>
    <n v="1813"/>
    <s v="Disputed"/>
    <s v="Not an Outliers"/>
    <x v="0"/>
  </r>
  <r>
    <d v="2024-02-22T00:00:00"/>
    <s v="Sector 29"/>
    <s v="Bus"/>
    <x v="5"/>
    <n v="7566"/>
    <b v="0"/>
    <x v="2"/>
    <s v="Evening"/>
    <s v="Under Construction"/>
    <s v="36-50"/>
    <n v="2"/>
    <s v="Low"/>
    <s v="Valid"/>
    <b v="0"/>
    <n v="53"/>
    <s v="Uttar Pradesh"/>
    <n v="6"/>
    <n v="1"/>
    <n v="4310"/>
    <s v="Unpaid"/>
    <s v="Not an Outliers"/>
    <x v="0"/>
  </r>
  <r>
    <d v="2024-02-22T00:00:00"/>
    <s v="Udyog Vihar"/>
    <s v="Bike"/>
    <x v="5"/>
    <n v="2724"/>
    <b v="0"/>
    <x v="3"/>
    <s v="Afternoon"/>
    <s v="Wet"/>
    <s v="26-35"/>
    <n v="3"/>
    <s v="Low"/>
    <s v="Expired"/>
    <b v="1"/>
    <n v="90"/>
    <s v="Punjab"/>
    <n v="9"/>
    <n v="3"/>
    <n v="3333"/>
    <s v="Paid"/>
    <s v="Not an Outliers"/>
    <x v="0"/>
  </r>
  <r>
    <d v="2024-02-22T00:00:00"/>
    <s v="Sikanderpur"/>
    <s v="Bike"/>
    <x v="2"/>
    <n v="4752"/>
    <b v="1"/>
    <x v="4"/>
    <s v="Evening"/>
    <s v="Wet"/>
    <s v="26-35"/>
    <n v="2"/>
    <s v="Low"/>
    <s v="Suspended"/>
    <b v="1"/>
    <n v="29"/>
    <s v="Haryana"/>
    <n v="7"/>
    <n v="3"/>
    <n v="3093"/>
    <s v="Paid"/>
    <s v="Not an Outliers"/>
    <x v="0"/>
  </r>
  <r>
    <d v="2024-02-22T00:00:00"/>
    <s v="Cyber City"/>
    <s v="Auto-rickshaw"/>
    <x v="4"/>
    <n v="7754"/>
    <b v="0"/>
    <x v="0"/>
    <s v="Evening"/>
    <s v="Wet"/>
    <s v="36-50"/>
    <n v="1"/>
    <s v="Medium"/>
    <s v="Learner"/>
    <b v="0"/>
    <n v="112"/>
    <s v="Uttar Pradesh"/>
    <n v="9"/>
    <n v="2"/>
    <n v="1753"/>
    <s v="Disputed"/>
    <s v="Not an Outliers"/>
    <x v="0"/>
  </r>
  <r>
    <d v="2024-02-23T00:00:00"/>
    <s v="Sikanderpur"/>
    <s v="Bus"/>
    <x v="1"/>
    <n v="1000"/>
    <b v="0"/>
    <x v="1"/>
    <s v="Afternoon"/>
    <s v="Under Construction"/>
    <s v="50+"/>
    <n v="4"/>
    <s v="High"/>
    <s v="Learner"/>
    <b v="1"/>
    <n v="110"/>
    <s v="Punjab"/>
    <n v="9"/>
    <n v="2"/>
    <n v="2153"/>
    <s v="Disputed"/>
    <s v="Not an Outliers"/>
    <x v="0"/>
  </r>
  <r>
    <d v="2024-02-23T00:00:00"/>
    <s v="Sector 29"/>
    <s v="Car"/>
    <x v="2"/>
    <n v="2991"/>
    <b v="1"/>
    <x v="3"/>
    <s v="Evening"/>
    <s v="Under Construction"/>
    <s v="36-50"/>
    <n v="3"/>
    <s v="Medium"/>
    <s v="Learner"/>
    <b v="1"/>
    <n v="61"/>
    <s v="Uttar Pradesh"/>
    <n v="9"/>
    <n v="1"/>
    <n v="1621"/>
    <s v="Paid"/>
    <s v="Not an Outliers"/>
    <x v="0"/>
  </r>
  <r>
    <d v="2024-02-23T00:00:00"/>
    <s v="Rajiv Chowk"/>
    <s v="Car"/>
    <x v="3"/>
    <n v="4880"/>
    <b v="0"/>
    <x v="2"/>
    <s v="Night"/>
    <s v="Wet"/>
    <s v="18-25"/>
    <n v="3"/>
    <s v="High"/>
    <s v="Valid"/>
    <b v="1"/>
    <n v="61"/>
    <s v="Delhi"/>
    <n v="7"/>
    <n v="2"/>
    <n v="2298"/>
    <s v="Unpaid"/>
    <s v="Not an Outliers"/>
    <x v="0"/>
  </r>
  <r>
    <d v="2024-02-23T00:00:00"/>
    <s v="Rajiv Chowk"/>
    <s v="Bus"/>
    <x v="1"/>
    <n v="1000"/>
    <b v="1"/>
    <x v="3"/>
    <s v="Evening"/>
    <s v="Slippery"/>
    <s v="26-35"/>
    <n v="3"/>
    <s v="Medium"/>
    <s v="Expired"/>
    <b v="1"/>
    <n v="29"/>
    <s v="Haryana"/>
    <n v="7"/>
    <n v="3"/>
    <n v="1938"/>
    <s v="Unpaid"/>
    <s v="Not an Outliers"/>
    <x v="0"/>
  </r>
  <r>
    <d v="2024-02-24T00:00:00"/>
    <s v="Sector 29"/>
    <s v="Bike"/>
    <x v="5"/>
    <n v="7194"/>
    <b v="1"/>
    <x v="2"/>
    <s v="Evening"/>
    <s v="Slippery"/>
    <s v="36-50"/>
    <n v="0"/>
    <s v="Low"/>
    <s v="Expired"/>
    <b v="0"/>
    <n v="111"/>
    <s v="Punjab"/>
    <n v="7"/>
    <n v="1"/>
    <n v="3255"/>
    <s v="Paid"/>
    <s v="Not an Outliers"/>
    <x v="1"/>
  </r>
  <r>
    <d v="2024-02-24T00:00:00"/>
    <s v="Udyog Vihar"/>
    <s v="Bike"/>
    <x v="5"/>
    <n v="2107"/>
    <b v="0"/>
    <x v="4"/>
    <s v="Morning"/>
    <s v="Slippery"/>
    <s v="18-25"/>
    <n v="3"/>
    <s v="High"/>
    <s v="Valid"/>
    <b v="0"/>
    <n v="96"/>
    <s v="Delhi"/>
    <n v="10"/>
    <n v="1"/>
    <n v="3712"/>
    <s v="Unpaid"/>
    <s v="Not an Outliers"/>
    <x v="1"/>
  </r>
  <r>
    <d v="2024-02-25T00:00:00"/>
    <s v="Sohna Road near Iris Tech Park"/>
    <s v="Car"/>
    <x v="1"/>
    <n v="1000"/>
    <b v="0"/>
    <x v="2"/>
    <s v="Morning"/>
    <s v="Dry"/>
    <s v="26-35"/>
    <n v="2"/>
    <s v="High"/>
    <s v="Suspended"/>
    <b v="0"/>
    <n v="18"/>
    <s v="Uttar Pradesh"/>
    <n v="6"/>
    <n v="3"/>
    <n v="4787"/>
    <s v="Disputed"/>
    <s v="Not an Outliers"/>
    <x v="1"/>
  </r>
  <r>
    <d v="2024-02-25T00:00:00"/>
    <s v="Udyog Vihar"/>
    <s v="Auto-rickshaw"/>
    <x v="3"/>
    <n v="1991"/>
    <b v="0"/>
    <x v="3"/>
    <s v="Night"/>
    <s v="Slippery"/>
    <s v="26-35"/>
    <n v="0"/>
    <s v="High"/>
    <s v="Learner"/>
    <b v="0"/>
    <n v="87"/>
    <s v="Delhi"/>
    <n v="9"/>
    <n v="3"/>
    <n v="629"/>
    <s v="Paid"/>
    <s v="Not an Outliers"/>
    <x v="1"/>
  </r>
  <r>
    <d v="2024-02-26T00:00:00"/>
    <s v="Sector 29"/>
    <s v="Bike"/>
    <x v="0"/>
    <n v="1000"/>
    <b v="0"/>
    <x v="2"/>
    <s v="Morning"/>
    <s v="Under Construction"/>
    <s v="26-35"/>
    <n v="2"/>
    <s v="Medium"/>
    <s v="Learner"/>
    <b v="0"/>
    <n v="95"/>
    <s v="Haryana"/>
    <n v="4"/>
    <n v="1"/>
    <n v="1997"/>
    <s v="Paid"/>
    <s v="Not an Outliers"/>
    <x v="0"/>
  </r>
  <r>
    <d v="2024-02-26T00:00:00"/>
    <s v="Rajiv Chowk"/>
    <s v="Truck"/>
    <x v="1"/>
    <n v="1000"/>
    <b v="1"/>
    <x v="0"/>
    <s v="Evening"/>
    <s v="Dry"/>
    <s v="36-50"/>
    <n v="2"/>
    <s v="High"/>
    <s v="Suspended"/>
    <b v="1"/>
    <n v="106"/>
    <s v="Punjab"/>
    <n v="2"/>
    <n v="1"/>
    <n v="2223"/>
    <s v="Paid"/>
    <s v="Not an Outliers"/>
    <x v="0"/>
  </r>
  <r>
    <d v="2024-02-26T00:00:00"/>
    <s v="Udyog Vihar"/>
    <s v="Car"/>
    <x v="3"/>
    <n v="3924"/>
    <b v="1"/>
    <x v="1"/>
    <s v="Night"/>
    <s v="Under Construction"/>
    <s v="50+"/>
    <n v="5"/>
    <s v="Low"/>
    <s v="Valid"/>
    <b v="0"/>
    <n v="61"/>
    <s v="Rajasthan"/>
    <n v="2"/>
    <n v="2"/>
    <n v="1984"/>
    <s v="Paid"/>
    <s v="Not an Outliers"/>
    <x v="0"/>
  </r>
  <r>
    <d v="2024-02-27T00:00:00"/>
    <s v="Sikanderpur"/>
    <s v="Truck"/>
    <x v="1"/>
    <n v="1000"/>
    <b v="0"/>
    <x v="4"/>
    <s v="Night"/>
    <s v="Dry"/>
    <s v="18-25"/>
    <n v="0"/>
    <s v="High"/>
    <s v="Suspended"/>
    <b v="1"/>
    <n v="114"/>
    <s v="Punjab"/>
    <n v="7"/>
    <n v="1"/>
    <n v="4217"/>
    <s v="Unpaid"/>
    <s v="Not an Outliers"/>
    <x v="0"/>
  </r>
  <r>
    <d v="2024-02-27T00:00:00"/>
    <s v="IFFCO Chowk"/>
    <s v="Bike"/>
    <x v="2"/>
    <n v="2113"/>
    <b v="1"/>
    <x v="3"/>
    <s v="Evening"/>
    <s v="Slippery"/>
    <s v="26-35"/>
    <n v="3"/>
    <s v="Medium"/>
    <s v="Valid"/>
    <b v="1"/>
    <n v="106"/>
    <s v="Haryana"/>
    <n v="4"/>
    <n v="1"/>
    <n v="1283"/>
    <s v="Unpaid"/>
    <s v="Not an Outliers"/>
    <x v="0"/>
  </r>
  <r>
    <d v="2024-02-28T00:00:00"/>
    <s v="Sohna Road near Iris Tech Park"/>
    <s v="Truck"/>
    <x v="5"/>
    <n v="6020"/>
    <b v="0"/>
    <x v="1"/>
    <s v="Morning"/>
    <s v="Dry"/>
    <s v="36-50"/>
    <n v="2"/>
    <s v="High"/>
    <s v="Valid"/>
    <b v="0"/>
    <n v="77"/>
    <s v="Haryana"/>
    <n v="4"/>
    <n v="3"/>
    <n v="1489"/>
    <s v="Disputed"/>
    <s v="Not an Outliers"/>
    <x v="0"/>
  </r>
  <r>
    <d v="2024-02-28T00:00:00"/>
    <s v="Sohna Road near Iris Tech Park"/>
    <s v="Bus"/>
    <x v="1"/>
    <n v="1000"/>
    <b v="0"/>
    <x v="0"/>
    <s v="Evening"/>
    <s v="Slippery"/>
    <s v="26-35"/>
    <n v="3"/>
    <s v="Low"/>
    <s v="Valid"/>
    <b v="1"/>
    <n v="78"/>
    <s v="Rajasthan"/>
    <n v="7"/>
    <n v="3"/>
    <n v="723"/>
    <s v="Disputed"/>
    <s v="Not an Outliers"/>
    <x v="0"/>
  </r>
  <r>
    <d v="2024-02-28T00:00:00"/>
    <s v="Signature Tower Chowk"/>
    <s v="Bus"/>
    <x v="1"/>
    <n v="1000"/>
    <b v="1"/>
    <x v="0"/>
    <s v="Afternoon"/>
    <s v="Slippery"/>
    <s v="36-50"/>
    <n v="3"/>
    <s v="High"/>
    <s v="Valid"/>
    <b v="0"/>
    <n v="91"/>
    <s v="Uttar Pradesh"/>
    <n v="9"/>
    <n v="3"/>
    <n v="593"/>
    <s v="Disputed"/>
    <s v="Not an Outliers"/>
    <x v="0"/>
  </r>
  <r>
    <d v="2024-03-01T00:00:00"/>
    <s v="Sikanderpur"/>
    <s v="Truck"/>
    <x v="1"/>
    <n v="1000"/>
    <b v="0"/>
    <x v="1"/>
    <s v="Night"/>
    <s v="Wet"/>
    <s v="36-50"/>
    <n v="3"/>
    <s v="Low"/>
    <s v="Valid"/>
    <b v="1"/>
    <n v="78"/>
    <s v="Delhi"/>
    <n v="5"/>
    <n v="1"/>
    <n v="1154"/>
    <s v="Disputed"/>
    <s v="Not an Outliers"/>
    <x v="0"/>
  </r>
  <r>
    <d v="2024-03-01T00:00:00"/>
    <s v="Sheetala Mata Road"/>
    <s v="Auto-rickshaw"/>
    <x v="2"/>
    <n v="2370"/>
    <b v="0"/>
    <x v="0"/>
    <s v="Evening"/>
    <s v="Dry"/>
    <s v="26-35"/>
    <n v="0"/>
    <s v="High"/>
    <s v="Suspended"/>
    <b v="1"/>
    <n v="60"/>
    <s v="Haryana"/>
    <n v="7"/>
    <n v="1"/>
    <n v="3860"/>
    <s v="Unpaid"/>
    <s v="Not an Outliers"/>
    <x v="0"/>
  </r>
  <r>
    <d v="2024-03-02T00:00:00"/>
    <s v="Sector 56"/>
    <s v="Auto-rickshaw"/>
    <x v="3"/>
    <n v="4558"/>
    <b v="0"/>
    <x v="3"/>
    <s v="Morning"/>
    <s v="Wet"/>
    <s v="26-35"/>
    <n v="0"/>
    <s v="Low"/>
    <s v="Learner"/>
    <b v="0"/>
    <n v="20"/>
    <s v="Haryana"/>
    <n v="2"/>
    <n v="3"/>
    <n v="4513"/>
    <s v="Paid"/>
    <s v="Not an Outliers"/>
    <x v="1"/>
  </r>
  <r>
    <d v="2024-03-03T00:00:00"/>
    <s v="Udyog Vihar"/>
    <s v="Bus"/>
    <x v="1"/>
    <n v="1000"/>
    <b v="0"/>
    <x v="3"/>
    <s v="Night"/>
    <s v="Under Construction"/>
    <s v="36-50"/>
    <n v="4"/>
    <s v="Medium"/>
    <s v="Valid"/>
    <b v="1"/>
    <n v="14"/>
    <s v="Uttar Pradesh"/>
    <n v="7"/>
    <n v="3"/>
    <n v="4730"/>
    <s v="Paid"/>
    <s v="Not an Outliers"/>
    <x v="1"/>
  </r>
  <r>
    <d v="2024-03-03T00:00:00"/>
    <s v="NH-8"/>
    <s v="Car"/>
    <x v="2"/>
    <n v="3940"/>
    <b v="1"/>
    <x v="0"/>
    <s v="Evening"/>
    <s v="Under Construction"/>
    <s v="26-35"/>
    <n v="5"/>
    <s v="Low"/>
    <s v="Expired"/>
    <b v="1"/>
    <n v="119"/>
    <s v="Rajasthan"/>
    <n v="1"/>
    <n v="3"/>
    <n v="2264"/>
    <s v="Paid"/>
    <s v="Not an Outliers"/>
    <x v="1"/>
  </r>
  <r>
    <d v="2024-03-04T00:00:00"/>
    <s v="Manesar Toll"/>
    <s v="Auto-rickshaw"/>
    <x v="4"/>
    <n v="6423"/>
    <b v="1"/>
    <x v="2"/>
    <s v="Afternoon"/>
    <s v="Dry"/>
    <s v="50+"/>
    <n v="5"/>
    <s v="Low"/>
    <s v="Learner"/>
    <b v="0"/>
    <n v="103"/>
    <s v="Uttar Pradesh"/>
    <n v="8"/>
    <n v="3"/>
    <n v="2274"/>
    <s v="Disputed"/>
    <s v="Not an Outliers"/>
    <x v="0"/>
  </r>
  <r>
    <d v="2024-03-04T00:00:00"/>
    <s v="Huda City Center"/>
    <s v="Bus"/>
    <x v="5"/>
    <n v="6400"/>
    <b v="0"/>
    <x v="3"/>
    <s v="Night"/>
    <s v="Dry"/>
    <s v="36-50"/>
    <n v="3"/>
    <s v="High"/>
    <s v="Valid"/>
    <b v="1"/>
    <n v="3"/>
    <s v="Punjab"/>
    <n v="9"/>
    <n v="2"/>
    <n v="4011"/>
    <s v="Disputed"/>
    <s v="Not an Outliers"/>
    <x v="0"/>
  </r>
  <r>
    <d v="2024-03-05T00:00:00"/>
    <s v="Sheetala Mata Road"/>
    <s v="Truck"/>
    <x v="4"/>
    <n v="7583"/>
    <b v="0"/>
    <x v="0"/>
    <s v="Morning"/>
    <s v="Under Construction"/>
    <s v="26-35"/>
    <n v="3"/>
    <s v="Medium"/>
    <s v="Valid"/>
    <b v="0"/>
    <n v="16"/>
    <s v="Rajasthan"/>
    <n v="5"/>
    <n v="2"/>
    <n v="3499"/>
    <s v="Unpaid"/>
    <s v="Not an Outliers"/>
    <x v="0"/>
  </r>
  <r>
    <d v="2024-03-05T00:00:00"/>
    <s v="Sector 29"/>
    <s v="Truck"/>
    <x v="5"/>
    <n v="5732"/>
    <b v="0"/>
    <x v="3"/>
    <s v="Morning"/>
    <s v="Wet"/>
    <s v="50+"/>
    <n v="4"/>
    <s v="High"/>
    <s v="Valid"/>
    <b v="1"/>
    <n v="102"/>
    <s v="Uttar Pradesh"/>
    <n v="6"/>
    <n v="3"/>
    <n v="1800"/>
    <s v="Unpaid"/>
    <s v="Not an Outliers"/>
    <x v="0"/>
  </r>
  <r>
    <d v="2024-03-06T00:00:00"/>
    <s v="MG Road"/>
    <s v="Car"/>
    <x v="1"/>
    <n v="1000"/>
    <b v="1"/>
    <x v="3"/>
    <s v="Morning"/>
    <s v="Under Construction"/>
    <s v="26-35"/>
    <n v="2"/>
    <s v="Low"/>
    <s v="Expired"/>
    <b v="1"/>
    <n v="102"/>
    <s v="Punjab"/>
    <n v="9"/>
    <n v="2"/>
    <n v="3047"/>
    <s v="Disputed"/>
    <s v="Not an Outliers"/>
    <x v="0"/>
  </r>
  <r>
    <d v="2024-03-06T00:00:00"/>
    <s v="Udyog Vihar"/>
    <s v="Bus"/>
    <x v="2"/>
    <n v="1013"/>
    <b v="1"/>
    <x v="0"/>
    <s v="Night"/>
    <s v="Slippery"/>
    <s v="18-25"/>
    <n v="5"/>
    <s v="Medium"/>
    <s v="Suspended"/>
    <b v="1"/>
    <n v="104"/>
    <s v="Punjab"/>
    <n v="7"/>
    <n v="2"/>
    <n v="4303"/>
    <s v="Paid"/>
    <s v="Not an Outliers"/>
    <x v="0"/>
  </r>
  <r>
    <d v="2024-03-06T00:00:00"/>
    <s v="Golf Course Road"/>
    <s v="Bus"/>
    <x v="2"/>
    <n v="4849"/>
    <b v="1"/>
    <x v="4"/>
    <s v="Night"/>
    <s v="Dry"/>
    <s v="26-35"/>
    <n v="3"/>
    <s v="High"/>
    <s v="Valid"/>
    <b v="0"/>
    <n v="22"/>
    <s v="Haryana"/>
    <n v="6"/>
    <n v="2"/>
    <n v="3840"/>
    <s v="Disputed"/>
    <s v="Not an Outliers"/>
    <x v="0"/>
  </r>
  <r>
    <d v="2024-03-07T00:00:00"/>
    <s v="MG Road"/>
    <s v="Auto-rickshaw"/>
    <x v="4"/>
    <n v="6605"/>
    <b v="1"/>
    <x v="2"/>
    <s v="Evening"/>
    <s v="Dry"/>
    <s v="50+"/>
    <n v="0"/>
    <s v="High"/>
    <s v="Learner"/>
    <b v="1"/>
    <n v="101"/>
    <s v="Rajasthan"/>
    <n v="2"/>
    <n v="1"/>
    <n v="2580"/>
    <s v="Unpaid"/>
    <s v="Not an Outliers"/>
    <x v="0"/>
  </r>
  <r>
    <d v="2024-03-07T00:00:00"/>
    <s v="Udyog Vihar"/>
    <s v="Truck"/>
    <x v="1"/>
    <n v="1000"/>
    <b v="1"/>
    <x v="0"/>
    <s v="Night"/>
    <s v="Slippery"/>
    <s v="36-50"/>
    <n v="3"/>
    <s v="High"/>
    <s v="Valid"/>
    <b v="0"/>
    <n v="24"/>
    <s v="Punjab"/>
    <n v="1"/>
    <n v="1"/>
    <n v="1220"/>
    <s v="Unpaid"/>
    <s v="Not an Outliers"/>
    <x v="0"/>
  </r>
  <r>
    <d v="2024-03-08T00:00:00"/>
    <s v="Sohna Road near Iris Tech Park"/>
    <s v="Bike"/>
    <x v="4"/>
    <n v="9524"/>
    <b v="0"/>
    <x v="1"/>
    <s v="Afternoon"/>
    <s v="Wet"/>
    <s v="50+"/>
    <n v="3"/>
    <s v="Low"/>
    <s v="Valid"/>
    <b v="1"/>
    <n v="93"/>
    <s v="Uttar Pradesh"/>
    <n v="10"/>
    <n v="2"/>
    <n v="4906"/>
    <s v="Disputed"/>
    <s v="Not an Outliers"/>
    <x v="0"/>
  </r>
  <r>
    <d v="2024-03-08T00:00:00"/>
    <s v="Sikanderpur"/>
    <s v="Auto-rickshaw"/>
    <x v="5"/>
    <n v="3425"/>
    <b v="1"/>
    <x v="3"/>
    <s v="Afternoon"/>
    <s v="Dry"/>
    <s v="50+"/>
    <n v="0"/>
    <s v="High"/>
    <s v="Expired"/>
    <b v="1"/>
    <n v="32"/>
    <s v="Uttar Pradesh"/>
    <n v="6"/>
    <n v="3"/>
    <n v="1664"/>
    <s v="Disputed"/>
    <s v="Not an Outliers"/>
    <x v="0"/>
  </r>
  <r>
    <d v="2024-03-08T00:00:00"/>
    <s v="Udyog Vihar"/>
    <s v="Bus"/>
    <x v="3"/>
    <n v="4050"/>
    <b v="0"/>
    <x v="1"/>
    <s v="Morning"/>
    <s v="Slippery"/>
    <s v="36-50"/>
    <n v="1"/>
    <s v="High"/>
    <s v="Suspended"/>
    <b v="0"/>
    <n v="42"/>
    <s v="Delhi"/>
    <n v="9"/>
    <n v="2"/>
    <n v="1206"/>
    <s v="Disputed"/>
    <s v="Not an Outliers"/>
    <x v="0"/>
  </r>
  <r>
    <d v="2024-03-10T00:00:00"/>
    <s v="Sheetala Mata Road"/>
    <s v="Auto-rickshaw"/>
    <x v="4"/>
    <n v="9543"/>
    <b v="1"/>
    <x v="0"/>
    <s v="Evening"/>
    <s v="Wet"/>
    <s v="50+"/>
    <n v="4"/>
    <s v="Medium"/>
    <s v="Expired"/>
    <b v="1"/>
    <n v="96"/>
    <s v="Delhi"/>
    <n v="6"/>
    <n v="3"/>
    <n v="3807"/>
    <s v="Disputed"/>
    <s v="Not an Outliers"/>
    <x v="1"/>
  </r>
  <r>
    <d v="2024-03-11T00:00:00"/>
    <s v="MG Road"/>
    <s v="Car"/>
    <x v="1"/>
    <n v="1000"/>
    <b v="1"/>
    <x v="2"/>
    <s v="Morning"/>
    <s v="Slippery"/>
    <s v="26-35"/>
    <n v="2"/>
    <s v="Medium"/>
    <s v="Valid"/>
    <b v="0"/>
    <n v="39"/>
    <s v="Punjab"/>
    <n v="3"/>
    <n v="3"/>
    <n v="2362"/>
    <s v="Paid"/>
    <s v="Not an Outliers"/>
    <x v="0"/>
  </r>
  <r>
    <d v="2024-03-11T00:00:00"/>
    <s v="IFFCO Chowk"/>
    <s v="Bus"/>
    <x v="1"/>
    <n v="1000"/>
    <b v="0"/>
    <x v="2"/>
    <s v="Afternoon"/>
    <s v="Wet"/>
    <s v="50+"/>
    <n v="0"/>
    <s v="Medium"/>
    <s v="Learner"/>
    <b v="1"/>
    <n v="34"/>
    <s v="Delhi"/>
    <n v="1"/>
    <n v="1"/>
    <n v="850"/>
    <s v="Disputed"/>
    <s v="Not an Outliers"/>
    <x v="0"/>
  </r>
  <r>
    <d v="2024-03-11T00:00:00"/>
    <s v="Rajiv Chowk"/>
    <s v="Bike"/>
    <x v="0"/>
    <n v="1000"/>
    <b v="0"/>
    <x v="3"/>
    <s v="Evening"/>
    <s v="Dry"/>
    <s v="18-25"/>
    <n v="1"/>
    <s v="High"/>
    <s v="Valid"/>
    <b v="0"/>
    <n v="10"/>
    <s v="Punjab"/>
    <n v="9"/>
    <n v="1"/>
    <n v="2655"/>
    <s v="Unpaid"/>
    <s v="Not an Outliers"/>
    <x v="0"/>
  </r>
  <r>
    <d v="2024-03-11T00:00:00"/>
    <s v="Udyog Vihar"/>
    <s v="Auto-rickshaw"/>
    <x v="3"/>
    <n v="8170"/>
    <b v="1"/>
    <x v="1"/>
    <s v="Evening"/>
    <s v="Under Construction"/>
    <s v="36-50"/>
    <n v="3"/>
    <s v="High"/>
    <s v="Valid"/>
    <b v="1"/>
    <n v="46"/>
    <s v="Delhi"/>
    <n v="2"/>
    <n v="3"/>
    <n v="1893"/>
    <s v="Paid"/>
    <s v="Not an Outliers"/>
    <x v="0"/>
  </r>
  <r>
    <d v="2024-03-11T00:00:00"/>
    <s v="Manesar Toll"/>
    <s v="Truck"/>
    <x v="5"/>
    <n v="20565"/>
    <b v="0"/>
    <x v="3"/>
    <s v="Morning"/>
    <s v="Under Construction"/>
    <s v="18-25"/>
    <n v="2"/>
    <s v="Low"/>
    <s v="Suspended"/>
    <b v="1"/>
    <n v="17"/>
    <s v="Haryana"/>
    <n v="2"/>
    <n v="3"/>
    <n v="1311"/>
    <s v="Unpaid"/>
    <s v="Outliers"/>
    <x v="0"/>
  </r>
  <r>
    <d v="2024-03-13T00:00:00"/>
    <s v="MG Road"/>
    <s v="Bike"/>
    <x v="0"/>
    <n v="1000"/>
    <b v="1"/>
    <x v="4"/>
    <s v="Evening"/>
    <s v="Wet"/>
    <s v="50+"/>
    <n v="2"/>
    <s v="Medium"/>
    <s v="Valid"/>
    <b v="0"/>
    <n v="29"/>
    <s v="Punjab"/>
    <n v="2"/>
    <n v="1"/>
    <n v="3358"/>
    <s v="Paid"/>
    <s v="Not an Outliers"/>
    <x v="0"/>
  </r>
  <r>
    <d v="2024-03-13T00:00:00"/>
    <s v="Signature Tower Chowk"/>
    <s v="Auto-rickshaw"/>
    <x v="1"/>
    <n v="1000"/>
    <b v="0"/>
    <x v="1"/>
    <s v="Morning"/>
    <s v="Dry"/>
    <s v="36-50"/>
    <n v="5"/>
    <s v="Medium"/>
    <s v="Learner"/>
    <b v="1"/>
    <n v="19"/>
    <s v="Punjab"/>
    <n v="2"/>
    <n v="1"/>
    <n v="1062"/>
    <s v="Paid"/>
    <s v="Not an Outliers"/>
    <x v="0"/>
  </r>
  <r>
    <d v="2024-03-13T00:00:00"/>
    <s v="Huda City Center"/>
    <s v="Truck"/>
    <x v="1"/>
    <n v="1000"/>
    <b v="0"/>
    <x v="1"/>
    <s v="Night"/>
    <s v="Dry"/>
    <s v="36-50"/>
    <n v="0"/>
    <s v="Low"/>
    <s v="Valid"/>
    <b v="1"/>
    <n v="9"/>
    <s v="Punjab"/>
    <n v="3"/>
    <n v="1"/>
    <n v="3908"/>
    <s v="Unpaid"/>
    <s v="Not an Outliers"/>
    <x v="0"/>
  </r>
  <r>
    <d v="2024-03-14T00:00:00"/>
    <s v="Signature Tower Chowk"/>
    <s v="Auto-rickshaw"/>
    <x v="4"/>
    <n v="8928"/>
    <b v="1"/>
    <x v="3"/>
    <s v="Morning"/>
    <s v="Dry"/>
    <s v="50+"/>
    <n v="3"/>
    <s v="High"/>
    <s v="Suspended"/>
    <b v="0"/>
    <n v="1"/>
    <s v="Delhi"/>
    <n v="6"/>
    <n v="3"/>
    <n v="3045"/>
    <s v="Disputed"/>
    <s v="Not an Outliers"/>
    <x v="0"/>
  </r>
  <r>
    <d v="2024-03-14T00:00:00"/>
    <s v="Golf Course Road"/>
    <s v="Bike"/>
    <x v="4"/>
    <n v="7190"/>
    <b v="0"/>
    <x v="2"/>
    <s v="Afternoon"/>
    <s v="Under Construction"/>
    <s v="18-25"/>
    <n v="4"/>
    <s v="Low"/>
    <s v="Learner"/>
    <b v="0"/>
    <n v="23"/>
    <s v="Rajasthan"/>
    <n v="1"/>
    <n v="2"/>
    <n v="4779"/>
    <s v="Disputed"/>
    <s v="Not an Outliers"/>
    <x v="0"/>
  </r>
  <r>
    <d v="2024-03-15T00:00:00"/>
    <s v="MG Road"/>
    <s v="Car"/>
    <x v="4"/>
    <n v="9455"/>
    <b v="0"/>
    <x v="3"/>
    <s v="Evening"/>
    <s v="Slippery"/>
    <s v="26-35"/>
    <n v="2"/>
    <s v="High"/>
    <s v="Suspended"/>
    <b v="1"/>
    <n v="94"/>
    <s v="Haryana"/>
    <n v="9"/>
    <n v="1"/>
    <n v="1414"/>
    <s v="Disputed"/>
    <s v="Not an Outliers"/>
    <x v="0"/>
  </r>
  <r>
    <d v="2024-03-15T00:00:00"/>
    <s v="Sohna Road near Iris Tech Park"/>
    <s v="Car"/>
    <x v="5"/>
    <n v="6200"/>
    <b v="0"/>
    <x v="2"/>
    <s v="Morning"/>
    <s v="Wet"/>
    <s v="18-25"/>
    <n v="3"/>
    <s v="High"/>
    <s v="Valid"/>
    <b v="1"/>
    <n v="47"/>
    <s v="Delhi"/>
    <n v="5"/>
    <n v="3"/>
    <n v="2006"/>
    <s v="Paid"/>
    <s v="Not an Outliers"/>
    <x v="0"/>
  </r>
  <r>
    <d v="2024-03-16T00:00:00"/>
    <s v="MG Road"/>
    <s v="Truck"/>
    <x v="5"/>
    <n v="3649"/>
    <b v="0"/>
    <x v="3"/>
    <s v="Morning"/>
    <s v="Under Construction"/>
    <s v="18-25"/>
    <n v="5"/>
    <s v="Low"/>
    <s v="Suspended"/>
    <b v="1"/>
    <n v="114"/>
    <s v="Punjab"/>
    <n v="10"/>
    <n v="2"/>
    <n v="4559"/>
    <s v="Paid"/>
    <s v="Not an Outliers"/>
    <x v="1"/>
  </r>
  <r>
    <d v="2024-03-16T00:00:00"/>
    <s v="IFFCO Chowk"/>
    <s v="Bus"/>
    <x v="3"/>
    <n v="2656"/>
    <b v="1"/>
    <x v="0"/>
    <s v="Afternoon"/>
    <s v="Slippery"/>
    <s v="18-25"/>
    <n v="5"/>
    <s v="Low"/>
    <s v="Learner"/>
    <b v="1"/>
    <n v="107"/>
    <s v="Delhi"/>
    <n v="9"/>
    <n v="1"/>
    <n v="2052"/>
    <s v="Disputed"/>
    <s v="Not an Outliers"/>
    <x v="1"/>
  </r>
  <r>
    <d v="2024-03-16T00:00:00"/>
    <s v="Cyber City"/>
    <s v="Truck"/>
    <x v="2"/>
    <n v="2864"/>
    <b v="1"/>
    <x v="3"/>
    <s v="Evening"/>
    <s v="Under Construction"/>
    <s v="50+"/>
    <n v="1"/>
    <s v="High"/>
    <s v="Valid"/>
    <b v="0"/>
    <n v="5"/>
    <s v="Uttar Pradesh"/>
    <n v="1"/>
    <n v="2"/>
    <n v="3092"/>
    <s v="Paid"/>
    <s v="Not an Outliers"/>
    <x v="1"/>
  </r>
  <r>
    <d v="2024-03-16T00:00:00"/>
    <s v="Rajiv Chowk"/>
    <s v="Bus"/>
    <x v="5"/>
    <n v="7437"/>
    <b v="1"/>
    <x v="3"/>
    <s v="Evening"/>
    <s v="Under Construction"/>
    <s v="36-50"/>
    <n v="2"/>
    <s v="High"/>
    <s v="Expired"/>
    <b v="1"/>
    <n v="85"/>
    <s v="Uttar Pradesh"/>
    <n v="9"/>
    <n v="2"/>
    <n v="4192"/>
    <s v="Paid"/>
    <s v="Not an Outliers"/>
    <x v="1"/>
  </r>
  <r>
    <d v="2024-03-16T00:00:00"/>
    <s v="Udyog Vihar"/>
    <s v="Auto-rickshaw"/>
    <x v="5"/>
    <n v="29415"/>
    <b v="0"/>
    <x v="0"/>
    <s v="Morning"/>
    <s v="Under Construction"/>
    <s v="36-50"/>
    <n v="0"/>
    <s v="Low"/>
    <s v="Expired"/>
    <b v="0"/>
    <n v="72"/>
    <s v="Delhi"/>
    <n v="10"/>
    <n v="1"/>
    <n v="4743"/>
    <s v="Paid"/>
    <s v="Outliers"/>
    <x v="1"/>
  </r>
  <r>
    <d v="2024-03-16T00:00:00"/>
    <s v="Sohna Road near Iris Tech Park"/>
    <s v="Car"/>
    <x v="1"/>
    <n v="1000"/>
    <b v="0"/>
    <x v="0"/>
    <s v="Afternoon"/>
    <s v="Dry"/>
    <s v="18-25"/>
    <n v="4"/>
    <s v="Low"/>
    <s v="Suspended"/>
    <b v="0"/>
    <n v="65"/>
    <s v="Punjab"/>
    <n v="2"/>
    <n v="3"/>
    <n v="1227"/>
    <s v="Disputed"/>
    <s v="Not an Outliers"/>
    <x v="1"/>
  </r>
  <r>
    <d v="2024-03-16T00:00:00"/>
    <s v="Manesar Toll"/>
    <s v="Bus"/>
    <x v="2"/>
    <n v="4009"/>
    <b v="0"/>
    <x v="2"/>
    <s v="Evening"/>
    <s v="Dry"/>
    <s v="50+"/>
    <n v="5"/>
    <s v="High"/>
    <s v="Learner"/>
    <b v="1"/>
    <n v="12"/>
    <s v="Rajasthan"/>
    <n v="5"/>
    <n v="1"/>
    <n v="2209"/>
    <s v="Disputed"/>
    <s v="Not an Outliers"/>
    <x v="1"/>
  </r>
  <r>
    <d v="2024-03-16T00:00:00"/>
    <s v="Sikanderpur"/>
    <s v="Auto-rickshaw"/>
    <x v="1"/>
    <n v="1000"/>
    <b v="0"/>
    <x v="2"/>
    <s v="Evening"/>
    <s v="Under Construction"/>
    <s v="36-50"/>
    <n v="1"/>
    <s v="Low"/>
    <s v="Valid"/>
    <b v="1"/>
    <n v="67"/>
    <s v="Haryana"/>
    <n v="5"/>
    <n v="3"/>
    <n v="4506"/>
    <s v="Unpaid"/>
    <s v="Not an Outliers"/>
    <x v="1"/>
  </r>
  <r>
    <d v="2024-03-17T00:00:00"/>
    <s v="Rajiv Chowk"/>
    <s v="Auto-rickshaw"/>
    <x v="1"/>
    <n v="1000"/>
    <b v="1"/>
    <x v="0"/>
    <s v="Morning"/>
    <s v="Under Construction"/>
    <s v="50+"/>
    <n v="2"/>
    <s v="High"/>
    <s v="Suspended"/>
    <b v="0"/>
    <n v="87"/>
    <s v="Punjab"/>
    <n v="9"/>
    <n v="1"/>
    <n v="759"/>
    <s v="Paid"/>
    <s v="Not an Outliers"/>
    <x v="1"/>
  </r>
  <r>
    <d v="2024-03-17T00:00:00"/>
    <s v="Sikanderpur"/>
    <s v="Bus"/>
    <x v="3"/>
    <n v="4565"/>
    <b v="0"/>
    <x v="0"/>
    <s v="Evening"/>
    <s v="Wet"/>
    <s v="50+"/>
    <n v="1"/>
    <s v="High"/>
    <s v="Learner"/>
    <b v="1"/>
    <n v="115"/>
    <s v="Rajasthan"/>
    <n v="6"/>
    <n v="1"/>
    <n v="1044"/>
    <s v="Disputed"/>
    <s v="Not an Outliers"/>
    <x v="1"/>
  </r>
  <r>
    <d v="2024-03-18T00:00:00"/>
    <s v="Golf Course Road"/>
    <s v="Truck"/>
    <x v="4"/>
    <n v="8640"/>
    <b v="0"/>
    <x v="2"/>
    <s v="Night"/>
    <s v="Under Construction"/>
    <s v="18-25"/>
    <n v="0"/>
    <s v="High"/>
    <s v="Learner"/>
    <b v="0"/>
    <n v="103"/>
    <s v="Haryana"/>
    <n v="10"/>
    <n v="2"/>
    <n v="2065"/>
    <s v="Disputed"/>
    <s v="Not an Outliers"/>
    <x v="0"/>
  </r>
  <r>
    <d v="2024-03-18T00:00:00"/>
    <s v="Manesar Toll"/>
    <s v="Car"/>
    <x v="4"/>
    <n v="8231"/>
    <b v="0"/>
    <x v="4"/>
    <s v="Afternoon"/>
    <s v="Wet"/>
    <s v="18-25"/>
    <n v="5"/>
    <s v="High"/>
    <s v="Expired"/>
    <b v="1"/>
    <n v="110"/>
    <s v="Punjab"/>
    <n v="5"/>
    <n v="1"/>
    <n v="1719"/>
    <s v="Disputed"/>
    <s v="Not an Outliers"/>
    <x v="0"/>
  </r>
  <r>
    <d v="2024-03-19T00:00:00"/>
    <s v="Sikanderpur"/>
    <s v="Auto-rickshaw"/>
    <x v="4"/>
    <n v="6970"/>
    <b v="0"/>
    <x v="3"/>
    <s v="Evening"/>
    <s v="Under Construction"/>
    <s v="26-35"/>
    <n v="3"/>
    <s v="Medium"/>
    <s v="Valid"/>
    <b v="1"/>
    <n v="88"/>
    <s v="Delhi"/>
    <n v="10"/>
    <n v="3"/>
    <n v="1644"/>
    <s v="Unpaid"/>
    <s v="Not an Outliers"/>
    <x v="0"/>
  </r>
  <r>
    <d v="2024-03-19T00:00:00"/>
    <s v="Sikanderpur"/>
    <s v="Bike"/>
    <x v="0"/>
    <n v="1000"/>
    <b v="0"/>
    <x v="2"/>
    <s v="Night"/>
    <s v="Dry"/>
    <s v="50+"/>
    <n v="0"/>
    <s v="Low"/>
    <s v="Valid"/>
    <b v="1"/>
    <n v="21"/>
    <s v="Haryana"/>
    <n v="6"/>
    <n v="2"/>
    <n v="4364"/>
    <s v="Unpaid"/>
    <s v="Not an Outliers"/>
    <x v="0"/>
  </r>
  <r>
    <d v="2024-03-19T00:00:00"/>
    <s v="Cyber City"/>
    <s v="Truck"/>
    <x v="3"/>
    <n v="4151"/>
    <b v="0"/>
    <x v="3"/>
    <s v="Morning"/>
    <s v="Under Construction"/>
    <s v="26-35"/>
    <n v="3"/>
    <s v="High"/>
    <s v="Learner"/>
    <b v="0"/>
    <n v="16"/>
    <s v="Rajasthan"/>
    <n v="6"/>
    <n v="3"/>
    <n v="1942"/>
    <s v="Unpaid"/>
    <s v="Not an Outliers"/>
    <x v="0"/>
  </r>
  <r>
    <d v="2024-03-19T00:00:00"/>
    <s v="Udyog Vihar"/>
    <s v="Car"/>
    <x v="1"/>
    <n v="1000"/>
    <b v="0"/>
    <x v="1"/>
    <s v="Evening"/>
    <s v="Slippery"/>
    <s v="36-50"/>
    <n v="3"/>
    <s v="High"/>
    <s v="Learner"/>
    <b v="0"/>
    <n v="77"/>
    <s v="Punjab"/>
    <n v="1"/>
    <n v="1"/>
    <n v="3878"/>
    <s v="Unpaid"/>
    <s v="Not an Outliers"/>
    <x v="0"/>
  </r>
  <r>
    <d v="2024-03-20T00:00:00"/>
    <s v="IFFCO Chowk"/>
    <s v="Bus"/>
    <x v="4"/>
    <n v="9390"/>
    <b v="0"/>
    <x v="0"/>
    <s v="Evening"/>
    <s v="Under Construction"/>
    <s v="36-50"/>
    <n v="5"/>
    <s v="High"/>
    <s v="Expired"/>
    <b v="1"/>
    <n v="59"/>
    <s v="Rajasthan"/>
    <n v="1"/>
    <n v="2"/>
    <n v="4971"/>
    <s v="Paid"/>
    <s v="Not an Outliers"/>
    <x v="0"/>
  </r>
  <r>
    <d v="2024-03-20T00:00:00"/>
    <s v="Sector 29"/>
    <s v="Auto-rickshaw"/>
    <x v="2"/>
    <n v="3435"/>
    <b v="0"/>
    <x v="3"/>
    <s v="Night"/>
    <s v="Wet"/>
    <s v="18-25"/>
    <n v="5"/>
    <s v="Medium"/>
    <s v="Suspended"/>
    <b v="0"/>
    <n v="20"/>
    <s v="Uttar Pradesh"/>
    <n v="6"/>
    <n v="3"/>
    <n v="4713"/>
    <s v="Disputed"/>
    <s v="Not an Outliers"/>
    <x v="0"/>
  </r>
  <r>
    <d v="2024-03-20T00:00:00"/>
    <s v="Sheetala Mata Road"/>
    <s v="Truck"/>
    <x v="3"/>
    <n v="4219"/>
    <b v="0"/>
    <x v="4"/>
    <s v="Morning"/>
    <s v="Dry"/>
    <s v="36-50"/>
    <n v="5"/>
    <s v="Medium"/>
    <s v="Valid"/>
    <b v="1"/>
    <n v="47"/>
    <s v="Delhi"/>
    <n v="2"/>
    <n v="3"/>
    <n v="2190"/>
    <s v="Disputed"/>
    <s v="Not an Outliers"/>
    <x v="0"/>
  </r>
  <r>
    <d v="2024-03-21T00:00:00"/>
    <s v="Sector 56"/>
    <s v="Truck"/>
    <x v="4"/>
    <n v="9292"/>
    <b v="0"/>
    <x v="3"/>
    <s v="Morning"/>
    <s v="Under Construction"/>
    <s v="18-25"/>
    <n v="0"/>
    <s v="High"/>
    <s v="Valid"/>
    <b v="1"/>
    <n v="103"/>
    <s v="Uttar Pradesh"/>
    <n v="4"/>
    <n v="1"/>
    <n v="528"/>
    <s v="Paid"/>
    <s v="Not an Outliers"/>
    <x v="0"/>
  </r>
  <r>
    <d v="2024-03-23T00:00:00"/>
    <s v="NH-8"/>
    <s v="Car"/>
    <x v="5"/>
    <n v="7714"/>
    <b v="1"/>
    <x v="3"/>
    <s v="Night"/>
    <s v="Wet"/>
    <s v="50+"/>
    <n v="3"/>
    <s v="High"/>
    <s v="Valid"/>
    <b v="0"/>
    <n v="116"/>
    <s v="Rajasthan"/>
    <n v="10"/>
    <n v="1"/>
    <n v="850"/>
    <s v="Paid"/>
    <s v="Not an Outliers"/>
    <x v="1"/>
  </r>
  <r>
    <d v="2024-03-23T00:00:00"/>
    <s v="Rajiv Chowk"/>
    <s v="Bike"/>
    <x v="0"/>
    <n v="1000"/>
    <b v="1"/>
    <x v="0"/>
    <s v="Evening"/>
    <s v="Slippery"/>
    <s v="26-35"/>
    <n v="1"/>
    <s v="Medium"/>
    <s v="Learner"/>
    <b v="0"/>
    <n v="3"/>
    <s v="Delhi"/>
    <n v="6"/>
    <n v="3"/>
    <n v="3241"/>
    <s v="Paid"/>
    <s v="Not an Outliers"/>
    <x v="1"/>
  </r>
  <r>
    <d v="2024-03-24T00:00:00"/>
    <s v="Cyber City"/>
    <s v="Bus"/>
    <x v="4"/>
    <n v="6223"/>
    <b v="0"/>
    <x v="3"/>
    <s v="Morning"/>
    <s v="Under Construction"/>
    <s v="18-25"/>
    <n v="1"/>
    <s v="High"/>
    <s v="Expired"/>
    <b v="0"/>
    <n v="85"/>
    <s v="Delhi"/>
    <n v="10"/>
    <n v="2"/>
    <n v="1677"/>
    <s v="Paid"/>
    <s v="Not an Outliers"/>
    <x v="1"/>
  </r>
  <r>
    <d v="2024-03-24T00:00:00"/>
    <s v="Sheetala Mata Road"/>
    <s v="Bike"/>
    <x v="0"/>
    <n v="1000"/>
    <b v="1"/>
    <x v="1"/>
    <s v="Evening"/>
    <s v="Under Construction"/>
    <s v="26-35"/>
    <n v="2"/>
    <s v="High"/>
    <s v="Valid"/>
    <b v="1"/>
    <n v="56"/>
    <s v="Haryana"/>
    <n v="3"/>
    <n v="1"/>
    <n v="3941"/>
    <s v="Disputed"/>
    <s v="Not an Outliers"/>
    <x v="1"/>
  </r>
  <r>
    <d v="2024-03-25T00:00:00"/>
    <s v="Sheetala Mata Road"/>
    <s v="Truck"/>
    <x v="4"/>
    <n v="7195"/>
    <b v="1"/>
    <x v="4"/>
    <s v="Evening"/>
    <s v="Wet"/>
    <s v="36-50"/>
    <n v="0"/>
    <s v="High"/>
    <s v="Learner"/>
    <b v="1"/>
    <n v="110"/>
    <s v="Haryana"/>
    <n v="7"/>
    <n v="2"/>
    <n v="1344"/>
    <s v="Unpaid"/>
    <s v="Not an Outliers"/>
    <x v="0"/>
  </r>
  <r>
    <d v="2024-03-25T00:00:00"/>
    <s v="Sohna Road near Iris Tech Park"/>
    <s v="Truck"/>
    <x v="5"/>
    <n v="6178"/>
    <b v="0"/>
    <x v="0"/>
    <s v="Night"/>
    <s v="Wet"/>
    <s v="50+"/>
    <n v="1"/>
    <s v="High"/>
    <s v="Learner"/>
    <b v="0"/>
    <n v="29"/>
    <s v="Rajasthan"/>
    <n v="9"/>
    <n v="3"/>
    <n v="1608"/>
    <s v="Disputed"/>
    <s v="Not an Outliers"/>
    <x v="0"/>
  </r>
  <r>
    <d v="2024-03-26T00:00:00"/>
    <s v="Sikanderpur"/>
    <s v="Bike"/>
    <x v="0"/>
    <n v="1000"/>
    <b v="0"/>
    <x v="2"/>
    <s v="Evening"/>
    <s v="Slippery"/>
    <s v="26-35"/>
    <n v="2"/>
    <s v="High"/>
    <s v="Valid"/>
    <b v="0"/>
    <n v="83"/>
    <s v="Delhi"/>
    <n v="9"/>
    <n v="1"/>
    <n v="2362"/>
    <s v="Paid"/>
    <s v="Not an Outliers"/>
    <x v="0"/>
  </r>
  <r>
    <d v="2024-03-26T00:00:00"/>
    <s v="Cyber City"/>
    <s v="Bike"/>
    <x v="0"/>
    <n v="1000"/>
    <b v="0"/>
    <x v="2"/>
    <s v="Morning"/>
    <s v="Under Construction"/>
    <s v="18-25"/>
    <n v="1"/>
    <s v="High"/>
    <s v="Suspended"/>
    <b v="1"/>
    <n v="87"/>
    <s v="Haryana"/>
    <n v="3"/>
    <n v="2"/>
    <n v="3121"/>
    <s v="Paid"/>
    <s v="Not an Outliers"/>
    <x v="0"/>
  </r>
  <r>
    <d v="2024-03-26T00:00:00"/>
    <s v="MG Road"/>
    <s v="Truck"/>
    <x v="3"/>
    <n v="3939"/>
    <b v="0"/>
    <x v="4"/>
    <s v="Morning"/>
    <s v="Dry"/>
    <s v="26-35"/>
    <n v="1"/>
    <s v="Medium"/>
    <s v="Suspended"/>
    <b v="1"/>
    <n v="27"/>
    <s v="Delhi"/>
    <n v="6"/>
    <n v="2"/>
    <n v="3484"/>
    <s v="Paid"/>
    <s v="Not an Outliers"/>
    <x v="0"/>
  </r>
  <r>
    <d v="2024-03-26T00:00:00"/>
    <s v="IFFCO Chowk"/>
    <s v="Car"/>
    <x v="3"/>
    <n v="3825"/>
    <b v="0"/>
    <x v="3"/>
    <s v="Evening"/>
    <s v="Wet"/>
    <s v="26-35"/>
    <n v="2"/>
    <s v="Low"/>
    <s v="Suspended"/>
    <b v="1"/>
    <n v="52"/>
    <s v="Uttar Pradesh"/>
    <n v="9"/>
    <n v="3"/>
    <n v="2517"/>
    <s v="Disputed"/>
    <s v="Not an Outliers"/>
    <x v="0"/>
  </r>
  <r>
    <d v="2024-03-26T00:00:00"/>
    <s v="Udyog Vihar"/>
    <s v="Bus"/>
    <x v="4"/>
    <n v="9931"/>
    <b v="0"/>
    <x v="3"/>
    <s v="Evening"/>
    <s v="Under Construction"/>
    <s v="26-35"/>
    <n v="5"/>
    <s v="Medium"/>
    <s v="Valid"/>
    <b v="1"/>
    <n v="1"/>
    <s v="Uttar Pradesh"/>
    <n v="6"/>
    <n v="2"/>
    <n v="1020"/>
    <s v="Unpaid"/>
    <s v="Not an Outliers"/>
    <x v="0"/>
  </r>
  <r>
    <d v="2024-03-26T00:00:00"/>
    <s v="Sector 56"/>
    <s v="Bike"/>
    <x v="0"/>
    <n v="1000"/>
    <b v="1"/>
    <x v="4"/>
    <s v="Morning"/>
    <s v="Slippery"/>
    <s v="50+"/>
    <n v="0"/>
    <s v="Medium"/>
    <s v="Valid"/>
    <b v="0"/>
    <n v="75"/>
    <s v="Haryana"/>
    <n v="8"/>
    <n v="3"/>
    <n v="1119"/>
    <s v="Disputed"/>
    <s v="Not an Outliers"/>
    <x v="0"/>
  </r>
  <r>
    <d v="2024-03-26T00:00:00"/>
    <s v="Golf Course Road"/>
    <s v="Bus"/>
    <x v="5"/>
    <n v="4521"/>
    <b v="1"/>
    <x v="2"/>
    <s v="Evening"/>
    <s v="Slippery"/>
    <s v="26-35"/>
    <n v="2"/>
    <s v="Medium"/>
    <s v="Learner"/>
    <b v="1"/>
    <n v="27"/>
    <s v="Punjab"/>
    <n v="5"/>
    <n v="3"/>
    <n v="3801"/>
    <s v="Disputed"/>
    <s v="Not an Outliers"/>
    <x v="0"/>
  </r>
  <r>
    <d v="2024-03-27T00:00:00"/>
    <s v="Udyog Vihar"/>
    <s v="Truck"/>
    <x v="1"/>
    <n v="5000"/>
    <b v="1"/>
    <x v="3"/>
    <s v="Morning"/>
    <s v="Dry"/>
    <s v="18-25"/>
    <n v="3"/>
    <s v="Low"/>
    <s v="Suspended"/>
    <b v="1"/>
    <n v="65"/>
    <s v="Rajasthan"/>
    <n v="4"/>
    <n v="2"/>
    <n v="4073"/>
    <s v="Paid"/>
    <s v="Not an Outliers"/>
    <x v="0"/>
  </r>
  <r>
    <d v="2024-03-27T00:00:00"/>
    <s v="Huda City Center"/>
    <s v="Bus"/>
    <x v="3"/>
    <n v="2882"/>
    <b v="1"/>
    <x v="0"/>
    <s v="Night"/>
    <s v="Under Construction"/>
    <s v="50+"/>
    <n v="4"/>
    <s v="High"/>
    <s v="Expired"/>
    <b v="1"/>
    <n v="68"/>
    <s v="Uttar Pradesh"/>
    <n v="3"/>
    <n v="1"/>
    <n v="2797"/>
    <s v="Paid"/>
    <s v="Not an Outliers"/>
    <x v="0"/>
  </r>
  <r>
    <d v="2024-03-27T00:00:00"/>
    <s v="Sikanderpur"/>
    <s v="Car"/>
    <x v="2"/>
    <n v="3944"/>
    <b v="1"/>
    <x v="4"/>
    <s v="Night"/>
    <s v="Slippery"/>
    <s v="50+"/>
    <n v="5"/>
    <s v="High"/>
    <s v="Suspended"/>
    <b v="1"/>
    <n v="55"/>
    <s v="Punjab"/>
    <n v="1"/>
    <n v="3"/>
    <n v="2288"/>
    <s v="Paid"/>
    <s v="Not an Outliers"/>
    <x v="0"/>
  </r>
  <r>
    <d v="2024-03-27T00:00:00"/>
    <s v="MG Road"/>
    <s v="Truck"/>
    <x v="1"/>
    <n v="1000"/>
    <b v="0"/>
    <x v="3"/>
    <s v="Night"/>
    <s v="Under Construction"/>
    <s v="50+"/>
    <n v="5"/>
    <s v="Medium"/>
    <s v="Learner"/>
    <b v="0"/>
    <n v="11"/>
    <s v="Rajasthan"/>
    <n v="1"/>
    <n v="2"/>
    <n v="2142"/>
    <s v="Paid"/>
    <s v="Not an Outliers"/>
    <x v="0"/>
  </r>
  <r>
    <d v="2024-03-28T00:00:00"/>
    <s v="Cyber City"/>
    <s v="Car"/>
    <x v="4"/>
    <n v="8744"/>
    <b v="0"/>
    <x v="2"/>
    <s v="Night"/>
    <s v="Under Construction"/>
    <s v="18-25"/>
    <n v="1"/>
    <s v="High"/>
    <s v="Suspended"/>
    <b v="0"/>
    <n v="62"/>
    <s v="Punjab"/>
    <n v="6"/>
    <n v="3"/>
    <n v="4591"/>
    <s v="Unpaid"/>
    <s v="Not an Outliers"/>
    <x v="0"/>
  </r>
  <r>
    <d v="2024-03-28T00:00:00"/>
    <s v="MG Road"/>
    <s v="Truck"/>
    <x v="5"/>
    <n v="3015"/>
    <b v="1"/>
    <x v="0"/>
    <s v="Night"/>
    <s v="Slippery"/>
    <s v="36-50"/>
    <n v="2"/>
    <s v="Medium"/>
    <s v="Valid"/>
    <b v="0"/>
    <n v="99"/>
    <s v="Delhi"/>
    <n v="9"/>
    <n v="2"/>
    <n v="1712"/>
    <s v="Paid"/>
    <s v="Not an Outliers"/>
    <x v="0"/>
  </r>
  <r>
    <d v="2024-04-01T00:00:00"/>
    <s v="Sector 56"/>
    <s v="Car"/>
    <x v="5"/>
    <n v="3853"/>
    <b v="1"/>
    <x v="3"/>
    <s v="Evening"/>
    <s v="Slippery"/>
    <s v="50+"/>
    <n v="0"/>
    <s v="Medium"/>
    <s v="Expired"/>
    <b v="1"/>
    <n v="116"/>
    <s v="Haryana"/>
    <n v="6"/>
    <n v="2"/>
    <n v="3124"/>
    <s v="Paid"/>
    <s v="Not an Outliers"/>
    <x v="0"/>
  </r>
  <r>
    <d v="2024-04-01T00:00:00"/>
    <s v="Manesar Toll"/>
    <s v="Car"/>
    <x v="3"/>
    <n v="2850"/>
    <b v="0"/>
    <x v="4"/>
    <s v="Night"/>
    <s v="Slippery"/>
    <s v="18-25"/>
    <n v="1"/>
    <s v="Low"/>
    <s v="Suspended"/>
    <b v="1"/>
    <n v="1"/>
    <s v="Rajasthan"/>
    <n v="8"/>
    <n v="1"/>
    <n v="4305"/>
    <s v="Paid"/>
    <s v="Not an Outliers"/>
    <x v="0"/>
  </r>
  <r>
    <d v="2024-04-01T00:00:00"/>
    <s v="Sector 29"/>
    <s v="Truck"/>
    <x v="4"/>
    <n v="6924"/>
    <b v="1"/>
    <x v="2"/>
    <s v="Afternoon"/>
    <s v="Wet"/>
    <s v="50+"/>
    <n v="5"/>
    <s v="High"/>
    <s v="Suspended"/>
    <b v="1"/>
    <n v="83"/>
    <s v="Delhi"/>
    <n v="2"/>
    <n v="2"/>
    <n v="1213"/>
    <s v="Paid"/>
    <s v="Not an Outliers"/>
    <x v="0"/>
  </r>
  <r>
    <d v="2024-04-01T00:00:00"/>
    <s v="Sector 56"/>
    <s v="Car"/>
    <x v="2"/>
    <n v="1729"/>
    <b v="0"/>
    <x v="2"/>
    <s v="Night"/>
    <s v="Dry"/>
    <s v="36-50"/>
    <n v="1"/>
    <s v="Low"/>
    <s v="Learner"/>
    <b v="1"/>
    <n v="48"/>
    <s v="Delhi"/>
    <n v="2"/>
    <n v="3"/>
    <n v="1318"/>
    <s v="Unpaid"/>
    <s v="Not an Outliers"/>
    <x v="0"/>
  </r>
  <r>
    <d v="2024-04-05T00:00:00"/>
    <s v="Sheetala Mata Road"/>
    <s v="Bike"/>
    <x v="0"/>
    <n v="1000"/>
    <b v="1"/>
    <x v="0"/>
    <s v="Night"/>
    <s v="Dry"/>
    <s v="26-35"/>
    <n v="2"/>
    <s v="Medium"/>
    <s v="Expired"/>
    <b v="1"/>
    <n v="16"/>
    <s v="Delhi"/>
    <n v="10"/>
    <n v="2"/>
    <n v="2235"/>
    <s v="Unpaid"/>
    <s v="Not an Outliers"/>
    <x v="0"/>
  </r>
  <r>
    <d v="2024-04-05T00:00:00"/>
    <s v="MG Road"/>
    <s v="Car"/>
    <x v="1"/>
    <n v="1000"/>
    <b v="0"/>
    <x v="0"/>
    <s v="Morning"/>
    <s v="Dry"/>
    <s v="50+"/>
    <n v="4"/>
    <s v="Medium"/>
    <s v="Suspended"/>
    <b v="1"/>
    <n v="117"/>
    <s v="Delhi"/>
    <n v="1"/>
    <n v="3"/>
    <n v="1550"/>
    <s v="Disputed"/>
    <s v="Not an Outliers"/>
    <x v="0"/>
  </r>
  <r>
    <d v="2024-04-05T00:00:00"/>
    <s v="Golf Course Road"/>
    <s v="Car"/>
    <x v="3"/>
    <n v="2520"/>
    <b v="0"/>
    <x v="0"/>
    <s v="Morning"/>
    <s v="Wet"/>
    <s v="18-25"/>
    <n v="1"/>
    <s v="High"/>
    <s v="Learner"/>
    <b v="0"/>
    <n v="50"/>
    <s v="Uttar Pradesh"/>
    <n v="8"/>
    <n v="2"/>
    <n v="1306"/>
    <s v="Unpaid"/>
    <s v="Not an Outliers"/>
    <x v="0"/>
  </r>
  <r>
    <d v="2024-04-06T00:00:00"/>
    <s v="Manesar Toll"/>
    <s v="Truck"/>
    <x v="3"/>
    <n v="2595"/>
    <b v="0"/>
    <x v="3"/>
    <s v="Morning"/>
    <s v="Under Construction"/>
    <s v="50+"/>
    <n v="4"/>
    <s v="High"/>
    <s v="Suspended"/>
    <b v="1"/>
    <n v="27"/>
    <s v="Haryana"/>
    <n v="7"/>
    <n v="3"/>
    <n v="568"/>
    <s v="Paid"/>
    <s v="Not an Outliers"/>
    <x v="1"/>
  </r>
  <r>
    <d v="2024-04-06T00:00:00"/>
    <s v="Sohna Road near Iris Tech Park"/>
    <s v="Bus"/>
    <x v="5"/>
    <n v="6172"/>
    <b v="0"/>
    <x v="1"/>
    <s v="Evening"/>
    <s v="Slippery"/>
    <s v="50+"/>
    <n v="5"/>
    <s v="Medium"/>
    <s v="Expired"/>
    <b v="0"/>
    <n v="86"/>
    <s v="Haryana"/>
    <n v="7"/>
    <n v="3"/>
    <n v="3519"/>
    <s v="Paid"/>
    <s v="Not an Outliers"/>
    <x v="1"/>
  </r>
  <r>
    <d v="2024-04-06T00:00:00"/>
    <s v="Sohna Road near Iris Tech Park"/>
    <s v="Bike"/>
    <x v="5"/>
    <n v="3488"/>
    <b v="0"/>
    <x v="2"/>
    <s v="Night"/>
    <s v="Wet"/>
    <s v="50+"/>
    <n v="2"/>
    <s v="Low"/>
    <s v="Valid"/>
    <b v="1"/>
    <n v="55"/>
    <s v="Uttar Pradesh"/>
    <n v="2"/>
    <n v="2"/>
    <n v="1899"/>
    <s v="Paid"/>
    <s v="Not an Outliers"/>
    <x v="1"/>
  </r>
  <r>
    <d v="2024-04-07T00:00:00"/>
    <s v="Sheetala Mata Road"/>
    <s v="Auto-rickshaw"/>
    <x v="2"/>
    <n v="3161"/>
    <b v="1"/>
    <x v="1"/>
    <s v="Night"/>
    <s v="Dry"/>
    <s v="36-50"/>
    <n v="5"/>
    <s v="Medium"/>
    <s v="Expired"/>
    <b v="0"/>
    <n v="12"/>
    <s v="Delhi"/>
    <n v="9"/>
    <n v="1"/>
    <n v="3737"/>
    <s v="Paid"/>
    <s v="Not an Outliers"/>
    <x v="1"/>
  </r>
  <r>
    <d v="2024-04-07T00:00:00"/>
    <s v="Cyber City"/>
    <s v="Bus"/>
    <x v="1"/>
    <n v="1000"/>
    <b v="0"/>
    <x v="3"/>
    <s v="Morning"/>
    <s v="Wet"/>
    <s v="36-50"/>
    <n v="5"/>
    <s v="Medium"/>
    <s v="Valid"/>
    <b v="0"/>
    <n v="8"/>
    <s v="Delhi"/>
    <n v="5"/>
    <n v="2"/>
    <n v="4001"/>
    <s v="Disputed"/>
    <s v="Not an Outliers"/>
    <x v="1"/>
  </r>
  <r>
    <d v="2024-04-07T00:00:00"/>
    <s v="Sector 56"/>
    <s v="Bike"/>
    <x v="5"/>
    <n v="6115"/>
    <b v="0"/>
    <x v="2"/>
    <s v="Afternoon"/>
    <s v="Under Construction"/>
    <s v="18-25"/>
    <n v="3"/>
    <s v="High"/>
    <s v="Suspended"/>
    <b v="0"/>
    <n v="74"/>
    <s v="Punjab"/>
    <n v="2"/>
    <n v="3"/>
    <n v="1380"/>
    <s v="Disputed"/>
    <s v="Not an Outliers"/>
    <x v="1"/>
  </r>
  <r>
    <d v="2024-04-07T00:00:00"/>
    <s v="Huda City Center"/>
    <s v="Auto-rickshaw"/>
    <x v="1"/>
    <n v="1000"/>
    <b v="0"/>
    <x v="4"/>
    <s v="Afternoon"/>
    <s v="Slippery"/>
    <s v="18-25"/>
    <n v="1"/>
    <s v="Medium"/>
    <s v="Suspended"/>
    <b v="1"/>
    <n v="70"/>
    <s v="Haryana"/>
    <n v="4"/>
    <n v="2"/>
    <n v="3842"/>
    <s v="Paid"/>
    <s v="Not an Outliers"/>
    <x v="1"/>
  </r>
  <r>
    <d v="2024-04-07T00:00:00"/>
    <s v="Sheetala Mata Road"/>
    <s v="Truck"/>
    <x v="4"/>
    <n v="6344"/>
    <b v="0"/>
    <x v="0"/>
    <s v="Afternoon"/>
    <s v="Dry"/>
    <s v="26-35"/>
    <n v="2"/>
    <s v="High"/>
    <s v="Expired"/>
    <b v="0"/>
    <n v="29"/>
    <s v="Delhi"/>
    <n v="10"/>
    <n v="3"/>
    <n v="4027"/>
    <s v="Paid"/>
    <s v="Not an Outliers"/>
    <x v="1"/>
  </r>
  <r>
    <d v="2024-04-08T00:00:00"/>
    <s v="IFFCO Chowk"/>
    <s v="Bus"/>
    <x v="4"/>
    <n v="5407"/>
    <b v="0"/>
    <x v="3"/>
    <s v="Afternoon"/>
    <s v="Wet"/>
    <s v="50+"/>
    <n v="1"/>
    <s v="Medium"/>
    <s v="Expired"/>
    <b v="0"/>
    <n v="12"/>
    <s v="Punjab"/>
    <n v="4"/>
    <n v="1"/>
    <n v="4023"/>
    <s v="Unpaid"/>
    <s v="Not an Outliers"/>
    <x v="0"/>
  </r>
  <r>
    <d v="2024-04-08T00:00:00"/>
    <s v="Cyber City"/>
    <s v="Car"/>
    <x v="3"/>
    <n v="3752"/>
    <b v="0"/>
    <x v="3"/>
    <s v="Evening"/>
    <s v="Dry"/>
    <s v="50+"/>
    <n v="0"/>
    <s v="Medium"/>
    <s v="Learner"/>
    <b v="1"/>
    <n v="28"/>
    <s v="Punjab"/>
    <n v="4"/>
    <n v="1"/>
    <n v="1920"/>
    <s v="Disputed"/>
    <s v="Not an Outliers"/>
    <x v="0"/>
  </r>
  <r>
    <d v="2024-04-08T00:00:00"/>
    <s v="Cyber City"/>
    <s v="Car"/>
    <x v="1"/>
    <n v="1000"/>
    <b v="1"/>
    <x v="3"/>
    <s v="Morning"/>
    <s v="Dry"/>
    <s v="26-35"/>
    <n v="5"/>
    <s v="Low"/>
    <s v="Learner"/>
    <b v="1"/>
    <n v="41"/>
    <s v="Punjab"/>
    <n v="9"/>
    <n v="2"/>
    <n v="3283"/>
    <s v="Disputed"/>
    <s v="Not an Outliers"/>
    <x v="0"/>
  </r>
  <r>
    <d v="2024-04-08T00:00:00"/>
    <s v="Golf Course Road"/>
    <s v="Car"/>
    <x v="2"/>
    <n v="2447"/>
    <b v="1"/>
    <x v="4"/>
    <s v="Evening"/>
    <s v="Slippery"/>
    <s v="26-35"/>
    <n v="0"/>
    <s v="High"/>
    <s v="Suspended"/>
    <b v="0"/>
    <n v="9"/>
    <s v="Uttar Pradesh"/>
    <n v="9"/>
    <n v="3"/>
    <n v="827"/>
    <s v="Unpaid"/>
    <s v="Not an Outliers"/>
    <x v="0"/>
  </r>
  <r>
    <d v="2024-04-10T00:00:00"/>
    <s v="Cyber City"/>
    <s v="Auto-rickshaw"/>
    <x v="4"/>
    <n v="8389"/>
    <b v="0"/>
    <x v="0"/>
    <s v="Afternoon"/>
    <s v="Dry"/>
    <s v="36-50"/>
    <n v="4"/>
    <s v="Low"/>
    <s v="Expired"/>
    <b v="1"/>
    <n v="18"/>
    <s v="Haryana"/>
    <n v="6"/>
    <n v="1"/>
    <n v="4594"/>
    <s v="Disputed"/>
    <s v="Not an Outliers"/>
    <x v="0"/>
  </r>
  <r>
    <d v="2024-04-11T00:00:00"/>
    <s v="Udyog Vihar"/>
    <s v="Auto-rickshaw"/>
    <x v="5"/>
    <n v="3204"/>
    <b v="0"/>
    <x v="4"/>
    <s v="Afternoon"/>
    <s v="Wet"/>
    <s v="36-50"/>
    <n v="1"/>
    <s v="High"/>
    <s v="Expired"/>
    <b v="0"/>
    <n v="40"/>
    <s v="Rajasthan"/>
    <n v="8"/>
    <n v="2"/>
    <n v="2433"/>
    <s v="Disputed"/>
    <s v="Not an Outliers"/>
    <x v="0"/>
  </r>
  <r>
    <d v="2024-04-11T00:00:00"/>
    <s v="NH-8"/>
    <s v="Bike"/>
    <x v="0"/>
    <n v="1000"/>
    <b v="0"/>
    <x v="0"/>
    <s v="Afternoon"/>
    <s v="Slippery"/>
    <s v="18-25"/>
    <n v="3"/>
    <s v="Medium"/>
    <s v="Learner"/>
    <b v="0"/>
    <n v="43"/>
    <s v="Delhi"/>
    <n v="4"/>
    <n v="1"/>
    <n v="2835"/>
    <s v="Disputed"/>
    <s v="Not an Outliers"/>
    <x v="0"/>
  </r>
  <r>
    <d v="2024-04-11T00:00:00"/>
    <s v="Sheetala Mata Road"/>
    <s v="Car"/>
    <x v="4"/>
    <n v="6696"/>
    <b v="1"/>
    <x v="0"/>
    <s v="Morning"/>
    <s v="Wet"/>
    <s v="18-25"/>
    <n v="2"/>
    <s v="High"/>
    <s v="Suspended"/>
    <b v="0"/>
    <n v="119"/>
    <s v="Haryana"/>
    <n v="6"/>
    <n v="3"/>
    <n v="4419"/>
    <s v="Paid"/>
    <s v="Not an Outliers"/>
    <x v="0"/>
  </r>
  <r>
    <d v="2024-04-13T00:00:00"/>
    <s v="Sohna Road near Iris Tech Park"/>
    <s v="Bus"/>
    <x v="3"/>
    <n v="3391"/>
    <b v="1"/>
    <x v="0"/>
    <s v="Night"/>
    <s v="Slippery"/>
    <s v="26-35"/>
    <n v="4"/>
    <s v="Low"/>
    <s v="Valid"/>
    <b v="1"/>
    <n v="12"/>
    <s v="Rajasthan"/>
    <n v="3"/>
    <n v="2"/>
    <n v="655"/>
    <s v="Unpaid"/>
    <s v="Not an Outliers"/>
    <x v="1"/>
  </r>
  <r>
    <d v="2024-04-13T00:00:00"/>
    <s v="IFFCO Chowk"/>
    <s v="Car"/>
    <x v="2"/>
    <n v="4207"/>
    <b v="1"/>
    <x v="1"/>
    <s v="Evening"/>
    <s v="Wet"/>
    <s v="26-35"/>
    <n v="3"/>
    <s v="High"/>
    <s v="Valid"/>
    <b v="0"/>
    <n v="88"/>
    <s v="Delhi"/>
    <n v="9"/>
    <n v="3"/>
    <n v="988"/>
    <s v="Paid"/>
    <s v="Not an Outliers"/>
    <x v="1"/>
  </r>
  <r>
    <d v="2024-04-14T00:00:00"/>
    <s v="Sikanderpur"/>
    <s v="Truck"/>
    <x v="5"/>
    <n v="6756"/>
    <b v="1"/>
    <x v="3"/>
    <s v="Afternoon"/>
    <s v="Under Construction"/>
    <s v="36-50"/>
    <n v="0"/>
    <s v="High"/>
    <s v="Expired"/>
    <b v="1"/>
    <n v="98"/>
    <s v="Rajasthan"/>
    <n v="7"/>
    <n v="3"/>
    <n v="3864"/>
    <s v="Unpaid"/>
    <s v="Not an Outliers"/>
    <x v="1"/>
  </r>
  <r>
    <d v="2024-04-15T00:00:00"/>
    <s v="IFFCO Chowk"/>
    <s v="Bus"/>
    <x v="2"/>
    <n v="1899"/>
    <b v="0"/>
    <x v="3"/>
    <s v="Morning"/>
    <s v="Slippery"/>
    <s v="26-35"/>
    <n v="4"/>
    <s v="Medium"/>
    <s v="Learner"/>
    <b v="0"/>
    <n v="28"/>
    <s v="Rajasthan"/>
    <n v="10"/>
    <n v="3"/>
    <n v="768"/>
    <s v="Disputed"/>
    <s v="Not an Outliers"/>
    <x v="0"/>
  </r>
  <r>
    <d v="2024-04-16T00:00:00"/>
    <s v="Sheetala Mata Road"/>
    <s v="Bus"/>
    <x v="3"/>
    <n v="2433"/>
    <b v="0"/>
    <x v="4"/>
    <s v="Morning"/>
    <s v="Wet"/>
    <s v="36-50"/>
    <n v="1"/>
    <s v="High"/>
    <s v="Suspended"/>
    <b v="1"/>
    <n v="59"/>
    <s v="Delhi"/>
    <n v="5"/>
    <n v="1"/>
    <n v="1479"/>
    <s v="Paid"/>
    <s v="Not an Outliers"/>
    <x v="0"/>
  </r>
  <r>
    <d v="2024-04-16T00:00:00"/>
    <s v="NH-8"/>
    <s v="Bike"/>
    <x v="3"/>
    <n v="4507"/>
    <b v="0"/>
    <x v="0"/>
    <s v="Afternoon"/>
    <s v="Slippery"/>
    <s v="26-35"/>
    <n v="2"/>
    <s v="Medium"/>
    <s v="Expired"/>
    <b v="0"/>
    <n v="46"/>
    <s v="Punjab"/>
    <n v="10"/>
    <n v="1"/>
    <n v="519"/>
    <s v="Unpaid"/>
    <s v="Not an Outliers"/>
    <x v="0"/>
  </r>
  <r>
    <d v="2024-04-16T00:00:00"/>
    <s v="Signature Tower Chowk"/>
    <s v="Bike"/>
    <x v="2"/>
    <n v="3781"/>
    <b v="0"/>
    <x v="1"/>
    <s v="Evening"/>
    <s v="Slippery"/>
    <s v="50+"/>
    <n v="4"/>
    <s v="Low"/>
    <s v="Learner"/>
    <b v="0"/>
    <n v="87"/>
    <s v="Rajasthan"/>
    <n v="3"/>
    <n v="2"/>
    <n v="2163"/>
    <s v="Paid"/>
    <s v="Not an Outliers"/>
    <x v="0"/>
  </r>
  <r>
    <d v="2024-04-17T00:00:00"/>
    <s v="Sikanderpur"/>
    <s v="Car"/>
    <x v="1"/>
    <n v="1000"/>
    <b v="0"/>
    <x v="3"/>
    <s v="Morning"/>
    <s v="Under Construction"/>
    <s v="36-50"/>
    <n v="0"/>
    <s v="High"/>
    <s v="Suspended"/>
    <b v="0"/>
    <n v="70"/>
    <s v="Punjab"/>
    <n v="10"/>
    <n v="1"/>
    <n v="1495"/>
    <s v="Unpaid"/>
    <s v="Not an Outliers"/>
    <x v="0"/>
  </r>
  <r>
    <d v="2024-04-17T00:00:00"/>
    <s v="NH-8"/>
    <s v="Auto-rickshaw"/>
    <x v="5"/>
    <n v="6476"/>
    <b v="1"/>
    <x v="0"/>
    <s v="Evening"/>
    <s v="Under Construction"/>
    <s v="18-25"/>
    <n v="4"/>
    <s v="Medium"/>
    <s v="Valid"/>
    <b v="1"/>
    <n v="95"/>
    <s v="Haryana"/>
    <n v="1"/>
    <n v="2"/>
    <n v="2242"/>
    <s v="Disputed"/>
    <s v="Not an Outliers"/>
    <x v="0"/>
  </r>
  <r>
    <d v="2024-04-17T00:00:00"/>
    <s v="Sheetala Mata Road"/>
    <s v="Car"/>
    <x v="5"/>
    <n v="7712"/>
    <b v="0"/>
    <x v="4"/>
    <s v="Night"/>
    <s v="Wet"/>
    <s v="36-50"/>
    <n v="3"/>
    <s v="High"/>
    <s v="Expired"/>
    <b v="0"/>
    <n v="110"/>
    <s v="Punjab"/>
    <n v="10"/>
    <n v="1"/>
    <n v="1048"/>
    <s v="Disputed"/>
    <s v="Not an Outliers"/>
    <x v="0"/>
  </r>
  <r>
    <d v="2024-04-18T00:00:00"/>
    <s v="Sector 29"/>
    <s v="Truck"/>
    <x v="2"/>
    <n v="1385"/>
    <b v="1"/>
    <x v="1"/>
    <s v="Afternoon"/>
    <s v="Wet"/>
    <s v="18-25"/>
    <n v="5"/>
    <s v="Medium"/>
    <s v="Learner"/>
    <b v="0"/>
    <n v="11"/>
    <s v="Haryana"/>
    <n v="6"/>
    <n v="1"/>
    <n v="2577"/>
    <s v="Disputed"/>
    <s v="Not an Outliers"/>
    <x v="0"/>
  </r>
  <r>
    <d v="2024-04-18T00:00:00"/>
    <s v="Sikanderpur"/>
    <s v="Bus"/>
    <x v="2"/>
    <n v="4260"/>
    <b v="1"/>
    <x v="3"/>
    <s v="Morning"/>
    <s v="Dry"/>
    <s v="18-25"/>
    <n v="0"/>
    <s v="High"/>
    <s v="Suspended"/>
    <b v="1"/>
    <n v="105"/>
    <s v="Delhi"/>
    <n v="1"/>
    <n v="1"/>
    <n v="4455"/>
    <s v="Disputed"/>
    <s v="Not an Outliers"/>
    <x v="0"/>
  </r>
  <r>
    <d v="2024-04-20T00:00:00"/>
    <s v="NH-8"/>
    <s v="Bus"/>
    <x v="1"/>
    <n v="1000"/>
    <b v="0"/>
    <x v="3"/>
    <s v="Morning"/>
    <s v="Dry"/>
    <s v="36-50"/>
    <n v="3"/>
    <s v="Medium"/>
    <s v="Learner"/>
    <b v="0"/>
    <n v="50"/>
    <s v="Rajasthan"/>
    <n v="1"/>
    <n v="1"/>
    <n v="4727"/>
    <s v="Disputed"/>
    <s v="Not an Outliers"/>
    <x v="1"/>
  </r>
  <r>
    <d v="2024-04-20T00:00:00"/>
    <s v="Huda City Center"/>
    <s v="Truck"/>
    <x v="5"/>
    <n v="7565"/>
    <b v="1"/>
    <x v="1"/>
    <s v="Morning"/>
    <s v="Slippery"/>
    <s v="50+"/>
    <n v="2"/>
    <s v="Low"/>
    <s v="Learner"/>
    <b v="1"/>
    <n v="63"/>
    <s v="Haryana"/>
    <n v="4"/>
    <n v="3"/>
    <n v="2251"/>
    <s v="Unpaid"/>
    <s v="Not an Outliers"/>
    <x v="1"/>
  </r>
  <r>
    <d v="2024-04-21T00:00:00"/>
    <s v="MG Road"/>
    <s v="Bus"/>
    <x v="3"/>
    <n v="1763"/>
    <b v="0"/>
    <x v="2"/>
    <s v="Night"/>
    <s v="Slippery"/>
    <s v="18-25"/>
    <n v="1"/>
    <s v="Low"/>
    <s v="Expired"/>
    <b v="0"/>
    <n v="64"/>
    <s v="Rajasthan"/>
    <n v="3"/>
    <n v="1"/>
    <n v="2871"/>
    <s v="Unpaid"/>
    <s v="Not an Outliers"/>
    <x v="1"/>
  </r>
  <r>
    <d v="2024-04-21T00:00:00"/>
    <s v="Sheetala Mata Road"/>
    <s v="Auto-rickshaw"/>
    <x v="1"/>
    <n v="1000"/>
    <b v="0"/>
    <x v="3"/>
    <s v="Night"/>
    <s v="Slippery"/>
    <s v="50+"/>
    <n v="1"/>
    <s v="Medium"/>
    <s v="Valid"/>
    <b v="1"/>
    <n v="43"/>
    <s v="Delhi"/>
    <n v="6"/>
    <n v="1"/>
    <n v="3059"/>
    <s v="Disputed"/>
    <s v="Not an Outliers"/>
    <x v="1"/>
  </r>
  <r>
    <d v="2024-04-21T00:00:00"/>
    <s v="MG Road"/>
    <s v="Auto-rickshaw"/>
    <x v="2"/>
    <n v="2953"/>
    <b v="1"/>
    <x v="2"/>
    <s v="Night"/>
    <s v="Slippery"/>
    <s v="18-25"/>
    <n v="2"/>
    <s v="Low"/>
    <s v="Valid"/>
    <b v="1"/>
    <n v="67"/>
    <s v="Delhi"/>
    <n v="9"/>
    <n v="2"/>
    <n v="4842"/>
    <s v="Disputed"/>
    <s v="Not an Outliers"/>
    <x v="1"/>
  </r>
  <r>
    <d v="2024-04-22T00:00:00"/>
    <s v="IFFCO Chowk"/>
    <s v="Car"/>
    <x v="1"/>
    <n v="1000"/>
    <b v="1"/>
    <x v="1"/>
    <s v="Night"/>
    <s v="Under Construction"/>
    <s v="26-35"/>
    <n v="4"/>
    <s v="Medium"/>
    <s v="Suspended"/>
    <b v="0"/>
    <n v="109"/>
    <s v="Punjab"/>
    <n v="7"/>
    <n v="3"/>
    <n v="1804"/>
    <s v="Unpaid"/>
    <s v="Not an Outliers"/>
    <x v="0"/>
  </r>
  <r>
    <d v="2024-04-22T00:00:00"/>
    <s v="Sohna Road near Iris Tech Park"/>
    <s v="Auto-rickshaw"/>
    <x v="2"/>
    <n v="1787"/>
    <b v="1"/>
    <x v="1"/>
    <s v="Morning"/>
    <s v="Slippery"/>
    <s v="26-35"/>
    <n v="1"/>
    <s v="High"/>
    <s v="Learner"/>
    <b v="0"/>
    <n v="56"/>
    <s v="Punjab"/>
    <n v="6"/>
    <n v="2"/>
    <n v="915"/>
    <s v="Paid"/>
    <s v="Not an Outliers"/>
    <x v="0"/>
  </r>
  <r>
    <d v="2024-04-23T00:00:00"/>
    <s v="Sikanderpur"/>
    <s v="Truck"/>
    <x v="3"/>
    <n v="3804"/>
    <b v="0"/>
    <x v="2"/>
    <s v="Afternoon"/>
    <s v="Dry"/>
    <s v="50+"/>
    <n v="0"/>
    <s v="Medium"/>
    <s v="Learner"/>
    <b v="1"/>
    <n v="118"/>
    <s v="Delhi"/>
    <n v="6"/>
    <n v="3"/>
    <n v="2326"/>
    <s v="Paid"/>
    <s v="Not an Outliers"/>
    <x v="0"/>
  </r>
  <r>
    <d v="2024-04-23T00:00:00"/>
    <s v="Sector 56"/>
    <s v="Bus"/>
    <x v="5"/>
    <n v="6672"/>
    <b v="1"/>
    <x v="4"/>
    <s v="Morning"/>
    <s v="Slippery"/>
    <s v="36-50"/>
    <n v="5"/>
    <s v="Medium"/>
    <s v="Learner"/>
    <b v="0"/>
    <n v="4"/>
    <s v="Rajasthan"/>
    <n v="4"/>
    <n v="2"/>
    <n v="1429"/>
    <s v="Paid"/>
    <s v="Not an Outliers"/>
    <x v="0"/>
  </r>
  <r>
    <d v="2024-04-23T00:00:00"/>
    <s v="Sheetala Mata Road"/>
    <s v="Car"/>
    <x v="4"/>
    <n v="8427"/>
    <b v="0"/>
    <x v="1"/>
    <s v="Night"/>
    <s v="Wet"/>
    <s v="50+"/>
    <n v="4"/>
    <s v="Medium"/>
    <s v="Learner"/>
    <b v="0"/>
    <n v="48"/>
    <s v="Rajasthan"/>
    <n v="4"/>
    <n v="2"/>
    <n v="2039"/>
    <s v="Unpaid"/>
    <s v="Not an Outliers"/>
    <x v="0"/>
  </r>
  <r>
    <d v="2024-04-23T00:00:00"/>
    <s v="IFFCO Chowk"/>
    <s v="Truck"/>
    <x v="4"/>
    <n v="8838"/>
    <b v="1"/>
    <x v="4"/>
    <s v="Night"/>
    <s v="Under Construction"/>
    <s v="36-50"/>
    <n v="3"/>
    <s v="High"/>
    <s v="Suspended"/>
    <b v="0"/>
    <n v="76"/>
    <s v="Haryana"/>
    <n v="10"/>
    <n v="2"/>
    <n v="1429"/>
    <s v="Disputed"/>
    <s v="Not an Outliers"/>
    <x v="0"/>
  </r>
  <r>
    <d v="2024-04-23T00:00:00"/>
    <s v="NH-8"/>
    <s v="Auto-rickshaw"/>
    <x v="2"/>
    <n v="2857"/>
    <b v="0"/>
    <x v="4"/>
    <s v="Morning"/>
    <s v="Slippery"/>
    <s v="26-35"/>
    <n v="5"/>
    <s v="Low"/>
    <s v="Expired"/>
    <b v="1"/>
    <n v="54"/>
    <s v="Haryana"/>
    <n v="5"/>
    <n v="3"/>
    <n v="2542"/>
    <s v="Paid"/>
    <s v="Not an Outliers"/>
    <x v="0"/>
  </r>
  <r>
    <d v="2024-04-24T00:00:00"/>
    <s v="Cyber City"/>
    <s v="Truck"/>
    <x v="4"/>
    <n v="6212"/>
    <b v="0"/>
    <x v="1"/>
    <s v="Night"/>
    <s v="Dry"/>
    <s v="50+"/>
    <n v="1"/>
    <s v="Low"/>
    <s v="Expired"/>
    <b v="0"/>
    <n v="34"/>
    <s v="Delhi"/>
    <n v="8"/>
    <n v="1"/>
    <n v="4111"/>
    <s v="Disputed"/>
    <s v="Not an Outliers"/>
    <x v="0"/>
  </r>
  <r>
    <d v="2024-04-24T00:00:00"/>
    <s v="Sheetala Mata Road"/>
    <s v="Bike"/>
    <x v="3"/>
    <n v="1543"/>
    <b v="0"/>
    <x v="0"/>
    <s v="Afternoon"/>
    <s v="Dry"/>
    <s v="50+"/>
    <n v="2"/>
    <s v="Low"/>
    <s v="Suspended"/>
    <b v="0"/>
    <n v="45"/>
    <s v="Punjab"/>
    <n v="4"/>
    <n v="1"/>
    <n v="1715"/>
    <s v="Disputed"/>
    <s v="Not an Outliers"/>
    <x v="0"/>
  </r>
  <r>
    <d v="2024-04-24T00:00:00"/>
    <s v="IFFCO Chowk"/>
    <s v="Truck"/>
    <x v="5"/>
    <n v="7005"/>
    <b v="1"/>
    <x v="1"/>
    <s v="Night"/>
    <s v="Under Construction"/>
    <s v="50+"/>
    <n v="2"/>
    <s v="Low"/>
    <s v="Suspended"/>
    <b v="0"/>
    <n v="98"/>
    <s v="Punjab"/>
    <n v="1"/>
    <n v="3"/>
    <n v="2838"/>
    <s v="Paid"/>
    <s v="Not an Outliers"/>
    <x v="0"/>
  </r>
  <r>
    <d v="2024-04-26T00:00:00"/>
    <s v="IFFCO Chowk"/>
    <s v="Auto-rickshaw"/>
    <x v="1"/>
    <n v="1000"/>
    <b v="0"/>
    <x v="0"/>
    <s v="Morning"/>
    <s v="Slippery"/>
    <s v="50+"/>
    <n v="2"/>
    <s v="Low"/>
    <s v="Expired"/>
    <b v="1"/>
    <n v="75"/>
    <s v="Uttar Pradesh"/>
    <n v="1"/>
    <n v="1"/>
    <n v="1786"/>
    <s v="Paid"/>
    <s v="Not an Outliers"/>
    <x v="0"/>
  </r>
  <r>
    <d v="2024-04-26T00:00:00"/>
    <s v="Sikanderpur"/>
    <s v="Car"/>
    <x v="5"/>
    <n v="5418"/>
    <b v="1"/>
    <x v="4"/>
    <s v="Morning"/>
    <s v="Under Construction"/>
    <s v="36-50"/>
    <n v="0"/>
    <s v="High"/>
    <s v="Learner"/>
    <b v="0"/>
    <n v="60"/>
    <s v="Haryana"/>
    <n v="10"/>
    <n v="1"/>
    <n v="3262"/>
    <s v="Paid"/>
    <s v="Not an Outliers"/>
    <x v="0"/>
  </r>
  <r>
    <d v="2024-04-27T00:00:00"/>
    <s v="Sector 29"/>
    <s v="Bus"/>
    <x v="1"/>
    <n v="1000"/>
    <b v="0"/>
    <x v="0"/>
    <s v="Evening"/>
    <s v="Wet"/>
    <s v="26-35"/>
    <n v="3"/>
    <s v="High"/>
    <s v="Learner"/>
    <b v="1"/>
    <n v="0"/>
    <s v="Haryana"/>
    <n v="6"/>
    <n v="1"/>
    <n v="4687"/>
    <s v="Unpaid"/>
    <s v="Not an Outliers"/>
    <x v="1"/>
  </r>
  <r>
    <d v="2024-04-27T00:00:00"/>
    <s v="Golf Course Road"/>
    <s v="Bike"/>
    <x v="5"/>
    <n v="2950"/>
    <b v="0"/>
    <x v="3"/>
    <s v="Morning"/>
    <s v="Wet"/>
    <s v="26-35"/>
    <n v="0"/>
    <s v="High"/>
    <s v="Expired"/>
    <b v="1"/>
    <n v="101"/>
    <s v="Haryana"/>
    <n v="4"/>
    <n v="2"/>
    <n v="1288"/>
    <s v="Unpaid"/>
    <s v="Not an Outliers"/>
    <x v="1"/>
  </r>
  <r>
    <d v="2024-04-28T00:00:00"/>
    <s v="Sheetala Mata Road"/>
    <s v="Auto-rickshaw"/>
    <x v="2"/>
    <n v="3053"/>
    <b v="0"/>
    <x v="4"/>
    <s v="Night"/>
    <s v="Under Construction"/>
    <s v="26-35"/>
    <n v="3"/>
    <s v="Low"/>
    <s v="Expired"/>
    <b v="0"/>
    <n v="109"/>
    <s v="Haryana"/>
    <n v="7"/>
    <n v="3"/>
    <n v="2044"/>
    <s v="Unpaid"/>
    <s v="Not an Outliers"/>
    <x v="1"/>
  </r>
  <r>
    <d v="2024-04-28T00:00:00"/>
    <s v="Sheetala Mata Road"/>
    <s v="Bike"/>
    <x v="2"/>
    <n v="4480"/>
    <b v="0"/>
    <x v="0"/>
    <s v="Night"/>
    <s v="Slippery"/>
    <s v="36-50"/>
    <n v="4"/>
    <s v="Low"/>
    <s v="Valid"/>
    <b v="0"/>
    <n v="20"/>
    <s v="Uttar Pradesh"/>
    <n v="7"/>
    <n v="1"/>
    <n v="2960"/>
    <s v="Paid"/>
    <s v="Not an Outliers"/>
    <x v="1"/>
  </r>
  <r>
    <d v="2024-04-28T00:00:00"/>
    <s v="Signature Tower Chowk"/>
    <s v="Car"/>
    <x v="3"/>
    <n v="2503"/>
    <b v="1"/>
    <x v="4"/>
    <s v="Night"/>
    <s v="Under Construction"/>
    <s v="18-25"/>
    <n v="3"/>
    <s v="Low"/>
    <s v="Learner"/>
    <b v="1"/>
    <n v="40"/>
    <s v="Punjab"/>
    <n v="1"/>
    <n v="1"/>
    <n v="3223"/>
    <s v="Disputed"/>
    <s v="Not an Outliers"/>
    <x v="1"/>
  </r>
  <r>
    <d v="2024-04-28T00:00:00"/>
    <s v="Udyog Vihar"/>
    <s v="Bus"/>
    <x v="4"/>
    <n v="6798"/>
    <b v="0"/>
    <x v="1"/>
    <s v="Evening"/>
    <s v="Wet"/>
    <s v="26-35"/>
    <n v="10"/>
    <s v="Medium"/>
    <s v="Valid"/>
    <b v="0"/>
    <n v="60"/>
    <s v="Punjab"/>
    <n v="10"/>
    <n v="2"/>
    <n v="4098"/>
    <s v="Paid"/>
    <s v="Not an Outliers"/>
    <x v="1"/>
  </r>
  <r>
    <d v="2024-05-01T00:00:00"/>
    <s v="Signature Tower Chowk"/>
    <s v="Bus"/>
    <x v="5"/>
    <n v="5402"/>
    <b v="1"/>
    <x v="1"/>
    <s v="Morning"/>
    <s v="Dry"/>
    <s v="50+"/>
    <n v="3"/>
    <s v="High"/>
    <s v="Suspended"/>
    <b v="1"/>
    <n v="119"/>
    <s v="Punjab"/>
    <n v="1"/>
    <n v="2"/>
    <n v="2384"/>
    <s v="Paid"/>
    <s v="Not an Outliers"/>
    <x v="0"/>
  </r>
  <r>
    <d v="2024-05-01T00:00:00"/>
    <s v="Sector 56"/>
    <s v="Auto-rickshaw"/>
    <x v="4"/>
    <n v="7385"/>
    <b v="1"/>
    <x v="2"/>
    <s v="Night"/>
    <s v="Slippery"/>
    <s v="50+"/>
    <n v="0"/>
    <s v="High"/>
    <s v="Valid"/>
    <b v="0"/>
    <n v="51"/>
    <s v="Rajasthan"/>
    <n v="4"/>
    <n v="2"/>
    <n v="2202"/>
    <s v="Paid"/>
    <s v="Not an Outliers"/>
    <x v="0"/>
  </r>
  <r>
    <d v="2024-05-01T00:00:00"/>
    <s v="Sikanderpur"/>
    <s v="Bike"/>
    <x v="0"/>
    <n v="1000"/>
    <b v="0"/>
    <x v="3"/>
    <s v="Evening"/>
    <s v="Dry"/>
    <s v="18-25"/>
    <n v="0"/>
    <s v="Low"/>
    <s v="Learner"/>
    <b v="1"/>
    <n v="47"/>
    <s v="Delhi"/>
    <n v="9"/>
    <n v="3"/>
    <n v="596"/>
    <s v="Paid"/>
    <s v="Not an Outliers"/>
    <x v="0"/>
  </r>
  <r>
    <d v="2024-05-02T00:00:00"/>
    <s v="Manesar Toll"/>
    <s v="Truck"/>
    <x v="4"/>
    <n v="6168"/>
    <b v="0"/>
    <x v="1"/>
    <s v="Evening"/>
    <s v="Slippery"/>
    <s v="36-50"/>
    <n v="3"/>
    <s v="Low"/>
    <s v="Valid"/>
    <b v="1"/>
    <n v="92"/>
    <s v="Rajasthan"/>
    <n v="1"/>
    <n v="2"/>
    <n v="4747"/>
    <s v="Unpaid"/>
    <s v="Not an Outliers"/>
    <x v="0"/>
  </r>
  <r>
    <d v="2024-05-02T00:00:00"/>
    <s v="Cyber City"/>
    <s v="Bike"/>
    <x v="2"/>
    <n v="2272"/>
    <b v="0"/>
    <x v="3"/>
    <s v="Evening"/>
    <s v="Wet"/>
    <s v="50+"/>
    <n v="0"/>
    <s v="High"/>
    <s v="Learner"/>
    <b v="1"/>
    <n v="112"/>
    <s v="Uttar Pradesh"/>
    <n v="4"/>
    <n v="1"/>
    <n v="548"/>
    <s v="Paid"/>
    <s v="Not an Outliers"/>
    <x v="0"/>
  </r>
  <r>
    <d v="2024-05-02T00:00:00"/>
    <s v="Sector 29"/>
    <s v="Truck"/>
    <x v="1"/>
    <n v="1000"/>
    <b v="0"/>
    <x v="2"/>
    <s v="Night"/>
    <s v="Wet"/>
    <s v="18-25"/>
    <n v="0"/>
    <s v="Medium"/>
    <s v="Expired"/>
    <b v="1"/>
    <n v="101"/>
    <s v="Rajasthan"/>
    <n v="9"/>
    <n v="1"/>
    <n v="3048"/>
    <s v="Unpaid"/>
    <s v="Not an Outliers"/>
    <x v="0"/>
  </r>
  <r>
    <d v="2024-05-02T00:00:00"/>
    <s v="Huda City Center"/>
    <s v="Car"/>
    <x v="5"/>
    <n v="4870"/>
    <b v="1"/>
    <x v="2"/>
    <s v="Night"/>
    <s v="Under Construction"/>
    <s v="26-35"/>
    <n v="1"/>
    <s v="Medium"/>
    <s v="Learner"/>
    <b v="0"/>
    <n v="65"/>
    <s v="Delhi"/>
    <n v="9"/>
    <n v="3"/>
    <n v="2826"/>
    <s v="Disputed"/>
    <s v="Not an Outliers"/>
    <x v="0"/>
  </r>
  <r>
    <d v="2024-05-03T00:00:00"/>
    <s v="Huda City Center"/>
    <s v="Auto-rickshaw"/>
    <x v="3"/>
    <n v="2256"/>
    <b v="0"/>
    <x v="2"/>
    <s v="Evening"/>
    <s v="Under Construction"/>
    <s v="36-50"/>
    <n v="4"/>
    <s v="Medium"/>
    <s v="Learner"/>
    <b v="0"/>
    <n v="56"/>
    <s v="Punjab"/>
    <n v="6"/>
    <n v="1"/>
    <n v="1281"/>
    <s v="Paid"/>
    <s v="Not an Outliers"/>
    <x v="0"/>
  </r>
  <r>
    <d v="2024-05-03T00:00:00"/>
    <s v="IFFCO Chowk"/>
    <s v="Truck"/>
    <x v="4"/>
    <n v="8621"/>
    <b v="0"/>
    <x v="2"/>
    <s v="Night"/>
    <s v="Slippery"/>
    <s v="26-35"/>
    <n v="3"/>
    <s v="High"/>
    <s v="Suspended"/>
    <b v="0"/>
    <n v="42"/>
    <s v="Rajasthan"/>
    <n v="6"/>
    <n v="1"/>
    <n v="3300"/>
    <s v="Paid"/>
    <s v="Not an Outliers"/>
    <x v="0"/>
  </r>
  <r>
    <d v="2024-05-03T00:00:00"/>
    <s v="IFFCO Chowk"/>
    <s v="Car"/>
    <x v="2"/>
    <n v="3167"/>
    <b v="1"/>
    <x v="0"/>
    <s v="Afternoon"/>
    <s v="Dry"/>
    <s v="36-50"/>
    <n v="1"/>
    <s v="Low"/>
    <s v="Expired"/>
    <b v="1"/>
    <n v="22"/>
    <s v="Punjab"/>
    <n v="5"/>
    <n v="1"/>
    <n v="4700"/>
    <s v="Unpaid"/>
    <s v="Not an Outliers"/>
    <x v="0"/>
  </r>
  <r>
    <d v="2024-05-03T00:00:00"/>
    <s v="Sector 29"/>
    <s v="Auto-rickshaw"/>
    <x v="5"/>
    <n v="7813"/>
    <b v="0"/>
    <x v="3"/>
    <s v="Night"/>
    <s v="Dry"/>
    <s v="26-35"/>
    <n v="0"/>
    <s v="Low"/>
    <s v="Valid"/>
    <b v="0"/>
    <n v="87"/>
    <s v="Punjab"/>
    <n v="10"/>
    <n v="1"/>
    <n v="2793"/>
    <s v="Unpaid"/>
    <s v="Not an Outliers"/>
    <x v="0"/>
  </r>
  <r>
    <d v="2024-05-04T00:00:00"/>
    <s v="Sector 29"/>
    <s v="Bus"/>
    <x v="2"/>
    <n v="1926"/>
    <b v="1"/>
    <x v="2"/>
    <s v="Morning"/>
    <s v="Under Construction"/>
    <s v="26-35"/>
    <n v="2"/>
    <s v="Medium"/>
    <s v="Valid"/>
    <b v="1"/>
    <n v="89"/>
    <s v="Uttar Pradesh"/>
    <n v="3"/>
    <n v="1"/>
    <n v="3532"/>
    <s v="Unpaid"/>
    <s v="Not an Outliers"/>
    <x v="1"/>
  </r>
  <r>
    <d v="2024-05-04T00:00:00"/>
    <s v="Huda City Center"/>
    <s v="Car"/>
    <x v="3"/>
    <n v="1518"/>
    <b v="0"/>
    <x v="3"/>
    <s v="Afternoon"/>
    <s v="Wet"/>
    <s v="26-35"/>
    <n v="4"/>
    <s v="Medium"/>
    <s v="Expired"/>
    <b v="0"/>
    <n v="69"/>
    <s v="Haryana"/>
    <n v="1"/>
    <n v="3"/>
    <n v="2457"/>
    <s v="Paid"/>
    <s v="Not an Outliers"/>
    <x v="1"/>
  </r>
  <r>
    <d v="2024-05-04T00:00:00"/>
    <s v="Huda City Center"/>
    <s v="Truck"/>
    <x v="1"/>
    <n v="1000"/>
    <b v="0"/>
    <x v="1"/>
    <s v="Afternoon"/>
    <s v="Wet"/>
    <s v="18-25"/>
    <n v="3"/>
    <s v="Medium"/>
    <s v="Learner"/>
    <b v="1"/>
    <n v="58"/>
    <s v="Delhi"/>
    <n v="6"/>
    <n v="1"/>
    <n v="4164"/>
    <s v="Disputed"/>
    <s v="Not an Outliers"/>
    <x v="1"/>
  </r>
  <r>
    <d v="2024-05-05T00:00:00"/>
    <s v="Sikanderpur"/>
    <s v="Truck"/>
    <x v="2"/>
    <n v="4243"/>
    <b v="0"/>
    <x v="3"/>
    <s v="Morning"/>
    <s v="Slippery"/>
    <s v="18-25"/>
    <n v="5"/>
    <s v="High"/>
    <s v="Valid"/>
    <b v="0"/>
    <n v="24"/>
    <s v="Punjab"/>
    <n v="1"/>
    <n v="1"/>
    <n v="1004"/>
    <s v="Disputed"/>
    <s v="Not an Outliers"/>
    <x v="1"/>
  </r>
  <r>
    <d v="2024-05-05T00:00:00"/>
    <s v="Manesar Toll"/>
    <s v="Car"/>
    <x v="1"/>
    <n v="1000"/>
    <b v="1"/>
    <x v="1"/>
    <s v="Morning"/>
    <s v="Wet"/>
    <s v="18-25"/>
    <n v="5"/>
    <s v="High"/>
    <s v="Suspended"/>
    <b v="1"/>
    <n v="15"/>
    <s v="Punjab"/>
    <n v="5"/>
    <n v="1"/>
    <n v="4223"/>
    <s v="Unpaid"/>
    <s v="Not an Outliers"/>
    <x v="1"/>
  </r>
  <r>
    <d v="2024-05-05T00:00:00"/>
    <s v="Rajiv Chowk"/>
    <s v="Bike"/>
    <x v="2"/>
    <n v="1083"/>
    <b v="1"/>
    <x v="0"/>
    <s v="Afternoon"/>
    <s v="Under Construction"/>
    <s v="36-50"/>
    <n v="3"/>
    <s v="Low"/>
    <s v="Valid"/>
    <b v="0"/>
    <n v="101"/>
    <s v="Delhi"/>
    <n v="3"/>
    <n v="3"/>
    <n v="2523"/>
    <s v="Unpaid"/>
    <s v="Not an Outliers"/>
    <x v="1"/>
  </r>
  <r>
    <d v="2024-05-06T00:00:00"/>
    <s v="Huda City Center"/>
    <s v="Auto-rickshaw"/>
    <x v="4"/>
    <n v="6867"/>
    <b v="1"/>
    <x v="1"/>
    <s v="Morning"/>
    <s v="Wet"/>
    <s v="26-35"/>
    <n v="2"/>
    <s v="Low"/>
    <s v="Valid"/>
    <b v="1"/>
    <n v="20"/>
    <s v="Delhi"/>
    <n v="3"/>
    <n v="3"/>
    <n v="3766"/>
    <s v="Unpaid"/>
    <s v="Not an Outliers"/>
    <x v="0"/>
  </r>
  <r>
    <d v="2024-05-06T00:00:00"/>
    <s v="NH-8"/>
    <s v="Bus"/>
    <x v="4"/>
    <n v="7670"/>
    <b v="0"/>
    <x v="3"/>
    <s v="Morning"/>
    <s v="Wet"/>
    <s v="36-50"/>
    <n v="3"/>
    <s v="High"/>
    <s v="Expired"/>
    <b v="0"/>
    <n v="50"/>
    <s v="Rajasthan"/>
    <n v="3"/>
    <n v="1"/>
    <n v="4324"/>
    <s v="Unpaid"/>
    <s v="Not an Outliers"/>
    <x v="0"/>
  </r>
  <r>
    <d v="2024-05-06T00:00:00"/>
    <s v="Sikanderpur"/>
    <s v="Truck"/>
    <x v="5"/>
    <n v="4876"/>
    <b v="0"/>
    <x v="2"/>
    <s v="Afternoon"/>
    <s v="Wet"/>
    <s v="36-50"/>
    <n v="4"/>
    <s v="High"/>
    <s v="Valid"/>
    <b v="0"/>
    <n v="118"/>
    <s v="Uttar Pradesh"/>
    <n v="4"/>
    <n v="3"/>
    <n v="2372"/>
    <s v="Disputed"/>
    <s v="Not an Outliers"/>
    <x v="0"/>
  </r>
  <r>
    <d v="2024-05-07T00:00:00"/>
    <s v="Cyber City"/>
    <s v="Truck"/>
    <x v="4"/>
    <n v="6500"/>
    <b v="0"/>
    <x v="1"/>
    <s v="Evening"/>
    <s v="Slippery"/>
    <s v="18-25"/>
    <n v="1"/>
    <s v="Medium"/>
    <s v="Valid"/>
    <b v="1"/>
    <n v="6"/>
    <s v="Punjab"/>
    <n v="1"/>
    <n v="3"/>
    <n v="2125"/>
    <s v="Disputed"/>
    <s v="Not an Outliers"/>
    <x v="0"/>
  </r>
  <r>
    <d v="2024-05-07T00:00:00"/>
    <s v="Udyog Vihar"/>
    <s v="Bike"/>
    <x v="5"/>
    <n v="4235"/>
    <b v="1"/>
    <x v="4"/>
    <s v="Afternoon"/>
    <s v="Wet"/>
    <s v="50+"/>
    <n v="3"/>
    <s v="Low"/>
    <s v="Valid"/>
    <b v="1"/>
    <n v="47"/>
    <s v="Rajasthan"/>
    <n v="7"/>
    <n v="3"/>
    <n v="654"/>
    <s v="Disputed"/>
    <s v="Not an Outliers"/>
    <x v="0"/>
  </r>
  <r>
    <d v="2024-05-07T00:00:00"/>
    <s v="Udyog Vihar"/>
    <s v="Auto-rickshaw"/>
    <x v="2"/>
    <n v="2257"/>
    <b v="1"/>
    <x v="0"/>
    <s v="Afternoon"/>
    <s v="Dry"/>
    <s v="36-50"/>
    <n v="2"/>
    <s v="Medium"/>
    <s v="Suspended"/>
    <b v="1"/>
    <n v="29"/>
    <s v="Delhi"/>
    <n v="5"/>
    <n v="1"/>
    <n v="2539"/>
    <s v="Paid"/>
    <s v="Not an Outliers"/>
    <x v="0"/>
  </r>
  <r>
    <d v="2024-05-08T00:00:00"/>
    <s v="MG Road"/>
    <s v="Car"/>
    <x v="5"/>
    <n v="3225"/>
    <b v="1"/>
    <x v="2"/>
    <s v="Night"/>
    <s v="Under Construction"/>
    <s v="50+"/>
    <n v="5"/>
    <s v="Medium"/>
    <s v="Suspended"/>
    <b v="0"/>
    <n v="66"/>
    <s v="Haryana"/>
    <n v="1"/>
    <n v="1"/>
    <n v="1217"/>
    <s v="Unpaid"/>
    <s v="Not an Outliers"/>
    <x v="0"/>
  </r>
  <r>
    <d v="2024-05-08T00:00:00"/>
    <s v="NH-8"/>
    <s v="Auto-rickshaw"/>
    <x v="1"/>
    <n v="1000"/>
    <b v="0"/>
    <x v="0"/>
    <s v="Evening"/>
    <s v="Wet"/>
    <s v="50+"/>
    <n v="3"/>
    <s v="Low"/>
    <s v="Valid"/>
    <b v="0"/>
    <n v="103"/>
    <s v="Rajasthan"/>
    <n v="10"/>
    <n v="1"/>
    <n v="4307"/>
    <s v="Disputed"/>
    <s v="Not an Outliers"/>
    <x v="0"/>
  </r>
  <r>
    <d v="2024-05-08T00:00:00"/>
    <s v="Signature Tower Chowk"/>
    <s v="Truck"/>
    <x v="1"/>
    <n v="1000"/>
    <b v="1"/>
    <x v="4"/>
    <s v="Evening"/>
    <s v="Dry"/>
    <s v="36-50"/>
    <n v="2"/>
    <s v="Medium"/>
    <s v="Valid"/>
    <b v="0"/>
    <n v="65"/>
    <s v="Uttar Pradesh"/>
    <n v="9"/>
    <n v="1"/>
    <n v="4677"/>
    <s v="Unpaid"/>
    <s v="Not an Outliers"/>
    <x v="0"/>
  </r>
  <r>
    <d v="2024-05-08T00:00:00"/>
    <s v="Sikanderpur"/>
    <s v="Bike"/>
    <x v="0"/>
    <n v="1000"/>
    <b v="1"/>
    <x v="1"/>
    <s v="Evening"/>
    <s v="Under Construction"/>
    <s v="26-35"/>
    <n v="2"/>
    <s v="Low"/>
    <s v="Valid"/>
    <b v="1"/>
    <n v="101"/>
    <s v="Punjab"/>
    <n v="7"/>
    <n v="1"/>
    <n v="816"/>
    <s v="Unpaid"/>
    <s v="Not an Outliers"/>
    <x v="0"/>
  </r>
  <r>
    <d v="2024-05-08T00:00:00"/>
    <s v="Golf Course Road"/>
    <s v="Car"/>
    <x v="5"/>
    <n v="4100"/>
    <b v="0"/>
    <x v="3"/>
    <s v="Night"/>
    <s v="Dry"/>
    <s v="36-50"/>
    <n v="3"/>
    <s v="Low"/>
    <s v="Valid"/>
    <b v="1"/>
    <n v="11"/>
    <s v="Punjab"/>
    <n v="2"/>
    <n v="1"/>
    <n v="1952"/>
    <s v="Paid"/>
    <s v="Not an Outliers"/>
    <x v="0"/>
  </r>
  <r>
    <d v="2024-05-09T00:00:00"/>
    <s v="MG Road"/>
    <s v="Truck"/>
    <x v="5"/>
    <n v="3524"/>
    <b v="1"/>
    <x v="4"/>
    <s v="Afternoon"/>
    <s v="Dry"/>
    <s v="36-50"/>
    <n v="1"/>
    <s v="High"/>
    <s v="Suspended"/>
    <b v="0"/>
    <n v="4"/>
    <s v="Punjab"/>
    <n v="9"/>
    <n v="2"/>
    <n v="1950"/>
    <s v="Unpaid"/>
    <s v="Not an Outliers"/>
    <x v="0"/>
  </r>
  <r>
    <d v="2024-05-09T00:00:00"/>
    <s v="Sheetala Mata Road"/>
    <s v="Auto-rickshaw"/>
    <x v="2"/>
    <n v="1822"/>
    <b v="0"/>
    <x v="4"/>
    <s v="Night"/>
    <s v="Under Construction"/>
    <s v="50+"/>
    <n v="2"/>
    <s v="High"/>
    <s v="Expired"/>
    <b v="1"/>
    <n v="95"/>
    <s v="Delhi"/>
    <n v="6"/>
    <n v="1"/>
    <n v="1871"/>
    <s v="Disputed"/>
    <s v="Not an Outliers"/>
    <x v="0"/>
  </r>
  <r>
    <d v="2024-05-10T00:00:00"/>
    <s v="Sector 29"/>
    <s v="Bus"/>
    <x v="4"/>
    <n v="7512"/>
    <b v="0"/>
    <x v="3"/>
    <s v="Morning"/>
    <s v="Slippery"/>
    <s v="18-25"/>
    <n v="1"/>
    <s v="Medium"/>
    <s v="Suspended"/>
    <b v="1"/>
    <n v="84"/>
    <s v="Haryana"/>
    <n v="2"/>
    <n v="1"/>
    <n v="1102"/>
    <s v="Disputed"/>
    <s v="Not an Outliers"/>
    <x v="0"/>
  </r>
  <r>
    <d v="2024-05-10T00:00:00"/>
    <s v="Sector 29"/>
    <s v="Car"/>
    <x v="5"/>
    <n v="5718"/>
    <b v="0"/>
    <x v="4"/>
    <s v="Morning"/>
    <s v="Dry"/>
    <s v="26-35"/>
    <n v="4"/>
    <s v="Medium"/>
    <s v="Valid"/>
    <b v="1"/>
    <n v="106"/>
    <s v="Delhi"/>
    <n v="8"/>
    <n v="3"/>
    <n v="927"/>
    <s v="Unpaid"/>
    <s v="Not an Outliers"/>
    <x v="0"/>
  </r>
  <r>
    <d v="2024-05-10T00:00:00"/>
    <s v="Sohna Road near Iris Tech Park"/>
    <s v="Car"/>
    <x v="1"/>
    <n v="1000"/>
    <b v="1"/>
    <x v="3"/>
    <s v="Afternoon"/>
    <s v="Slippery"/>
    <s v="18-25"/>
    <n v="4"/>
    <s v="Medium"/>
    <s v="Suspended"/>
    <b v="0"/>
    <n v="84"/>
    <s v="Uttar Pradesh"/>
    <n v="5"/>
    <n v="2"/>
    <n v="1035"/>
    <s v="Unpaid"/>
    <s v="Not an Outliers"/>
    <x v="0"/>
  </r>
  <r>
    <d v="2024-05-11T00:00:00"/>
    <s v="Manesar Toll"/>
    <s v="Bike"/>
    <x v="0"/>
    <n v="1000"/>
    <b v="0"/>
    <x v="0"/>
    <s v="Afternoon"/>
    <s v="Slippery"/>
    <s v="26-35"/>
    <n v="0"/>
    <s v="Low"/>
    <s v="Valid"/>
    <b v="0"/>
    <n v="89"/>
    <s v="Delhi"/>
    <n v="9"/>
    <n v="3"/>
    <n v="525"/>
    <s v="Disputed"/>
    <s v="Not an Outliers"/>
    <x v="1"/>
  </r>
  <r>
    <d v="2024-05-12T00:00:00"/>
    <s v="IFFCO Chowk"/>
    <s v="Truck"/>
    <x v="2"/>
    <n v="3247"/>
    <b v="0"/>
    <x v="0"/>
    <s v="Night"/>
    <s v="Slippery"/>
    <s v="26-35"/>
    <n v="0"/>
    <s v="Low"/>
    <s v="Suspended"/>
    <b v="1"/>
    <n v="10"/>
    <s v="Delhi"/>
    <n v="1"/>
    <n v="3"/>
    <n v="4182"/>
    <s v="Unpaid"/>
    <s v="Not an Outliers"/>
    <x v="1"/>
  </r>
  <r>
    <d v="2024-05-12T00:00:00"/>
    <s v="MG Road"/>
    <s v="Truck"/>
    <x v="5"/>
    <n v="7312"/>
    <b v="1"/>
    <x v="2"/>
    <s v="Night"/>
    <s v="Under Construction"/>
    <s v="36-50"/>
    <n v="0"/>
    <s v="High"/>
    <s v="Expired"/>
    <b v="0"/>
    <n v="109"/>
    <s v="Uttar Pradesh"/>
    <n v="2"/>
    <n v="1"/>
    <n v="4252"/>
    <s v="Unpaid"/>
    <s v="Not an Outliers"/>
    <x v="1"/>
  </r>
  <r>
    <d v="2024-05-12T00:00:00"/>
    <s v="Golf Course Road"/>
    <s v="Bike"/>
    <x v="3"/>
    <n v="2980"/>
    <b v="0"/>
    <x v="4"/>
    <s v="Evening"/>
    <s v="Under Construction"/>
    <s v="50+"/>
    <n v="1"/>
    <s v="High"/>
    <s v="Expired"/>
    <b v="1"/>
    <n v="44"/>
    <s v="Delhi"/>
    <n v="4"/>
    <n v="1"/>
    <n v="4892"/>
    <s v="Unpaid"/>
    <s v="Not an Outliers"/>
    <x v="1"/>
  </r>
  <r>
    <d v="2024-05-14T00:00:00"/>
    <s v="MG Road"/>
    <s v="Truck"/>
    <x v="5"/>
    <n v="5629"/>
    <b v="0"/>
    <x v="2"/>
    <s v="Evening"/>
    <s v="Wet"/>
    <s v="26-35"/>
    <n v="1"/>
    <s v="High"/>
    <s v="Expired"/>
    <b v="0"/>
    <n v="44"/>
    <s v="Uttar Pradesh"/>
    <n v="1"/>
    <n v="2"/>
    <n v="3297"/>
    <s v="Unpaid"/>
    <s v="Not an Outliers"/>
    <x v="0"/>
  </r>
  <r>
    <d v="2024-05-15T00:00:00"/>
    <s v="IFFCO Chowk"/>
    <s v="Bus"/>
    <x v="3"/>
    <n v="4402"/>
    <b v="0"/>
    <x v="1"/>
    <s v="Afternoon"/>
    <s v="Dry"/>
    <s v="18-25"/>
    <n v="1"/>
    <s v="High"/>
    <s v="Expired"/>
    <b v="1"/>
    <n v="59"/>
    <s v="Haryana"/>
    <n v="4"/>
    <n v="1"/>
    <n v="1739"/>
    <s v="Paid"/>
    <s v="Not an Outliers"/>
    <x v="0"/>
  </r>
  <r>
    <d v="2024-05-16T00:00:00"/>
    <s v="Sikanderpur"/>
    <s v="Car"/>
    <x v="3"/>
    <n v="2945"/>
    <b v="0"/>
    <x v="2"/>
    <s v="Night"/>
    <s v="Slippery"/>
    <s v="50+"/>
    <n v="0"/>
    <s v="Medium"/>
    <s v="Learner"/>
    <b v="1"/>
    <n v="55"/>
    <s v="Haryana"/>
    <n v="10"/>
    <n v="2"/>
    <n v="1377"/>
    <s v="Unpaid"/>
    <s v="Not an Outliers"/>
    <x v="0"/>
  </r>
  <r>
    <d v="2024-05-17T00:00:00"/>
    <s v="Cyber City"/>
    <s v="Bus"/>
    <x v="5"/>
    <n v="6103"/>
    <b v="1"/>
    <x v="1"/>
    <s v="Night"/>
    <s v="Dry"/>
    <s v="50+"/>
    <n v="3"/>
    <s v="High"/>
    <s v="Learner"/>
    <b v="1"/>
    <n v="99"/>
    <s v="Rajasthan"/>
    <n v="6"/>
    <n v="2"/>
    <n v="1226"/>
    <s v="Paid"/>
    <s v="Not an Outliers"/>
    <x v="0"/>
  </r>
  <r>
    <d v="2024-05-17T00:00:00"/>
    <s v="Cyber City"/>
    <s v="Truck"/>
    <x v="5"/>
    <n v="4463"/>
    <b v="0"/>
    <x v="4"/>
    <s v="Afternoon"/>
    <s v="Dry"/>
    <s v="36-50"/>
    <n v="1"/>
    <s v="Low"/>
    <s v="Expired"/>
    <b v="0"/>
    <n v="120"/>
    <s v="Uttar Pradesh"/>
    <n v="6"/>
    <n v="3"/>
    <n v="4228"/>
    <s v="Disputed"/>
    <s v="Not an Outliers"/>
    <x v="0"/>
  </r>
  <r>
    <d v="2024-05-17T00:00:00"/>
    <s v="Sohna Road near Iris Tech Park"/>
    <s v="Bus"/>
    <x v="5"/>
    <n v="3827"/>
    <b v="0"/>
    <x v="1"/>
    <s v="Evening"/>
    <s v="Dry"/>
    <s v="50+"/>
    <n v="3"/>
    <s v="High"/>
    <s v="Expired"/>
    <b v="1"/>
    <n v="104"/>
    <s v="Punjab"/>
    <n v="3"/>
    <n v="3"/>
    <n v="4904"/>
    <s v="Paid"/>
    <s v="Not an Outliers"/>
    <x v="0"/>
  </r>
  <r>
    <d v="2024-05-17T00:00:00"/>
    <s v="IFFCO Chowk"/>
    <s v="Auto-rickshaw"/>
    <x v="3"/>
    <n v="3475"/>
    <b v="0"/>
    <x v="0"/>
    <s v="Night"/>
    <s v="Under Construction"/>
    <s v="50+"/>
    <n v="5"/>
    <s v="High"/>
    <s v="Valid"/>
    <b v="0"/>
    <n v="93"/>
    <s v="Delhi"/>
    <n v="9"/>
    <n v="3"/>
    <n v="2655"/>
    <s v="Disputed"/>
    <s v="Not an Outliers"/>
    <x v="0"/>
  </r>
  <r>
    <d v="2024-05-17T00:00:00"/>
    <s v="Sheetala Mata Road"/>
    <s v="Car"/>
    <x v="5"/>
    <n v="4176"/>
    <b v="1"/>
    <x v="3"/>
    <s v="Afternoon"/>
    <s v="Dry"/>
    <s v="26-35"/>
    <n v="2"/>
    <s v="Low"/>
    <s v="Valid"/>
    <b v="1"/>
    <n v="65"/>
    <s v="Uttar Pradesh"/>
    <n v="6"/>
    <n v="1"/>
    <n v="4274"/>
    <s v="Unpaid"/>
    <s v="Not an Outliers"/>
    <x v="0"/>
  </r>
  <r>
    <d v="2024-05-18T00:00:00"/>
    <s v="Sohna Road near Iris Tech Park"/>
    <s v="Bike"/>
    <x v="2"/>
    <n v="2812"/>
    <b v="1"/>
    <x v="2"/>
    <s v="Evening"/>
    <s v="Slippery"/>
    <s v="18-25"/>
    <n v="1"/>
    <s v="High"/>
    <s v="Valid"/>
    <b v="1"/>
    <n v="64"/>
    <s v="Rajasthan"/>
    <n v="7"/>
    <n v="1"/>
    <n v="975"/>
    <s v="Paid"/>
    <s v="Not an Outliers"/>
    <x v="1"/>
  </r>
  <r>
    <d v="2024-05-18T00:00:00"/>
    <s v="Sector 56"/>
    <s v="Car"/>
    <x v="3"/>
    <n v="2697"/>
    <b v="0"/>
    <x v="0"/>
    <s v="Afternoon"/>
    <s v="Under Construction"/>
    <s v="36-50"/>
    <n v="4"/>
    <s v="High"/>
    <s v="Suspended"/>
    <b v="1"/>
    <n v="112"/>
    <s v="Punjab"/>
    <n v="5"/>
    <n v="3"/>
    <n v="3863"/>
    <s v="Disputed"/>
    <s v="Not an Outliers"/>
    <x v="1"/>
  </r>
  <r>
    <d v="2024-05-18T00:00:00"/>
    <s v="Udyog Vihar"/>
    <s v="Bus"/>
    <x v="4"/>
    <n v="5072"/>
    <b v="0"/>
    <x v="4"/>
    <s v="Night"/>
    <s v="Slippery"/>
    <s v="26-35"/>
    <n v="2"/>
    <s v="Medium"/>
    <s v="Expired"/>
    <b v="1"/>
    <n v="57"/>
    <s v="Haryana"/>
    <n v="5"/>
    <n v="1"/>
    <n v="4010"/>
    <s v="Unpaid"/>
    <s v="Not an Outliers"/>
    <x v="1"/>
  </r>
  <r>
    <d v="2024-05-18T00:00:00"/>
    <s v="Rajiv Chowk"/>
    <s v="Auto-rickshaw"/>
    <x v="3"/>
    <n v="4626"/>
    <b v="0"/>
    <x v="1"/>
    <s v="Evening"/>
    <s v="Slippery"/>
    <s v="50+"/>
    <n v="5"/>
    <s v="Low"/>
    <s v="Expired"/>
    <b v="0"/>
    <n v="27"/>
    <s v="Punjab"/>
    <n v="3"/>
    <n v="2"/>
    <n v="1801"/>
    <s v="Disputed"/>
    <s v="Not an Outliers"/>
    <x v="1"/>
  </r>
  <r>
    <d v="2024-05-18T00:00:00"/>
    <s v="Signature Tower Chowk"/>
    <s v="Car"/>
    <x v="3"/>
    <n v="3256"/>
    <b v="0"/>
    <x v="2"/>
    <s v="Evening"/>
    <s v="Dry"/>
    <s v="36-50"/>
    <n v="2"/>
    <s v="Low"/>
    <s v="Suspended"/>
    <b v="1"/>
    <n v="11"/>
    <s v="Haryana"/>
    <n v="6"/>
    <n v="1"/>
    <n v="1606"/>
    <s v="Paid"/>
    <s v="Not an Outliers"/>
    <x v="1"/>
  </r>
  <r>
    <d v="2024-05-20T00:00:00"/>
    <s v="Signature Tower Chowk"/>
    <s v="Car"/>
    <x v="5"/>
    <n v="7974"/>
    <b v="1"/>
    <x v="1"/>
    <s v="Morning"/>
    <s v="Slippery"/>
    <s v="26-35"/>
    <n v="2"/>
    <s v="High"/>
    <s v="Valid"/>
    <b v="1"/>
    <n v="25"/>
    <s v="Punjab"/>
    <n v="2"/>
    <n v="3"/>
    <n v="4313"/>
    <s v="Disputed"/>
    <s v="Not an Outliers"/>
    <x v="0"/>
  </r>
  <r>
    <d v="2024-05-20T00:00:00"/>
    <s v="NH-8"/>
    <s v="Bike"/>
    <x v="5"/>
    <n v="7655"/>
    <b v="0"/>
    <x v="1"/>
    <s v="Morning"/>
    <s v="Under Construction"/>
    <s v="18-25"/>
    <n v="1"/>
    <s v="Low"/>
    <s v="Learner"/>
    <b v="0"/>
    <n v="61"/>
    <s v="Delhi"/>
    <n v="1"/>
    <n v="1"/>
    <n v="1855"/>
    <s v="Unpaid"/>
    <s v="Not an Outliers"/>
    <x v="0"/>
  </r>
  <r>
    <d v="2024-05-20T00:00:00"/>
    <s v="Rajiv Chowk"/>
    <s v="Bus"/>
    <x v="1"/>
    <n v="1000"/>
    <b v="0"/>
    <x v="4"/>
    <s v="Night"/>
    <s v="Slippery"/>
    <s v="18-25"/>
    <n v="0"/>
    <s v="Medium"/>
    <s v="Suspended"/>
    <b v="0"/>
    <n v="18"/>
    <s v="Punjab"/>
    <n v="6"/>
    <n v="1"/>
    <n v="1938"/>
    <s v="Unpaid"/>
    <s v="Not an Outliers"/>
    <x v="0"/>
  </r>
  <r>
    <d v="2024-05-20T00:00:00"/>
    <s v="Golf Course Road"/>
    <s v="Car"/>
    <x v="4"/>
    <n v="6802"/>
    <b v="0"/>
    <x v="3"/>
    <s v="Afternoon"/>
    <s v="Under Construction"/>
    <s v="18-25"/>
    <n v="4"/>
    <s v="High"/>
    <s v="Suspended"/>
    <b v="0"/>
    <n v="49"/>
    <s v="Uttar Pradesh"/>
    <n v="9"/>
    <n v="1"/>
    <n v="3834"/>
    <s v="Disputed"/>
    <s v="Not an Outliers"/>
    <x v="0"/>
  </r>
  <r>
    <d v="2024-05-20T00:00:00"/>
    <s v="Sector 29"/>
    <s v="Truck"/>
    <x v="5"/>
    <n v="2476"/>
    <b v="0"/>
    <x v="4"/>
    <s v="Morning"/>
    <s v="Under Construction"/>
    <s v="26-35"/>
    <n v="1"/>
    <s v="Medium"/>
    <s v="Learner"/>
    <b v="1"/>
    <n v="40"/>
    <s v="Delhi"/>
    <n v="4"/>
    <n v="1"/>
    <n v="1260"/>
    <s v="Paid"/>
    <s v="Not an Outliers"/>
    <x v="0"/>
  </r>
  <r>
    <d v="2024-05-21T00:00:00"/>
    <s v="Sikanderpur"/>
    <s v="Bus"/>
    <x v="2"/>
    <n v="1608"/>
    <b v="1"/>
    <x v="1"/>
    <s v="Night"/>
    <s v="Dry"/>
    <s v="26-35"/>
    <n v="0"/>
    <s v="Medium"/>
    <s v="Expired"/>
    <b v="1"/>
    <n v="17"/>
    <s v="Delhi"/>
    <n v="6"/>
    <n v="1"/>
    <n v="1864"/>
    <s v="Disputed"/>
    <s v="Not an Outliers"/>
    <x v="0"/>
  </r>
  <r>
    <d v="2024-05-21T00:00:00"/>
    <s v="Sikanderpur"/>
    <s v="Bike"/>
    <x v="2"/>
    <n v="2449"/>
    <b v="0"/>
    <x v="0"/>
    <s v="Evening"/>
    <s v="Slippery"/>
    <s v="26-35"/>
    <n v="3"/>
    <s v="Low"/>
    <s v="Learner"/>
    <b v="0"/>
    <n v="98"/>
    <s v="Rajasthan"/>
    <n v="9"/>
    <n v="2"/>
    <n v="3476"/>
    <s v="Disputed"/>
    <s v="Not an Outliers"/>
    <x v="0"/>
  </r>
  <r>
    <d v="2024-05-22T00:00:00"/>
    <s v="NH-8"/>
    <s v="Auto-rickshaw"/>
    <x v="5"/>
    <n v="7055"/>
    <b v="0"/>
    <x v="2"/>
    <s v="Afternoon"/>
    <s v="Wet"/>
    <s v="36-50"/>
    <n v="4"/>
    <s v="High"/>
    <s v="Expired"/>
    <b v="0"/>
    <n v="77"/>
    <s v="Punjab"/>
    <n v="1"/>
    <n v="2"/>
    <n v="2267"/>
    <s v="Unpaid"/>
    <s v="Not an Outliers"/>
    <x v="0"/>
  </r>
  <r>
    <d v="2024-05-22T00:00:00"/>
    <s v="NH-8"/>
    <s v="Car"/>
    <x v="1"/>
    <n v="1000"/>
    <b v="0"/>
    <x v="1"/>
    <s v="Night"/>
    <s v="Dry"/>
    <s v="18-25"/>
    <n v="2"/>
    <s v="High"/>
    <s v="Learner"/>
    <b v="1"/>
    <n v="2"/>
    <s v="Haryana"/>
    <n v="8"/>
    <n v="3"/>
    <n v="4192"/>
    <s v="Disputed"/>
    <s v="Not an Outliers"/>
    <x v="0"/>
  </r>
  <r>
    <d v="2024-05-22T00:00:00"/>
    <s v="IFFCO Chowk"/>
    <s v="Truck"/>
    <x v="5"/>
    <n v="4381"/>
    <b v="0"/>
    <x v="3"/>
    <s v="Evening"/>
    <s v="Dry"/>
    <s v="18-25"/>
    <n v="1"/>
    <s v="Medium"/>
    <s v="Valid"/>
    <b v="1"/>
    <n v="22"/>
    <s v="Haryana"/>
    <n v="4"/>
    <n v="2"/>
    <n v="2923"/>
    <s v="Unpaid"/>
    <s v="Not an Outliers"/>
    <x v="0"/>
  </r>
  <r>
    <d v="2024-05-23T00:00:00"/>
    <s v="Sohna Road near Iris Tech Park"/>
    <s v="Truck"/>
    <x v="1"/>
    <n v="1000"/>
    <b v="0"/>
    <x v="3"/>
    <s v="Evening"/>
    <s v="Dry"/>
    <s v="50+"/>
    <n v="4"/>
    <s v="Medium"/>
    <s v="Expired"/>
    <b v="0"/>
    <n v="28"/>
    <s v="Haryana"/>
    <n v="3"/>
    <n v="1"/>
    <n v="3674"/>
    <s v="Paid"/>
    <s v="Not an Outliers"/>
    <x v="0"/>
  </r>
  <r>
    <d v="2024-05-23T00:00:00"/>
    <s v="Cyber City"/>
    <s v="Car"/>
    <x v="2"/>
    <n v="3313"/>
    <b v="1"/>
    <x v="3"/>
    <s v="Evening"/>
    <s v="Wet"/>
    <s v="26-35"/>
    <n v="3"/>
    <s v="Low"/>
    <s v="Suspended"/>
    <b v="0"/>
    <n v="48"/>
    <s v="Delhi"/>
    <n v="4"/>
    <n v="1"/>
    <n v="2635"/>
    <s v="Disputed"/>
    <s v="Not an Outliers"/>
    <x v="0"/>
  </r>
  <r>
    <d v="2024-05-24T00:00:00"/>
    <s v="Sector 29"/>
    <s v="Bike"/>
    <x v="5"/>
    <n v="4781"/>
    <b v="1"/>
    <x v="2"/>
    <s v="Afternoon"/>
    <s v="Wet"/>
    <s v="36-50"/>
    <n v="0"/>
    <s v="Low"/>
    <s v="Valid"/>
    <b v="0"/>
    <n v="118"/>
    <s v="Uttar Pradesh"/>
    <n v="9"/>
    <n v="1"/>
    <n v="3258"/>
    <s v="Paid"/>
    <s v="Not an Outliers"/>
    <x v="0"/>
  </r>
  <r>
    <d v="2024-05-24T00:00:00"/>
    <s v="NH-8"/>
    <s v="Bike"/>
    <x v="4"/>
    <n v="6280"/>
    <b v="0"/>
    <x v="2"/>
    <s v="Night"/>
    <s v="Slippery"/>
    <s v="50+"/>
    <n v="2"/>
    <s v="High"/>
    <s v="Expired"/>
    <b v="1"/>
    <n v="43"/>
    <s v="Uttar Pradesh"/>
    <n v="1"/>
    <n v="1"/>
    <n v="3428"/>
    <s v="Disputed"/>
    <s v="Not an Outliers"/>
    <x v="0"/>
  </r>
  <r>
    <d v="2024-05-24T00:00:00"/>
    <s v="NH-8"/>
    <s v="Truck"/>
    <x v="2"/>
    <n v="1429"/>
    <b v="0"/>
    <x v="4"/>
    <s v="Afternoon"/>
    <s v="Dry"/>
    <s v="50+"/>
    <n v="1"/>
    <s v="Low"/>
    <s v="Suspended"/>
    <b v="0"/>
    <n v="101"/>
    <s v="Delhi"/>
    <n v="4"/>
    <n v="3"/>
    <n v="3224"/>
    <s v="Paid"/>
    <s v="Not an Outliers"/>
    <x v="0"/>
  </r>
  <r>
    <d v="2024-05-26T00:00:00"/>
    <s v="NH-8"/>
    <s v="Auto-rickshaw"/>
    <x v="4"/>
    <n v="6047"/>
    <b v="0"/>
    <x v="2"/>
    <s v="Evening"/>
    <s v="Under Construction"/>
    <s v="36-50"/>
    <n v="1"/>
    <s v="Medium"/>
    <s v="Suspended"/>
    <b v="1"/>
    <n v="63"/>
    <s v="Delhi"/>
    <n v="3"/>
    <n v="3"/>
    <n v="2121"/>
    <s v="Disputed"/>
    <s v="Not an Outliers"/>
    <x v="1"/>
  </r>
  <r>
    <d v="2024-05-26T00:00:00"/>
    <s v="Sikanderpur"/>
    <s v="Car"/>
    <x v="2"/>
    <n v="3263"/>
    <b v="1"/>
    <x v="3"/>
    <s v="Evening"/>
    <s v="Under Construction"/>
    <s v="18-25"/>
    <n v="3"/>
    <s v="Medium"/>
    <s v="Learner"/>
    <b v="0"/>
    <n v="13"/>
    <s v="Rajasthan"/>
    <n v="6"/>
    <n v="2"/>
    <n v="2748"/>
    <s v="Paid"/>
    <s v="Not an Outliers"/>
    <x v="1"/>
  </r>
  <r>
    <d v="2024-05-26T00:00:00"/>
    <s v="Sheetala Mata Road"/>
    <s v="Car"/>
    <x v="1"/>
    <n v="1000"/>
    <b v="0"/>
    <x v="0"/>
    <s v="Morning"/>
    <s v="Wet"/>
    <s v="18-25"/>
    <n v="5"/>
    <s v="Medium"/>
    <s v="Valid"/>
    <b v="1"/>
    <n v="64"/>
    <s v="Haryana"/>
    <n v="5"/>
    <n v="3"/>
    <n v="864"/>
    <s v="Unpaid"/>
    <s v="Not an Outliers"/>
    <x v="1"/>
  </r>
  <r>
    <d v="2024-05-26T00:00:00"/>
    <s v="NH-8"/>
    <s v="Bus"/>
    <x v="5"/>
    <n v="7216"/>
    <b v="1"/>
    <x v="4"/>
    <s v="Night"/>
    <s v="Dry"/>
    <s v="36-50"/>
    <n v="5"/>
    <s v="Medium"/>
    <s v="Learner"/>
    <b v="1"/>
    <n v="16"/>
    <s v="Rajasthan"/>
    <n v="8"/>
    <n v="1"/>
    <n v="754"/>
    <s v="Paid"/>
    <s v="Not an Outliers"/>
    <x v="1"/>
  </r>
  <r>
    <d v="2024-05-27T00:00:00"/>
    <s v="Golf Course Road"/>
    <s v="Bike"/>
    <x v="0"/>
    <n v="1000"/>
    <b v="1"/>
    <x v="3"/>
    <s v="Afternoon"/>
    <s v="Dry"/>
    <s v="36-50"/>
    <n v="3"/>
    <s v="Medium"/>
    <s v="Valid"/>
    <b v="1"/>
    <n v="13"/>
    <s v="Punjab"/>
    <n v="3"/>
    <n v="2"/>
    <n v="4237"/>
    <s v="Unpaid"/>
    <s v="Not an Outliers"/>
    <x v="0"/>
  </r>
  <r>
    <d v="2024-05-27T00:00:00"/>
    <s v="Signature Tower Chowk"/>
    <s v="Auto-rickshaw"/>
    <x v="3"/>
    <n v="3992"/>
    <b v="0"/>
    <x v="2"/>
    <s v="Evening"/>
    <s v="Slippery"/>
    <s v="50+"/>
    <n v="3"/>
    <s v="High"/>
    <s v="Learner"/>
    <b v="0"/>
    <n v="70"/>
    <s v="Delhi"/>
    <n v="7"/>
    <n v="2"/>
    <n v="3420"/>
    <s v="Disputed"/>
    <s v="Not an Outliers"/>
    <x v="0"/>
  </r>
  <r>
    <d v="2024-05-27T00:00:00"/>
    <s v="Udyog Vihar"/>
    <s v="Truck"/>
    <x v="2"/>
    <n v="1282"/>
    <b v="0"/>
    <x v="3"/>
    <s v="Afternoon"/>
    <s v="Under Construction"/>
    <s v="36-50"/>
    <n v="5"/>
    <s v="Low"/>
    <s v="Expired"/>
    <b v="1"/>
    <n v="65"/>
    <s v="Uttar Pradesh"/>
    <n v="4"/>
    <n v="1"/>
    <n v="2735"/>
    <s v="Paid"/>
    <s v="Not an Outliers"/>
    <x v="0"/>
  </r>
  <r>
    <d v="2024-05-27T00:00:00"/>
    <s v="Rajiv Chowk"/>
    <s v="Auto-rickshaw"/>
    <x v="3"/>
    <n v="2079"/>
    <b v="0"/>
    <x v="0"/>
    <s v="Night"/>
    <s v="Dry"/>
    <s v="18-25"/>
    <n v="1"/>
    <s v="High"/>
    <s v="Expired"/>
    <b v="1"/>
    <n v="101"/>
    <s v="Haryana"/>
    <n v="5"/>
    <n v="2"/>
    <n v="1222"/>
    <s v="Disputed"/>
    <s v="Not an Outliers"/>
    <x v="0"/>
  </r>
  <r>
    <d v="2024-05-27T00:00:00"/>
    <s v="Sheetala Mata Road"/>
    <s v="Auto-rickshaw"/>
    <x v="2"/>
    <n v="4726"/>
    <b v="1"/>
    <x v="4"/>
    <s v="Afternoon"/>
    <s v="Wet"/>
    <s v="26-35"/>
    <n v="2"/>
    <s v="Medium"/>
    <s v="Suspended"/>
    <b v="1"/>
    <n v="99"/>
    <s v="Delhi"/>
    <n v="8"/>
    <n v="2"/>
    <n v="1838"/>
    <s v="Paid"/>
    <s v="Not an Outliers"/>
    <x v="0"/>
  </r>
  <r>
    <d v="2024-05-27T00:00:00"/>
    <s v="Cyber City"/>
    <s v="Bus"/>
    <x v="3"/>
    <n v="2272"/>
    <b v="0"/>
    <x v="3"/>
    <s v="Morning"/>
    <s v="Under Construction"/>
    <s v="26-35"/>
    <n v="14"/>
    <s v="High"/>
    <s v="Suspended"/>
    <b v="0"/>
    <n v="4"/>
    <s v="Punjab"/>
    <n v="7"/>
    <n v="2"/>
    <n v="1805"/>
    <s v="Disputed"/>
    <s v="Not an Outliers"/>
    <x v="0"/>
  </r>
  <r>
    <d v="2024-05-27T00:00:00"/>
    <s v="Huda City Center"/>
    <s v="Bus"/>
    <x v="4"/>
    <n v="6433"/>
    <b v="1"/>
    <x v="0"/>
    <s v="Morning"/>
    <s v="Dry"/>
    <s v="26-35"/>
    <n v="3"/>
    <s v="High"/>
    <s v="Learner"/>
    <b v="0"/>
    <n v="37"/>
    <s v="Uttar Pradesh"/>
    <n v="10"/>
    <n v="3"/>
    <n v="1365"/>
    <s v="Unpaid"/>
    <s v="Not an Outliers"/>
    <x v="0"/>
  </r>
  <r>
    <d v="2024-05-28T00:00:00"/>
    <s v="Sheetala Mata Road"/>
    <s v="Car"/>
    <x v="3"/>
    <n v="4106"/>
    <b v="1"/>
    <x v="0"/>
    <s v="Evening"/>
    <s v="Under Construction"/>
    <s v="36-50"/>
    <n v="5"/>
    <s v="Low"/>
    <s v="Learner"/>
    <b v="1"/>
    <n v="77"/>
    <s v="Punjab"/>
    <n v="1"/>
    <n v="2"/>
    <n v="2945"/>
    <s v="Disputed"/>
    <s v="Not an Outliers"/>
    <x v="0"/>
  </r>
  <r>
    <d v="2024-05-28T00:00:00"/>
    <s v="Sheetala Mata Road"/>
    <s v="Car"/>
    <x v="2"/>
    <n v="2349"/>
    <b v="0"/>
    <x v="4"/>
    <s v="Night"/>
    <s v="Under Construction"/>
    <s v="50+"/>
    <n v="3"/>
    <s v="Medium"/>
    <s v="Valid"/>
    <b v="1"/>
    <n v="84"/>
    <s v="Punjab"/>
    <n v="10"/>
    <n v="3"/>
    <n v="3048"/>
    <s v="Disputed"/>
    <s v="Not an Outliers"/>
    <x v="0"/>
  </r>
  <r>
    <d v="2024-05-28T00:00:00"/>
    <s v="Golf Course Road"/>
    <s v="Truck"/>
    <x v="4"/>
    <n v="6251"/>
    <b v="0"/>
    <x v="0"/>
    <s v="Evening"/>
    <s v="Slippery"/>
    <s v="36-50"/>
    <n v="5"/>
    <s v="Medium"/>
    <s v="Expired"/>
    <b v="1"/>
    <n v="16"/>
    <s v="Delhi"/>
    <n v="1"/>
    <n v="3"/>
    <n v="3624"/>
    <s v="Unpaid"/>
    <s v="Not an Outliers"/>
    <x v="0"/>
  </r>
  <r>
    <d v="2024-05-28T00:00:00"/>
    <s v="Sector 56"/>
    <s v="Truck"/>
    <x v="4"/>
    <n v="6644"/>
    <b v="0"/>
    <x v="4"/>
    <s v="Night"/>
    <s v="Dry"/>
    <s v="50+"/>
    <n v="0"/>
    <s v="Low"/>
    <s v="Learner"/>
    <b v="1"/>
    <n v="6"/>
    <s v="Delhi"/>
    <n v="9"/>
    <n v="3"/>
    <n v="3292"/>
    <s v="Disputed"/>
    <s v="Not an Outliers"/>
    <x v="0"/>
  </r>
  <r>
    <d v="2024-05-28T00:00:00"/>
    <s v="Golf Course Road"/>
    <s v="Auto-rickshaw"/>
    <x v="1"/>
    <n v="1000"/>
    <b v="1"/>
    <x v="2"/>
    <s v="Night"/>
    <s v="Slippery"/>
    <s v="18-25"/>
    <n v="0"/>
    <s v="High"/>
    <s v="Valid"/>
    <b v="0"/>
    <n v="66"/>
    <s v="Delhi"/>
    <n v="10"/>
    <n v="2"/>
    <n v="1385"/>
    <s v="Paid"/>
    <s v="Not an Outliers"/>
    <x v="0"/>
  </r>
  <r>
    <d v="2024-06-01T00:00:00"/>
    <s v="Manesar Toll"/>
    <s v="Bus"/>
    <x v="4"/>
    <n v="8121"/>
    <b v="0"/>
    <x v="4"/>
    <s v="Night"/>
    <s v="Dry"/>
    <s v="36-50"/>
    <n v="2"/>
    <s v="Medium"/>
    <s v="Suspended"/>
    <b v="1"/>
    <n v="28"/>
    <s v="Punjab"/>
    <n v="8"/>
    <n v="2"/>
    <n v="2668"/>
    <s v="Unpaid"/>
    <s v="Not an Outliers"/>
    <x v="1"/>
  </r>
  <r>
    <d v="2024-06-02T00:00:00"/>
    <s v="Sikanderpur"/>
    <s v="Truck"/>
    <x v="4"/>
    <n v="9492"/>
    <b v="0"/>
    <x v="2"/>
    <s v="Morning"/>
    <s v="Wet"/>
    <s v="50+"/>
    <n v="3"/>
    <s v="High"/>
    <s v="Suspended"/>
    <b v="0"/>
    <n v="61"/>
    <s v="Punjab"/>
    <n v="8"/>
    <n v="1"/>
    <n v="4724"/>
    <s v="Unpaid"/>
    <s v="Not an Outliers"/>
    <x v="1"/>
  </r>
  <r>
    <d v="2024-06-02T00:00:00"/>
    <s v="MG Road"/>
    <s v="Bike"/>
    <x v="5"/>
    <n v="5510"/>
    <b v="1"/>
    <x v="3"/>
    <s v="Morning"/>
    <s v="Dry"/>
    <s v="50+"/>
    <n v="2"/>
    <s v="Low"/>
    <s v="Learner"/>
    <b v="0"/>
    <n v="13"/>
    <s v="Punjab"/>
    <n v="5"/>
    <n v="3"/>
    <n v="4846"/>
    <s v="Paid"/>
    <s v="Not an Outliers"/>
    <x v="1"/>
  </r>
  <r>
    <d v="2024-06-02T00:00:00"/>
    <s v="Sector 29"/>
    <s v="Bus"/>
    <x v="5"/>
    <n v="3071"/>
    <b v="0"/>
    <x v="3"/>
    <s v="Night"/>
    <s v="Under Construction"/>
    <s v="18-25"/>
    <n v="3"/>
    <s v="High"/>
    <s v="Learner"/>
    <b v="0"/>
    <n v="106"/>
    <s v="Haryana"/>
    <n v="7"/>
    <n v="1"/>
    <n v="3266"/>
    <s v="Disputed"/>
    <s v="Not an Outliers"/>
    <x v="1"/>
  </r>
  <r>
    <d v="2024-06-03T00:00:00"/>
    <s v="Sector 29"/>
    <s v="Bus"/>
    <x v="1"/>
    <n v="1000"/>
    <b v="1"/>
    <x v="2"/>
    <s v="Afternoon"/>
    <s v="Slippery"/>
    <s v="36-50"/>
    <n v="0"/>
    <s v="High"/>
    <s v="Learner"/>
    <b v="0"/>
    <n v="60"/>
    <s v="Punjab"/>
    <n v="7"/>
    <n v="3"/>
    <n v="1886"/>
    <s v="Unpaid"/>
    <s v="Not an Outliers"/>
    <x v="0"/>
  </r>
  <r>
    <d v="2024-06-03T00:00:00"/>
    <s v="Cyber City"/>
    <s v="Truck"/>
    <x v="1"/>
    <n v="1000"/>
    <b v="0"/>
    <x v="4"/>
    <s v="Night"/>
    <s v="Slippery"/>
    <s v="50+"/>
    <n v="5"/>
    <s v="High"/>
    <s v="Valid"/>
    <b v="1"/>
    <n v="19"/>
    <s v="Punjab"/>
    <n v="4"/>
    <n v="1"/>
    <n v="1995"/>
    <s v="Unpaid"/>
    <s v="Not an Outliers"/>
    <x v="0"/>
  </r>
  <r>
    <d v="2024-06-03T00:00:00"/>
    <s v="Rajiv Chowk"/>
    <s v="Auto-rickshaw"/>
    <x v="1"/>
    <n v="1000"/>
    <b v="0"/>
    <x v="3"/>
    <s v="Night"/>
    <s v="Dry"/>
    <s v="50+"/>
    <n v="2"/>
    <s v="Low"/>
    <s v="Suspended"/>
    <b v="1"/>
    <n v="18"/>
    <s v="Haryana"/>
    <n v="4"/>
    <n v="1"/>
    <n v="547"/>
    <s v="Disputed"/>
    <s v="Not an Outliers"/>
    <x v="0"/>
  </r>
  <r>
    <d v="2024-06-04T00:00:00"/>
    <s v="IFFCO Chowk"/>
    <s v="Bike"/>
    <x v="0"/>
    <n v="1000"/>
    <b v="0"/>
    <x v="2"/>
    <s v="Afternoon"/>
    <s v="Dry"/>
    <s v="18-25"/>
    <n v="2"/>
    <s v="High"/>
    <s v="Suspended"/>
    <b v="1"/>
    <n v="31"/>
    <s v="Uttar Pradesh"/>
    <n v="2"/>
    <n v="1"/>
    <n v="925"/>
    <s v="Unpaid"/>
    <s v="Not an Outliers"/>
    <x v="0"/>
  </r>
  <r>
    <d v="2024-06-04T00:00:00"/>
    <s v="Manesar Toll"/>
    <s v="Bus"/>
    <x v="2"/>
    <n v="1976"/>
    <b v="1"/>
    <x v="3"/>
    <s v="Afternoon"/>
    <s v="Wet"/>
    <s v="50+"/>
    <n v="1"/>
    <s v="High"/>
    <s v="Suspended"/>
    <b v="0"/>
    <n v="94"/>
    <s v="Punjab"/>
    <n v="10"/>
    <n v="3"/>
    <n v="3981"/>
    <s v="Paid"/>
    <s v="Not an Outliers"/>
    <x v="0"/>
  </r>
  <r>
    <d v="2024-06-04T00:00:00"/>
    <s v="Rajiv Chowk"/>
    <s v="Bike"/>
    <x v="0"/>
    <n v="1000"/>
    <b v="0"/>
    <x v="3"/>
    <s v="Night"/>
    <s v="Under Construction"/>
    <s v="36-50"/>
    <n v="4"/>
    <s v="Medium"/>
    <s v="Suspended"/>
    <b v="1"/>
    <n v="56"/>
    <s v="Haryana"/>
    <n v="1"/>
    <n v="3"/>
    <n v="2694"/>
    <s v="Paid"/>
    <s v="Not an Outliers"/>
    <x v="0"/>
  </r>
  <r>
    <d v="2024-06-04T00:00:00"/>
    <s v="Sector 56"/>
    <s v="Bike"/>
    <x v="3"/>
    <n v="2103"/>
    <b v="0"/>
    <x v="0"/>
    <s v="Afternoon"/>
    <s v="Dry"/>
    <s v="36-50"/>
    <n v="1"/>
    <s v="Low"/>
    <s v="Learner"/>
    <b v="1"/>
    <n v="42"/>
    <s v="Uttar Pradesh"/>
    <n v="9"/>
    <n v="2"/>
    <n v="4333"/>
    <s v="Disputed"/>
    <s v="Not an Outliers"/>
    <x v="0"/>
  </r>
  <r>
    <d v="2024-06-04T00:00:00"/>
    <s v="Sector 56"/>
    <s v="Bus"/>
    <x v="1"/>
    <n v="1000"/>
    <b v="0"/>
    <x v="2"/>
    <s v="Evening"/>
    <s v="Slippery"/>
    <s v="50+"/>
    <n v="3"/>
    <s v="Low"/>
    <s v="Suspended"/>
    <b v="0"/>
    <n v="5"/>
    <s v="Punjab"/>
    <n v="7"/>
    <n v="2"/>
    <n v="856"/>
    <s v="Unpaid"/>
    <s v="Not an Outliers"/>
    <x v="0"/>
  </r>
  <r>
    <d v="2024-06-05T00:00:00"/>
    <s v="Sector 56"/>
    <s v="Car"/>
    <x v="3"/>
    <n v="2771"/>
    <b v="1"/>
    <x v="3"/>
    <s v="Evening"/>
    <s v="Slippery"/>
    <s v="36-50"/>
    <n v="2"/>
    <s v="Medium"/>
    <s v="Expired"/>
    <b v="0"/>
    <n v="66"/>
    <s v="Rajasthan"/>
    <n v="7"/>
    <n v="2"/>
    <n v="4424"/>
    <s v="Disputed"/>
    <s v="Not an Outliers"/>
    <x v="0"/>
  </r>
  <r>
    <d v="2024-06-05T00:00:00"/>
    <s v="Manesar Toll"/>
    <s v="Truck"/>
    <x v="2"/>
    <n v="4308"/>
    <b v="1"/>
    <x v="1"/>
    <s v="Evening"/>
    <s v="Under Construction"/>
    <s v="36-50"/>
    <n v="5"/>
    <s v="Low"/>
    <s v="Expired"/>
    <b v="0"/>
    <n v="120"/>
    <s v="Punjab"/>
    <n v="5"/>
    <n v="2"/>
    <n v="2210"/>
    <s v="Paid"/>
    <s v="Not an Outliers"/>
    <x v="0"/>
  </r>
  <r>
    <d v="2024-06-05T00:00:00"/>
    <s v="Sector 29"/>
    <s v="Car"/>
    <x v="3"/>
    <n v="4806"/>
    <b v="0"/>
    <x v="1"/>
    <s v="Afternoon"/>
    <s v="Under Construction"/>
    <s v="26-35"/>
    <n v="5"/>
    <s v="Low"/>
    <s v="Valid"/>
    <b v="1"/>
    <n v="103"/>
    <s v="Punjab"/>
    <n v="9"/>
    <n v="3"/>
    <n v="2114"/>
    <s v="Paid"/>
    <s v="Not an Outliers"/>
    <x v="0"/>
  </r>
  <r>
    <d v="2024-06-05T00:00:00"/>
    <s v="Huda City Center"/>
    <s v="Car"/>
    <x v="5"/>
    <n v="3873"/>
    <b v="0"/>
    <x v="0"/>
    <s v="Night"/>
    <s v="Under Construction"/>
    <s v="26-35"/>
    <n v="4"/>
    <s v="High"/>
    <s v="Expired"/>
    <b v="1"/>
    <n v="50"/>
    <s v="Rajasthan"/>
    <n v="4"/>
    <n v="3"/>
    <n v="4108"/>
    <s v="Unpaid"/>
    <s v="Not an Outliers"/>
    <x v="0"/>
  </r>
  <r>
    <d v="2024-06-05T00:00:00"/>
    <s v="Sector 56"/>
    <s v="Truck"/>
    <x v="3"/>
    <n v="3508"/>
    <b v="0"/>
    <x v="1"/>
    <s v="Afternoon"/>
    <s v="Slippery"/>
    <s v="36-50"/>
    <n v="4"/>
    <s v="High"/>
    <s v="Valid"/>
    <b v="0"/>
    <n v="86"/>
    <s v="Punjab"/>
    <n v="9"/>
    <n v="3"/>
    <n v="4514"/>
    <s v="Paid"/>
    <s v="Not an Outliers"/>
    <x v="0"/>
  </r>
  <r>
    <d v="2024-06-05T00:00:00"/>
    <s v="Signature Tower Chowk"/>
    <s v="Bus"/>
    <x v="2"/>
    <n v="1523"/>
    <b v="0"/>
    <x v="3"/>
    <s v="Evening"/>
    <s v="Slippery"/>
    <s v="50+"/>
    <n v="2"/>
    <s v="Low"/>
    <s v="Valid"/>
    <b v="0"/>
    <n v="6"/>
    <s v="Rajasthan"/>
    <n v="8"/>
    <n v="1"/>
    <n v="3878"/>
    <s v="Disputed"/>
    <s v="Not an Outliers"/>
    <x v="0"/>
  </r>
  <r>
    <d v="2024-06-06T00:00:00"/>
    <s v="Sector 29"/>
    <s v="Car"/>
    <x v="3"/>
    <n v="4783"/>
    <b v="0"/>
    <x v="1"/>
    <s v="Night"/>
    <s v="Dry"/>
    <s v="36-50"/>
    <n v="1"/>
    <s v="High"/>
    <s v="Learner"/>
    <b v="1"/>
    <n v="114"/>
    <s v="Uttar Pradesh"/>
    <n v="8"/>
    <n v="1"/>
    <n v="4969"/>
    <s v="Paid"/>
    <s v="Not an Outliers"/>
    <x v="0"/>
  </r>
  <r>
    <d v="2024-06-06T00:00:00"/>
    <s v="Manesar Toll"/>
    <s v="Auto-rickshaw"/>
    <x v="1"/>
    <n v="1000"/>
    <b v="0"/>
    <x v="4"/>
    <s v="Afternoon"/>
    <s v="Under Construction"/>
    <s v="36-50"/>
    <n v="4"/>
    <s v="Low"/>
    <s v="Valid"/>
    <b v="1"/>
    <n v="102"/>
    <s v="Haryana"/>
    <n v="3"/>
    <n v="1"/>
    <n v="797"/>
    <s v="Paid"/>
    <s v="Not an Outliers"/>
    <x v="0"/>
  </r>
  <r>
    <d v="2024-06-07T00:00:00"/>
    <s v="NH-8"/>
    <s v="Bus"/>
    <x v="2"/>
    <n v="18340"/>
    <b v="0"/>
    <x v="2"/>
    <s v="Night"/>
    <s v="Slippery"/>
    <s v="18-25"/>
    <n v="3"/>
    <s v="High"/>
    <s v="Learner"/>
    <b v="0"/>
    <n v="116"/>
    <s v="Uttar Pradesh"/>
    <n v="4"/>
    <n v="1"/>
    <n v="3391"/>
    <s v="Paid"/>
    <s v="Outliers"/>
    <x v="0"/>
  </r>
  <r>
    <d v="2024-06-07T00:00:00"/>
    <s v="Golf Course Road"/>
    <s v="Car"/>
    <x v="1"/>
    <n v="1000"/>
    <b v="0"/>
    <x v="2"/>
    <s v="Evening"/>
    <s v="Under Construction"/>
    <s v="18-25"/>
    <n v="3"/>
    <s v="Low"/>
    <s v="Expired"/>
    <b v="1"/>
    <n v="34"/>
    <s v="Punjab"/>
    <n v="6"/>
    <n v="2"/>
    <n v="698"/>
    <s v="Unpaid"/>
    <s v="Not an Outliers"/>
    <x v="0"/>
  </r>
  <r>
    <d v="2024-06-07T00:00:00"/>
    <s v="Huda City Center"/>
    <s v="Truck"/>
    <x v="1"/>
    <n v="1000"/>
    <b v="1"/>
    <x v="2"/>
    <s v="Morning"/>
    <s v="Dry"/>
    <s v="18-25"/>
    <n v="5"/>
    <s v="High"/>
    <s v="Suspended"/>
    <b v="0"/>
    <n v="89"/>
    <s v="Punjab"/>
    <n v="3"/>
    <n v="2"/>
    <n v="4222"/>
    <s v="Unpaid"/>
    <s v="Not an Outliers"/>
    <x v="0"/>
  </r>
  <r>
    <d v="2024-06-07T00:00:00"/>
    <s v="Sheetala Mata Road"/>
    <s v="Car"/>
    <x v="1"/>
    <n v="1000"/>
    <b v="0"/>
    <x v="3"/>
    <s v="Night"/>
    <s v="Slippery"/>
    <s v="36-50"/>
    <n v="2"/>
    <s v="Medium"/>
    <s v="Suspended"/>
    <b v="0"/>
    <n v="102"/>
    <s v="Rajasthan"/>
    <n v="9"/>
    <n v="2"/>
    <n v="2821"/>
    <s v="Disputed"/>
    <s v="Not an Outliers"/>
    <x v="0"/>
  </r>
  <r>
    <d v="2024-06-07T00:00:00"/>
    <s v="Sector 56"/>
    <s v="Bike"/>
    <x v="4"/>
    <n v="9901"/>
    <b v="0"/>
    <x v="2"/>
    <s v="Afternoon"/>
    <s v="Slippery"/>
    <s v="26-35"/>
    <n v="3"/>
    <s v="Low"/>
    <s v="Expired"/>
    <b v="0"/>
    <n v="69"/>
    <s v="Uttar Pradesh"/>
    <n v="8"/>
    <n v="1"/>
    <n v="3617"/>
    <s v="Unpaid"/>
    <s v="Not an Outliers"/>
    <x v="0"/>
  </r>
  <r>
    <d v="2024-06-08T00:00:00"/>
    <s v="Golf Course Road"/>
    <s v="Auto-rickshaw"/>
    <x v="4"/>
    <n v="6399"/>
    <b v="0"/>
    <x v="3"/>
    <s v="Night"/>
    <s v="Under Construction"/>
    <s v="36-50"/>
    <n v="5"/>
    <s v="Medium"/>
    <s v="Valid"/>
    <b v="1"/>
    <n v="32"/>
    <s v="Rajasthan"/>
    <n v="10"/>
    <n v="1"/>
    <n v="2463"/>
    <s v="Paid"/>
    <s v="Not an Outliers"/>
    <x v="1"/>
  </r>
  <r>
    <d v="2024-06-08T00:00:00"/>
    <s v="Udyog Vihar"/>
    <s v="Truck"/>
    <x v="2"/>
    <n v="3306"/>
    <b v="1"/>
    <x v="0"/>
    <s v="Morning"/>
    <s v="Wet"/>
    <s v="18-25"/>
    <n v="1"/>
    <s v="Medium"/>
    <s v="Valid"/>
    <b v="0"/>
    <n v="115"/>
    <s v="Haryana"/>
    <n v="7"/>
    <n v="1"/>
    <n v="3706"/>
    <s v="Unpaid"/>
    <s v="Not an Outliers"/>
    <x v="1"/>
  </r>
  <r>
    <d v="2024-06-08T00:00:00"/>
    <s v="Cyber City"/>
    <s v="Truck"/>
    <x v="2"/>
    <n v="2547"/>
    <b v="0"/>
    <x v="0"/>
    <s v="Night"/>
    <s v="Slippery"/>
    <s v="36-50"/>
    <n v="5"/>
    <s v="Low"/>
    <s v="Suspended"/>
    <b v="1"/>
    <n v="73"/>
    <s v="Rajasthan"/>
    <n v="6"/>
    <n v="3"/>
    <n v="1832"/>
    <s v="Disputed"/>
    <s v="Not an Outliers"/>
    <x v="1"/>
  </r>
  <r>
    <d v="2024-06-08T00:00:00"/>
    <s v="Udyog Vihar"/>
    <s v="Car"/>
    <x v="2"/>
    <n v="4953"/>
    <b v="0"/>
    <x v="1"/>
    <s v="Evening"/>
    <s v="Dry"/>
    <s v="50+"/>
    <n v="5"/>
    <s v="High"/>
    <s v="Valid"/>
    <b v="1"/>
    <n v="116"/>
    <s v="Punjab"/>
    <n v="1"/>
    <n v="2"/>
    <n v="1113"/>
    <s v="Unpaid"/>
    <s v="Not an Outliers"/>
    <x v="1"/>
  </r>
  <r>
    <d v="2024-06-09T00:00:00"/>
    <s v="Huda City Center"/>
    <s v="Bike"/>
    <x v="0"/>
    <n v="1000"/>
    <b v="0"/>
    <x v="1"/>
    <s v="Morning"/>
    <s v="Wet"/>
    <s v="36-50"/>
    <n v="1"/>
    <s v="High"/>
    <s v="Suspended"/>
    <b v="0"/>
    <n v="49"/>
    <s v="Punjab"/>
    <n v="7"/>
    <n v="3"/>
    <n v="3962"/>
    <s v="Unpaid"/>
    <s v="Not an Outliers"/>
    <x v="1"/>
  </r>
  <r>
    <d v="2024-06-09T00:00:00"/>
    <s v="Sector 29"/>
    <s v="Bike"/>
    <x v="3"/>
    <n v="4193"/>
    <b v="0"/>
    <x v="2"/>
    <s v="Night"/>
    <s v="Under Construction"/>
    <s v="18-25"/>
    <n v="3"/>
    <s v="High"/>
    <s v="Learner"/>
    <b v="1"/>
    <n v="68"/>
    <s v="Haryana"/>
    <n v="8"/>
    <n v="1"/>
    <n v="3225"/>
    <s v="Unpaid"/>
    <s v="Not an Outliers"/>
    <x v="1"/>
  </r>
  <r>
    <d v="2024-06-09T00:00:00"/>
    <s v="Cyber City"/>
    <s v="Bike"/>
    <x v="4"/>
    <n v="8376"/>
    <b v="0"/>
    <x v="2"/>
    <s v="Evening"/>
    <s v="Wet"/>
    <s v="26-35"/>
    <n v="1"/>
    <s v="High"/>
    <s v="Expired"/>
    <b v="0"/>
    <n v="33"/>
    <s v="Haryana"/>
    <n v="9"/>
    <n v="2"/>
    <n v="3103"/>
    <s v="Unpaid"/>
    <s v="Not an Outliers"/>
    <x v="1"/>
  </r>
  <r>
    <d v="2024-06-10T00:00:00"/>
    <s v="Sikanderpur"/>
    <s v="Bike"/>
    <x v="4"/>
    <n v="9434"/>
    <b v="0"/>
    <x v="3"/>
    <s v="Morning"/>
    <s v="Slippery"/>
    <s v="36-50"/>
    <n v="2"/>
    <s v="High"/>
    <s v="Suspended"/>
    <b v="0"/>
    <n v="58"/>
    <s v="Rajasthan"/>
    <n v="7"/>
    <n v="2"/>
    <n v="3998"/>
    <s v="Disputed"/>
    <s v="Not an Outliers"/>
    <x v="0"/>
  </r>
  <r>
    <d v="2024-06-11T00:00:00"/>
    <s v="Udyog Vihar"/>
    <s v="Bus"/>
    <x v="5"/>
    <n v="5610"/>
    <b v="0"/>
    <x v="3"/>
    <s v="Evening"/>
    <s v="Slippery"/>
    <s v="36-50"/>
    <n v="18"/>
    <s v="High"/>
    <s v="Learner"/>
    <b v="0"/>
    <n v="61"/>
    <s v="Uttar Pradesh"/>
    <n v="5"/>
    <n v="3"/>
    <n v="4411"/>
    <s v="Unpaid"/>
    <s v="Not an Outliers"/>
    <x v="0"/>
  </r>
  <r>
    <d v="2024-06-12T00:00:00"/>
    <s v="NH-8"/>
    <s v="Car"/>
    <x v="4"/>
    <n v="9693"/>
    <b v="0"/>
    <x v="1"/>
    <s v="Afternoon"/>
    <s v="Slippery"/>
    <s v="26-35"/>
    <n v="2"/>
    <s v="High"/>
    <s v="Learner"/>
    <b v="1"/>
    <n v="115"/>
    <s v="Delhi"/>
    <n v="4"/>
    <n v="3"/>
    <n v="1417"/>
    <s v="Disputed"/>
    <s v="Not an Outliers"/>
    <x v="0"/>
  </r>
  <r>
    <d v="2024-06-12T00:00:00"/>
    <s v="Sikanderpur"/>
    <s v="Bus"/>
    <x v="1"/>
    <n v="1000"/>
    <b v="1"/>
    <x v="0"/>
    <s v="Morning"/>
    <s v="Dry"/>
    <s v="26-35"/>
    <n v="4"/>
    <s v="Medium"/>
    <s v="Expired"/>
    <b v="0"/>
    <n v="96"/>
    <s v="Uttar Pradesh"/>
    <n v="10"/>
    <n v="1"/>
    <n v="2446"/>
    <s v="Unpaid"/>
    <s v="Not an Outliers"/>
    <x v="0"/>
  </r>
  <r>
    <d v="2024-06-13T00:00:00"/>
    <s v="IFFCO Chowk"/>
    <s v="Truck"/>
    <x v="5"/>
    <n v="2307"/>
    <b v="1"/>
    <x v="2"/>
    <s v="Afternoon"/>
    <s v="Under Construction"/>
    <s v="26-35"/>
    <n v="2"/>
    <s v="Medium"/>
    <s v="Expired"/>
    <b v="0"/>
    <n v="0"/>
    <s v="Uttar Pradesh"/>
    <n v="4"/>
    <n v="1"/>
    <n v="4228"/>
    <s v="Unpaid"/>
    <s v="Not an Outliers"/>
    <x v="0"/>
  </r>
  <r>
    <d v="2024-06-13T00:00:00"/>
    <s v="Signature Tower Chowk"/>
    <s v="Car"/>
    <x v="1"/>
    <n v="1000"/>
    <b v="0"/>
    <x v="1"/>
    <s v="Afternoon"/>
    <s v="Under Construction"/>
    <s v="36-50"/>
    <n v="2"/>
    <s v="High"/>
    <s v="Valid"/>
    <b v="1"/>
    <n v="66"/>
    <s v="Uttar Pradesh"/>
    <n v="8"/>
    <n v="2"/>
    <n v="1492"/>
    <s v="Paid"/>
    <s v="Not an Outliers"/>
    <x v="0"/>
  </r>
  <r>
    <d v="2024-06-14T00:00:00"/>
    <s v="Sikanderpur"/>
    <s v="Auto-rickshaw"/>
    <x v="4"/>
    <n v="9602"/>
    <b v="0"/>
    <x v="2"/>
    <s v="Evening"/>
    <s v="Slippery"/>
    <s v="36-50"/>
    <n v="5"/>
    <s v="High"/>
    <s v="Expired"/>
    <b v="1"/>
    <n v="91"/>
    <s v="Haryana"/>
    <n v="7"/>
    <n v="2"/>
    <n v="1434"/>
    <s v="Paid"/>
    <s v="Not an Outliers"/>
    <x v="0"/>
  </r>
  <r>
    <d v="2024-06-15T00:00:00"/>
    <s v="Signature Tower Chowk"/>
    <s v="Bike"/>
    <x v="4"/>
    <n v="7629"/>
    <b v="0"/>
    <x v="4"/>
    <s v="Morning"/>
    <s v="Slippery"/>
    <s v="26-35"/>
    <n v="1"/>
    <s v="Low"/>
    <s v="Suspended"/>
    <b v="0"/>
    <n v="60"/>
    <s v="Haryana"/>
    <n v="4"/>
    <n v="2"/>
    <n v="966"/>
    <s v="Unpaid"/>
    <s v="Not an Outliers"/>
    <x v="1"/>
  </r>
  <r>
    <d v="2024-06-15T00:00:00"/>
    <s v="Huda City Center"/>
    <s v="Auto-rickshaw"/>
    <x v="5"/>
    <n v="2596"/>
    <b v="1"/>
    <x v="4"/>
    <s v="Night"/>
    <s v="Under Construction"/>
    <s v="26-35"/>
    <n v="5"/>
    <s v="High"/>
    <s v="Learner"/>
    <b v="0"/>
    <n v="19"/>
    <s v="Rajasthan"/>
    <n v="2"/>
    <n v="2"/>
    <n v="2131"/>
    <s v="Disputed"/>
    <s v="Not an Outliers"/>
    <x v="1"/>
  </r>
  <r>
    <d v="2024-06-15T00:00:00"/>
    <s v="Sector 29"/>
    <s v="Truck"/>
    <x v="3"/>
    <n v="4613"/>
    <b v="1"/>
    <x v="2"/>
    <s v="Night"/>
    <s v="Under Construction"/>
    <s v="18-25"/>
    <n v="1"/>
    <s v="Medium"/>
    <s v="Suspended"/>
    <b v="1"/>
    <n v="73"/>
    <s v="Haryana"/>
    <n v="9"/>
    <n v="3"/>
    <n v="1800"/>
    <s v="Unpaid"/>
    <s v="Not an Outliers"/>
    <x v="1"/>
  </r>
  <r>
    <d v="2024-06-16T00:00:00"/>
    <s v="Sohna Road near Iris Tech Park"/>
    <s v="Auto-rickshaw"/>
    <x v="1"/>
    <n v="1000"/>
    <b v="1"/>
    <x v="4"/>
    <s v="Afternoon"/>
    <s v="Under Construction"/>
    <s v="18-25"/>
    <n v="5"/>
    <s v="Medium"/>
    <s v="Valid"/>
    <b v="1"/>
    <n v="88"/>
    <s v="Haryana"/>
    <n v="8"/>
    <n v="3"/>
    <n v="1430"/>
    <s v="Disputed"/>
    <s v="Not an Outliers"/>
    <x v="1"/>
  </r>
  <r>
    <d v="2024-06-16T00:00:00"/>
    <s v="IFFCO Chowk"/>
    <s v="Bike"/>
    <x v="0"/>
    <n v="1000"/>
    <b v="0"/>
    <x v="4"/>
    <s v="Evening"/>
    <s v="Dry"/>
    <s v="36-50"/>
    <n v="3"/>
    <s v="Medium"/>
    <s v="Valid"/>
    <b v="0"/>
    <n v="25"/>
    <s v="Uttar Pradesh"/>
    <n v="5"/>
    <n v="1"/>
    <n v="2848"/>
    <s v="Paid"/>
    <s v="Not an Outliers"/>
    <x v="1"/>
  </r>
  <r>
    <d v="2024-06-17T00:00:00"/>
    <s v="NH-8"/>
    <s v="Bike"/>
    <x v="3"/>
    <n v="2468"/>
    <b v="1"/>
    <x v="0"/>
    <s v="Night"/>
    <s v="Slippery"/>
    <s v="26-35"/>
    <n v="2"/>
    <s v="Medium"/>
    <s v="Suspended"/>
    <b v="0"/>
    <n v="41"/>
    <s v="Delhi"/>
    <n v="4"/>
    <n v="1"/>
    <n v="2730"/>
    <s v="Disputed"/>
    <s v="Not an Outliers"/>
    <x v="0"/>
  </r>
  <r>
    <d v="2024-06-17T00:00:00"/>
    <s v="NH-8"/>
    <s v="Car"/>
    <x v="5"/>
    <n v="7693"/>
    <b v="0"/>
    <x v="3"/>
    <s v="Evening"/>
    <s v="Slippery"/>
    <s v="26-35"/>
    <n v="5"/>
    <s v="Medium"/>
    <s v="Suspended"/>
    <b v="0"/>
    <n v="65"/>
    <s v="Haryana"/>
    <n v="7"/>
    <n v="2"/>
    <n v="4674"/>
    <s v="Disputed"/>
    <s v="Not an Outliers"/>
    <x v="0"/>
  </r>
  <r>
    <d v="2024-06-20T00:00:00"/>
    <s v="Udyog Vihar"/>
    <s v="Bike"/>
    <x v="4"/>
    <n v="8413"/>
    <b v="0"/>
    <x v="0"/>
    <s v="Morning"/>
    <s v="Slippery"/>
    <s v="18-25"/>
    <n v="0"/>
    <s v="Low"/>
    <s v="Expired"/>
    <b v="1"/>
    <n v="90"/>
    <s v="Rajasthan"/>
    <n v="6"/>
    <n v="2"/>
    <n v="2806"/>
    <s v="Unpaid"/>
    <s v="Not an Outliers"/>
    <x v="0"/>
  </r>
  <r>
    <d v="2024-06-20T00:00:00"/>
    <s v="Sikanderpur"/>
    <s v="Bus"/>
    <x v="1"/>
    <n v="1000"/>
    <b v="0"/>
    <x v="2"/>
    <s v="Morning"/>
    <s v="Slippery"/>
    <s v="26-35"/>
    <n v="9"/>
    <s v="Medium"/>
    <s v="Suspended"/>
    <b v="0"/>
    <n v="19"/>
    <s v="Delhi"/>
    <n v="10"/>
    <n v="2"/>
    <n v="1019"/>
    <s v="Unpaid"/>
    <s v="Not an Outliers"/>
    <x v="0"/>
  </r>
  <r>
    <d v="2024-06-20T00:00:00"/>
    <s v="Sector 29"/>
    <s v="Bus"/>
    <x v="2"/>
    <n v="2158"/>
    <b v="1"/>
    <x v="2"/>
    <s v="Night"/>
    <s v="Under Construction"/>
    <s v="26-35"/>
    <n v="1"/>
    <s v="High"/>
    <s v="Valid"/>
    <b v="0"/>
    <n v="120"/>
    <s v="Delhi"/>
    <n v="3"/>
    <n v="3"/>
    <n v="2781"/>
    <s v="Disputed"/>
    <s v="Not an Outliers"/>
    <x v="0"/>
  </r>
  <r>
    <d v="2024-06-20T00:00:00"/>
    <s v="Sohna Road near Iris Tech Park"/>
    <s v="Bike"/>
    <x v="4"/>
    <n v="5779"/>
    <b v="0"/>
    <x v="2"/>
    <s v="Evening"/>
    <s v="Dry"/>
    <s v="50+"/>
    <n v="2"/>
    <s v="High"/>
    <s v="Expired"/>
    <b v="0"/>
    <n v="38"/>
    <s v="Delhi"/>
    <n v="7"/>
    <n v="1"/>
    <n v="4666"/>
    <s v="Disputed"/>
    <s v="Not an Outliers"/>
    <x v="0"/>
  </r>
  <r>
    <d v="2024-06-21T00:00:00"/>
    <s v="Cyber City"/>
    <s v="Car"/>
    <x v="4"/>
    <n v="9581"/>
    <b v="0"/>
    <x v="0"/>
    <s v="Night"/>
    <s v="Under Construction"/>
    <s v="18-25"/>
    <n v="3"/>
    <s v="Low"/>
    <s v="Expired"/>
    <b v="1"/>
    <n v="35"/>
    <s v="Uttar Pradesh"/>
    <n v="10"/>
    <n v="2"/>
    <n v="2343"/>
    <s v="Unpaid"/>
    <s v="Not an Outliers"/>
    <x v="0"/>
  </r>
  <r>
    <d v="2024-06-21T00:00:00"/>
    <s v="IFFCO Chowk"/>
    <s v="Bike"/>
    <x v="0"/>
    <n v="1000"/>
    <b v="1"/>
    <x v="2"/>
    <s v="Morning"/>
    <s v="Dry"/>
    <s v="26-35"/>
    <n v="2"/>
    <s v="High"/>
    <s v="Valid"/>
    <b v="1"/>
    <n v="2"/>
    <s v="Delhi"/>
    <n v="1"/>
    <n v="3"/>
    <n v="3373"/>
    <s v="Unpaid"/>
    <s v="Not an Outliers"/>
    <x v="0"/>
  </r>
  <r>
    <d v="2024-06-21T00:00:00"/>
    <s v="Huda City Center"/>
    <s v="Bus"/>
    <x v="5"/>
    <n v="2666"/>
    <b v="0"/>
    <x v="2"/>
    <s v="Night"/>
    <s v="Wet"/>
    <s v="18-25"/>
    <n v="2"/>
    <s v="Medium"/>
    <s v="Suspended"/>
    <b v="1"/>
    <n v="71"/>
    <s v="Delhi"/>
    <n v="10"/>
    <n v="2"/>
    <n v="2660"/>
    <s v="Paid"/>
    <s v="Not an Outliers"/>
    <x v="0"/>
  </r>
  <r>
    <d v="2024-06-22T00:00:00"/>
    <s v="Sohna Road near Iris Tech Park"/>
    <s v="Bike"/>
    <x v="2"/>
    <n v="1080"/>
    <b v="1"/>
    <x v="4"/>
    <s v="Afternoon"/>
    <s v="Wet"/>
    <s v="50+"/>
    <n v="2"/>
    <s v="Medium"/>
    <s v="Expired"/>
    <b v="0"/>
    <n v="67"/>
    <s v="Punjab"/>
    <n v="9"/>
    <n v="1"/>
    <n v="4568"/>
    <s v="Unpaid"/>
    <s v="Not an Outliers"/>
    <x v="1"/>
  </r>
  <r>
    <d v="2024-06-23T00:00:00"/>
    <s v="Huda City Center"/>
    <s v="Truck"/>
    <x v="3"/>
    <n v="2045"/>
    <b v="1"/>
    <x v="4"/>
    <s v="Evening"/>
    <s v="Under Construction"/>
    <s v="18-25"/>
    <n v="3"/>
    <s v="Medium"/>
    <s v="Valid"/>
    <b v="0"/>
    <n v="79"/>
    <s v="Delhi"/>
    <n v="4"/>
    <n v="3"/>
    <n v="4151"/>
    <s v="Paid"/>
    <s v="Not an Outliers"/>
    <x v="1"/>
  </r>
  <r>
    <d v="2024-06-23T00:00:00"/>
    <s v="NH-8"/>
    <s v="Car"/>
    <x v="5"/>
    <n v="5383"/>
    <b v="1"/>
    <x v="4"/>
    <s v="Morning"/>
    <s v="Under Construction"/>
    <s v="50+"/>
    <n v="2"/>
    <s v="Low"/>
    <s v="Expired"/>
    <b v="0"/>
    <n v="21"/>
    <s v="Delhi"/>
    <n v="3"/>
    <n v="1"/>
    <n v="3774"/>
    <s v="Disputed"/>
    <s v="Not an Outliers"/>
    <x v="1"/>
  </r>
  <r>
    <d v="2024-06-23T00:00:00"/>
    <s v="MG Road"/>
    <s v="Bike"/>
    <x v="4"/>
    <n v="9615"/>
    <b v="0"/>
    <x v="1"/>
    <s v="Morning"/>
    <s v="Under Construction"/>
    <s v="18-25"/>
    <n v="4"/>
    <s v="High"/>
    <s v="Valid"/>
    <b v="0"/>
    <n v="47"/>
    <s v="Rajasthan"/>
    <n v="2"/>
    <n v="1"/>
    <n v="1705"/>
    <s v="Disputed"/>
    <s v="Not an Outliers"/>
    <x v="1"/>
  </r>
  <r>
    <d v="2024-06-23T00:00:00"/>
    <s v="Golf Course Road"/>
    <s v="Bike"/>
    <x v="2"/>
    <n v="3748"/>
    <b v="1"/>
    <x v="2"/>
    <s v="Morning"/>
    <s v="Slippery"/>
    <s v="18-25"/>
    <n v="2"/>
    <s v="High"/>
    <s v="Suspended"/>
    <b v="0"/>
    <n v="81"/>
    <s v="Haryana"/>
    <n v="3"/>
    <n v="2"/>
    <n v="3807"/>
    <s v="Disputed"/>
    <s v="Not an Outliers"/>
    <x v="1"/>
  </r>
  <r>
    <d v="2024-06-24T00:00:00"/>
    <s v="Udyog Vihar"/>
    <s v="Auto-rickshaw"/>
    <x v="5"/>
    <n v="3508"/>
    <b v="0"/>
    <x v="3"/>
    <s v="Afternoon"/>
    <s v="Under Construction"/>
    <s v="50+"/>
    <n v="3"/>
    <s v="High"/>
    <s v="Expired"/>
    <b v="0"/>
    <n v="30"/>
    <s v="Punjab"/>
    <n v="7"/>
    <n v="1"/>
    <n v="4045"/>
    <s v="Paid"/>
    <s v="Not an Outliers"/>
    <x v="0"/>
  </r>
  <r>
    <d v="2024-06-24T00:00:00"/>
    <s v="IFFCO Chowk"/>
    <s v="Car"/>
    <x v="3"/>
    <n v="3014"/>
    <b v="0"/>
    <x v="4"/>
    <s v="Morning"/>
    <s v="Under Construction"/>
    <s v="26-35"/>
    <n v="0"/>
    <s v="Medium"/>
    <s v="Learner"/>
    <b v="0"/>
    <n v="61"/>
    <s v="Haryana"/>
    <n v="10"/>
    <n v="3"/>
    <n v="4917"/>
    <s v="Unpaid"/>
    <s v="Not an Outliers"/>
    <x v="0"/>
  </r>
  <r>
    <d v="2024-06-24T00:00:00"/>
    <s v="Sector 29"/>
    <s v="Truck"/>
    <x v="1"/>
    <n v="1000"/>
    <b v="1"/>
    <x v="1"/>
    <s v="Night"/>
    <s v="Slippery"/>
    <s v="26-35"/>
    <n v="3"/>
    <s v="Low"/>
    <s v="Learner"/>
    <b v="1"/>
    <n v="50"/>
    <s v="Delhi"/>
    <n v="2"/>
    <n v="1"/>
    <n v="2122"/>
    <s v="Paid"/>
    <s v="Not an Outliers"/>
    <x v="0"/>
  </r>
  <r>
    <d v="2024-06-24T00:00:00"/>
    <s v="NH-8"/>
    <s v="Bike"/>
    <x v="0"/>
    <n v="1000"/>
    <b v="0"/>
    <x v="0"/>
    <s v="Night"/>
    <s v="Wet"/>
    <s v="36-50"/>
    <n v="2"/>
    <s v="Low"/>
    <s v="Learner"/>
    <b v="1"/>
    <n v="54"/>
    <s v="Rajasthan"/>
    <n v="7"/>
    <n v="3"/>
    <n v="2655"/>
    <s v="Paid"/>
    <s v="Not an Outliers"/>
    <x v="0"/>
  </r>
  <r>
    <d v="2024-06-24T00:00:00"/>
    <s v="Sector 56"/>
    <s v="Bus"/>
    <x v="5"/>
    <n v="2252"/>
    <b v="0"/>
    <x v="1"/>
    <s v="Evening"/>
    <s v="Slippery"/>
    <s v="18-25"/>
    <n v="1"/>
    <s v="Medium"/>
    <s v="Expired"/>
    <b v="1"/>
    <n v="61"/>
    <s v="Punjab"/>
    <n v="9"/>
    <n v="2"/>
    <n v="4808"/>
    <s v="Disputed"/>
    <s v="Not an Outliers"/>
    <x v="0"/>
  </r>
  <r>
    <d v="2024-06-25T00:00:00"/>
    <s v="IFFCO Chowk"/>
    <s v="Car"/>
    <x v="5"/>
    <n v="3268"/>
    <b v="1"/>
    <x v="2"/>
    <s v="Night"/>
    <s v="Under Construction"/>
    <s v="26-35"/>
    <n v="0"/>
    <s v="High"/>
    <s v="Valid"/>
    <b v="0"/>
    <n v="112"/>
    <s v="Punjab"/>
    <n v="4"/>
    <n v="1"/>
    <n v="1985"/>
    <s v="Unpaid"/>
    <s v="Not an Outliers"/>
    <x v="0"/>
  </r>
  <r>
    <d v="2024-06-25T00:00:00"/>
    <s v="IFFCO Chowk"/>
    <s v="Auto-rickshaw"/>
    <x v="5"/>
    <n v="2255"/>
    <b v="1"/>
    <x v="4"/>
    <s v="Afternoon"/>
    <s v="Under Construction"/>
    <s v="50+"/>
    <n v="0"/>
    <s v="Low"/>
    <s v="Expired"/>
    <b v="1"/>
    <n v="52"/>
    <s v="Delhi"/>
    <n v="9"/>
    <n v="2"/>
    <n v="1429"/>
    <s v="Unpaid"/>
    <s v="Not an Outliers"/>
    <x v="0"/>
  </r>
  <r>
    <d v="2024-06-25T00:00:00"/>
    <s v="MG Road"/>
    <s v="Auto-rickshaw"/>
    <x v="3"/>
    <n v="2158"/>
    <b v="0"/>
    <x v="1"/>
    <s v="Evening"/>
    <s v="Wet"/>
    <s v="18-25"/>
    <n v="5"/>
    <s v="Medium"/>
    <s v="Learner"/>
    <b v="0"/>
    <n v="13"/>
    <s v="Uttar Pradesh"/>
    <n v="6"/>
    <n v="3"/>
    <n v="3122"/>
    <s v="Disputed"/>
    <s v="Not an Outliers"/>
    <x v="0"/>
  </r>
  <r>
    <d v="2024-06-25T00:00:00"/>
    <s v="Sector 29"/>
    <s v="Bike"/>
    <x v="3"/>
    <n v="3001"/>
    <b v="0"/>
    <x v="1"/>
    <s v="Night"/>
    <s v="Dry"/>
    <s v="26-35"/>
    <n v="1"/>
    <s v="Low"/>
    <s v="Suspended"/>
    <b v="1"/>
    <n v="64"/>
    <s v="Punjab"/>
    <n v="5"/>
    <n v="2"/>
    <n v="1249"/>
    <s v="Paid"/>
    <s v="Not an Outliers"/>
    <x v="0"/>
  </r>
  <r>
    <d v="2024-06-26T00:00:00"/>
    <s v="Huda City Center"/>
    <s v="Car"/>
    <x v="2"/>
    <n v="1325"/>
    <b v="0"/>
    <x v="1"/>
    <s v="Night"/>
    <s v="Dry"/>
    <s v="26-35"/>
    <n v="5"/>
    <s v="Low"/>
    <s v="Expired"/>
    <b v="0"/>
    <n v="114"/>
    <s v="Uttar Pradesh"/>
    <n v="10"/>
    <n v="2"/>
    <n v="721"/>
    <s v="Unpaid"/>
    <s v="Not an Outliers"/>
    <x v="0"/>
  </r>
  <r>
    <d v="2024-06-26T00:00:00"/>
    <s v="Udyog Vihar"/>
    <s v="Auto-rickshaw"/>
    <x v="3"/>
    <n v="3725"/>
    <b v="0"/>
    <x v="0"/>
    <s v="Evening"/>
    <s v="Slippery"/>
    <s v="26-35"/>
    <n v="1"/>
    <s v="Low"/>
    <s v="Valid"/>
    <b v="0"/>
    <n v="79"/>
    <s v="Delhi"/>
    <n v="9"/>
    <n v="2"/>
    <n v="870"/>
    <s v="Paid"/>
    <s v="Not an Outliers"/>
    <x v="0"/>
  </r>
  <r>
    <d v="2024-06-26T00:00:00"/>
    <s v="MG Road"/>
    <s v="Truck"/>
    <x v="1"/>
    <n v="1000"/>
    <b v="0"/>
    <x v="1"/>
    <s v="Night"/>
    <s v="Slippery"/>
    <s v="26-35"/>
    <n v="0"/>
    <s v="Medium"/>
    <s v="Learner"/>
    <b v="0"/>
    <n v="54"/>
    <s v="Haryana"/>
    <n v="6"/>
    <n v="1"/>
    <n v="3748"/>
    <s v="Disputed"/>
    <s v="Not an Outliers"/>
    <x v="0"/>
  </r>
  <r>
    <d v="2024-06-26T00:00:00"/>
    <s v="Sohna Road near Iris Tech Park"/>
    <s v="Bike"/>
    <x v="3"/>
    <n v="2874"/>
    <b v="0"/>
    <x v="0"/>
    <s v="Evening"/>
    <s v="Wet"/>
    <s v="36-50"/>
    <n v="0"/>
    <s v="High"/>
    <s v="Valid"/>
    <b v="0"/>
    <n v="7"/>
    <s v="Delhi"/>
    <n v="6"/>
    <n v="1"/>
    <n v="3394"/>
    <s v="Unpaid"/>
    <s v="Not an Outliers"/>
    <x v="0"/>
  </r>
  <r>
    <d v="2024-06-26T00:00:00"/>
    <s v="Signature Tower Chowk"/>
    <s v="Car"/>
    <x v="2"/>
    <n v="1593"/>
    <b v="1"/>
    <x v="4"/>
    <s v="Evening"/>
    <s v="Wet"/>
    <s v="26-35"/>
    <n v="3"/>
    <s v="Medium"/>
    <s v="Valid"/>
    <b v="0"/>
    <n v="71"/>
    <s v="Haryana"/>
    <n v="6"/>
    <n v="1"/>
    <n v="1376"/>
    <s v="Paid"/>
    <s v="Not an Outliers"/>
    <x v="0"/>
  </r>
  <r>
    <d v="2024-06-27T00:00:00"/>
    <s v="Sikanderpur"/>
    <s v="Car"/>
    <x v="1"/>
    <n v="1000"/>
    <b v="0"/>
    <x v="3"/>
    <s v="Afternoon"/>
    <s v="Slippery"/>
    <s v="50+"/>
    <n v="2"/>
    <s v="High"/>
    <s v="Suspended"/>
    <b v="0"/>
    <n v="119"/>
    <s v="Rajasthan"/>
    <n v="9"/>
    <n v="1"/>
    <n v="763"/>
    <s v="Paid"/>
    <s v="Not an Outliers"/>
    <x v="0"/>
  </r>
  <r>
    <d v="2024-06-27T00:00:00"/>
    <s v="Udyog Vihar"/>
    <s v="Bike"/>
    <x v="0"/>
    <n v="1000"/>
    <b v="0"/>
    <x v="0"/>
    <s v="Afternoon"/>
    <s v="Slippery"/>
    <s v="50+"/>
    <n v="0"/>
    <s v="Low"/>
    <s v="Learner"/>
    <b v="0"/>
    <n v="4"/>
    <s v="Uttar Pradesh"/>
    <n v="8"/>
    <n v="3"/>
    <n v="598"/>
    <s v="Paid"/>
    <s v="Not an Outliers"/>
    <x v="0"/>
  </r>
  <r>
    <d v="2024-06-27T00:00:00"/>
    <s v="Cyber City"/>
    <s v="Car"/>
    <x v="4"/>
    <n v="5282"/>
    <b v="0"/>
    <x v="0"/>
    <s v="Evening"/>
    <s v="Dry"/>
    <s v="18-25"/>
    <n v="1"/>
    <s v="Medium"/>
    <s v="Learner"/>
    <b v="1"/>
    <n v="24"/>
    <s v="Uttar Pradesh"/>
    <n v="3"/>
    <n v="3"/>
    <n v="4391"/>
    <s v="Disputed"/>
    <s v="Not an Outliers"/>
    <x v="0"/>
  </r>
  <r>
    <d v="2024-06-27T00:00:00"/>
    <s v="Cyber City"/>
    <s v="Bus"/>
    <x v="1"/>
    <n v="1000"/>
    <b v="0"/>
    <x v="0"/>
    <s v="Night"/>
    <s v="Dry"/>
    <s v="26-35"/>
    <n v="3"/>
    <s v="Medium"/>
    <s v="Valid"/>
    <b v="1"/>
    <n v="58"/>
    <s v="Delhi"/>
    <n v="1"/>
    <n v="2"/>
    <n v="3201"/>
    <s v="Unpaid"/>
    <s v="Not an Outliers"/>
    <x v="0"/>
  </r>
  <r>
    <d v="2024-06-28T00:00:00"/>
    <s v="Sector 56"/>
    <s v="Car"/>
    <x v="1"/>
    <n v="1000"/>
    <b v="0"/>
    <x v="3"/>
    <s v="Afternoon"/>
    <s v="Wet"/>
    <s v="36-50"/>
    <n v="2"/>
    <s v="Low"/>
    <s v="Learner"/>
    <b v="1"/>
    <n v="24"/>
    <s v="Haryana"/>
    <n v="4"/>
    <n v="3"/>
    <n v="4220"/>
    <s v="Disputed"/>
    <s v="Not an Outliers"/>
    <x v="0"/>
  </r>
  <r>
    <d v="2024-06-28T00:00:00"/>
    <s v="Sikanderpur"/>
    <s v="Bike"/>
    <x v="3"/>
    <n v="2386"/>
    <b v="1"/>
    <x v="0"/>
    <s v="Evening"/>
    <s v="Under Construction"/>
    <s v="26-35"/>
    <n v="2"/>
    <s v="High"/>
    <s v="Learner"/>
    <b v="0"/>
    <n v="52"/>
    <s v="Uttar Pradesh"/>
    <n v="9"/>
    <n v="1"/>
    <n v="1361"/>
    <s v="Unpaid"/>
    <s v="Not an Outliers"/>
    <x v="0"/>
  </r>
  <r>
    <d v="2024-06-28T00:00:00"/>
    <s v="Manesar Toll"/>
    <s v="Truck"/>
    <x v="2"/>
    <n v="2062"/>
    <b v="1"/>
    <x v="0"/>
    <s v="Morning"/>
    <s v="Wet"/>
    <s v="26-35"/>
    <n v="5"/>
    <s v="Low"/>
    <s v="Expired"/>
    <b v="0"/>
    <n v="113"/>
    <s v="Haryana"/>
    <n v="6"/>
    <n v="3"/>
    <n v="976"/>
    <s v="Disputed"/>
    <s v="Not an Outliers"/>
    <x v="0"/>
  </r>
  <r>
    <d v="2024-07-01T00:00:00"/>
    <s v="Sikanderpur"/>
    <s v="Bus"/>
    <x v="2"/>
    <n v="3787"/>
    <b v="1"/>
    <x v="1"/>
    <s v="Morning"/>
    <s v="Slippery"/>
    <s v="26-35"/>
    <n v="4"/>
    <s v="High"/>
    <s v="Expired"/>
    <b v="1"/>
    <n v="24"/>
    <s v="Haryana"/>
    <n v="3"/>
    <n v="2"/>
    <n v="3284"/>
    <s v="Unpaid"/>
    <s v="Not an Outliers"/>
    <x v="0"/>
  </r>
  <r>
    <d v="2024-07-01T00:00:00"/>
    <s v="Sector 29"/>
    <s v="Truck"/>
    <x v="1"/>
    <n v="1000"/>
    <b v="1"/>
    <x v="4"/>
    <s v="Night"/>
    <s v="Wet"/>
    <s v="36-50"/>
    <n v="2"/>
    <s v="Low"/>
    <s v="Learner"/>
    <b v="0"/>
    <n v="76"/>
    <s v="Punjab"/>
    <n v="1"/>
    <n v="1"/>
    <n v="3443"/>
    <s v="Unpaid"/>
    <s v="Not an Outliers"/>
    <x v="0"/>
  </r>
  <r>
    <d v="2024-07-01T00:00:00"/>
    <s v="Sohna Road near Iris Tech Park"/>
    <s v="Auto-rickshaw"/>
    <x v="4"/>
    <n v="7471"/>
    <b v="0"/>
    <x v="1"/>
    <s v="Evening"/>
    <s v="Slippery"/>
    <s v="18-25"/>
    <n v="4"/>
    <s v="Low"/>
    <s v="Expired"/>
    <b v="1"/>
    <n v="56"/>
    <s v="Haryana"/>
    <n v="9"/>
    <n v="1"/>
    <n v="3439"/>
    <s v="Paid"/>
    <s v="Not an Outliers"/>
    <x v="0"/>
  </r>
  <r>
    <d v="2024-07-02T00:00:00"/>
    <s v="Rajiv Chowk"/>
    <s v="Auto-rickshaw"/>
    <x v="1"/>
    <n v="1000"/>
    <b v="0"/>
    <x v="1"/>
    <s v="Afternoon"/>
    <s v="Dry"/>
    <s v="18-25"/>
    <n v="0"/>
    <s v="Medium"/>
    <s v="Expired"/>
    <b v="1"/>
    <n v="77"/>
    <s v="Delhi"/>
    <n v="5"/>
    <n v="2"/>
    <n v="2011"/>
    <s v="Unpaid"/>
    <s v="Not an Outliers"/>
    <x v="0"/>
  </r>
  <r>
    <d v="2024-07-02T00:00:00"/>
    <s v="Sikanderpur"/>
    <s v="Car"/>
    <x v="1"/>
    <n v="1000"/>
    <b v="0"/>
    <x v="3"/>
    <s v="Night"/>
    <s v="Wet"/>
    <s v="50+"/>
    <n v="2"/>
    <s v="Medium"/>
    <s v="Learner"/>
    <b v="1"/>
    <n v="24"/>
    <s v="Delhi"/>
    <n v="4"/>
    <n v="3"/>
    <n v="4062"/>
    <s v="Disputed"/>
    <s v="Not an Outliers"/>
    <x v="0"/>
  </r>
  <r>
    <d v="2024-07-02T00:00:00"/>
    <s v="NH-8"/>
    <s v="Bike"/>
    <x v="2"/>
    <n v="4403"/>
    <b v="1"/>
    <x v="1"/>
    <s v="Afternoon"/>
    <s v="Under Construction"/>
    <s v="36-50"/>
    <n v="3"/>
    <s v="Medium"/>
    <s v="Suspended"/>
    <b v="1"/>
    <n v="52"/>
    <s v="Rajasthan"/>
    <n v="9"/>
    <n v="3"/>
    <n v="1006"/>
    <s v="Paid"/>
    <s v="Not an Outliers"/>
    <x v="0"/>
  </r>
  <r>
    <d v="2024-07-03T00:00:00"/>
    <s v="Sheetala Mata Road"/>
    <s v="Auto-rickshaw"/>
    <x v="1"/>
    <n v="1000"/>
    <b v="0"/>
    <x v="1"/>
    <s v="Evening"/>
    <s v="Dry"/>
    <s v="50+"/>
    <n v="0"/>
    <s v="Medium"/>
    <s v="Learner"/>
    <b v="1"/>
    <n v="16"/>
    <s v="Rajasthan"/>
    <n v="2"/>
    <n v="2"/>
    <n v="1347"/>
    <s v="Disputed"/>
    <s v="Not an Outliers"/>
    <x v="0"/>
  </r>
  <r>
    <d v="2024-07-03T00:00:00"/>
    <s v="Huda City Center"/>
    <s v="Bike"/>
    <x v="4"/>
    <n v="5856"/>
    <b v="0"/>
    <x v="3"/>
    <s v="Morning"/>
    <s v="Slippery"/>
    <s v="26-35"/>
    <n v="2"/>
    <s v="Medium"/>
    <s v="Suspended"/>
    <b v="0"/>
    <n v="17"/>
    <s v="Haryana"/>
    <n v="4"/>
    <n v="2"/>
    <n v="1748"/>
    <s v="Unpaid"/>
    <s v="Not an Outliers"/>
    <x v="0"/>
  </r>
  <r>
    <d v="2024-07-04T00:00:00"/>
    <s v="IFFCO Chowk"/>
    <s v="Bus"/>
    <x v="4"/>
    <n v="9452"/>
    <b v="0"/>
    <x v="3"/>
    <s v="Morning"/>
    <s v="Wet"/>
    <s v="26-35"/>
    <n v="5"/>
    <s v="Low"/>
    <s v="Suspended"/>
    <b v="0"/>
    <n v="41"/>
    <s v="Haryana"/>
    <n v="6"/>
    <n v="2"/>
    <n v="4316"/>
    <s v="Disputed"/>
    <s v="Not an Outliers"/>
    <x v="0"/>
  </r>
  <r>
    <d v="2024-07-04T00:00:00"/>
    <s v="Sikanderpur"/>
    <s v="Truck"/>
    <x v="2"/>
    <n v="1885"/>
    <b v="0"/>
    <x v="3"/>
    <s v="Afternoon"/>
    <s v="Under Construction"/>
    <s v="50+"/>
    <n v="1"/>
    <s v="Low"/>
    <s v="Valid"/>
    <b v="0"/>
    <n v="57"/>
    <s v="Uttar Pradesh"/>
    <n v="2"/>
    <n v="3"/>
    <n v="2752"/>
    <s v="Disputed"/>
    <s v="Not an Outliers"/>
    <x v="0"/>
  </r>
  <r>
    <d v="2024-07-04T00:00:00"/>
    <s v="Udyog Vihar"/>
    <s v="Car"/>
    <x v="5"/>
    <n v="3584"/>
    <b v="0"/>
    <x v="4"/>
    <s v="Morning"/>
    <s v="Slippery"/>
    <s v="36-50"/>
    <n v="4"/>
    <s v="Medium"/>
    <s v="Learner"/>
    <b v="0"/>
    <n v="104"/>
    <s v="Haryana"/>
    <n v="10"/>
    <n v="1"/>
    <n v="838"/>
    <s v="Disputed"/>
    <s v="Not an Outliers"/>
    <x v="0"/>
  </r>
  <r>
    <d v="2024-07-05T00:00:00"/>
    <s v="Sohna Road near Iris Tech Park"/>
    <s v="Bus"/>
    <x v="1"/>
    <n v="1000"/>
    <b v="0"/>
    <x v="4"/>
    <s v="Morning"/>
    <s v="Dry"/>
    <s v="26-35"/>
    <n v="2"/>
    <s v="Low"/>
    <s v="Suspended"/>
    <b v="1"/>
    <n v="70"/>
    <s v="Rajasthan"/>
    <n v="10"/>
    <n v="1"/>
    <n v="3087"/>
    <s v="Paid"/>
    <s v="Not an Outliers"/>
    <x v="0"/>
  </r>
  <r>
    <d v="2024-07-06T00:00:00"/>
    <s v="Sohna Road near Iris Tech Park"/>
    <s v="Bus"/>
    <x v="3"/>
    <n v="3725"/>
    <b v="1"/>
    <x v="4"/>
    <s v="Morning"/>
    <s v="Dry"/>
    <s v="36-50"/>
    <n v="1"/>
    <s v="High"/>
    <s v="Valid"/>
    <b v="0"/>
    <n v="31"/>
    <s v="Delhi"/>
    <n v="7"/>
    <n v="1"/>
    <n v="1819"/>
    <s v="Unpaid"/>
    <s v="Not an Outliers"/>
    <x v="1"/>
  </r>
  <r>
    <d v="2024-07-06T00:00:00"/>
    <s v="Sikanderpur"/>
    <s v="Auto-rickshaw"/>
    <x v="2"/>
    <n v="4076"/>
    <b v="0"/>
    <x v="2"/>
    <s v="Night"/>
    <s v="Dry"/>
    <s v="36-50"/>
    <n v="1"/>
    <s v="Low"/>
    <s v="Suspended"/>
    <b v="0"/>
    <n v="5"/>
    <s v="Delhi"/>
    <n v="8"/>
    <n v="2"/>
    <n v="4100"/>
    <s v="Disputed"/>
    <s v="Not an Outliers"/>
    <x v="1"/>
  </r>
  <r>
    <d v="2024-07-06T00:00:00"/>
    <s v="Sector 56"/>
    <s v="Truck"/>
    <x v="5"/>
    <n v="4915"/>
    <b v="0"/>
    <x v="2"/>
    <s v="Afternoon"/>
    <s v="Slippery"/>
    <s v="36-50"/>
    <n v="3"/>
    <s v="Low"/>
    <s v="Suspended"/>
    <b v="0"/>
    <n v="7"/>
    <s v="Uttar Pradesh"/>
    <n v="1"/>
    <n v="2"/>
    <n v="3719"/>
    <s v="Disputed"/>
    <s v="Not an Outliers"/>
    <x v="1"/>
  </r>
  <r>
    <d v="2024-07-07T00:00:00"/>
    <s v="MG Road"/>
    <s v="Truck"/>
    <x v="5"/>
    <n v="2274"/>
    <b v="1"/>
    <x v="1"/>
    <s v="Evening"/>
    <s v="Wet"/>
    <s v="50+"/>
    <n v="3"/>
    <s v="High"/>
    <s v="Expired"/>
    <b v="1"/>
    <n v="36"/>
    <s v="Rajasthan"/>
    <n v="10"/>
    <n v="3"/>
    <n v="4605"/>
    <s v="Paid"/>
    <s v="Not an Outliers"/>
    <x v="1"/>
  </r>
  <r>
    <d v="2024-07-07T00:00:00"/>
    <s v="Sector 56"/>
    <s v="Auto-rickshaw"/>
    <x v="4"/>
    <n v="6606"/>
    <b v="0"/>
    <x v="2"/>
    <s v="Night"/>
    <s v="Under Construction"/>
    <s v="36-50"/>
    <n v="0"/>
    <s v="Low"/>
    <s v="Expired"/>
    <b v="0"/>
    <n v="13"/>
    <s v="Rajasthan"/>
    <n v="10"/>
    <n v="1"/>
    <n v="764"/>
    <s v="Disputed"/>
    <s v="Not an Outliers"/>
    <x v="1"/>
  </r>
  <r>
    <d v="2024-07-07T00:00:00"/>
    <s v="IFFCO Chowk"/>
    <s v="Car"/>
    <x v="2"/>
    <n v="4085"/>
    <b v="1"/>
    <x v="4"/>
    <s v="Morning"/>
    <s v="Dry"/>
    <s v="36-50"/>
    <n v="5"/>
    <s v="Low"/>
    <s v="Learner"/>
    <b v="1"/>
    <n v="101"/>
    <s v="Rajasthan"/>
    <n v="2"/>
    <n v="1"/>
    <n v="830"/>
    <s v="Paid"/>
    <s v="Not an Outliers"/>
    <x v="1"/>
  </r>
  <r>
    <d v="2024-07-08T00:00:00"/>
    <s v="Golf Course Road"/>
    <s v="Auto-rickshaw"/>
    <x v="5"/>
    <n v="5378"/>
    <b v="0"/>
    <x v="3"/>
    <s v="Afternoon"/>
    <s v="Slippery"/>
    <s v="36-50"/>
    <n v="3"/>
    <s v="Medium"/>
    <s v="Expired"/>
    <b v="1"/>
    <n v="24"/>
    <s v="Punjab"/>
    <n v="4"/>
    <n v="1"/>
    <n v="3865"/>
    <s v="Paid"/>
    <s v="Not an Outliers"/>
    <x v="0"/>
  </r>
  <r>
    <d v="2024-07-08T00:00:00"/>
    <s v="Sector 56"/>
    <s v="Bus"/>
    <x v="1"/>
    <n v="1000"/>
    <b v="0"/>
    <x v="2"/>
    <s v="Afternoon"/>
    <s v="Under Construction"/>
    <s v="36-50"/>
    <n v="4"/>
    <s v="High"/>
    <s v="Learner"/>
    <b v="1"/>
    <n v="42"/>
    <s v="Rajasthan"/>
    <n v="6"/>
    <n v="3"/>
    <n v="564"/>
    <s v="Paid"/>
    <s v="Not an Outliers"/>
    <x v="0"/>
  </r>
  <r>
    <d v="2024-07-09T00:00:00"/>
    <s v="Sikanderpur"/>
    <s v="Truck"/>
    <x v="5"/>
    <n v="2722"/>
    <b v="0"/>
    <x v="3"/>
    <s v="Evening"/>
    <s v="Slippery"/>
    <s v="36-50"/>
    <n v="2"/>
    <s v="High"/>
    <s v="Suspended"/>
    <b v="0"/>
    <n v="18"/>
    <s v="Rajasthan"/>
    <n v="5"/>
    <n v="1"/>
    <n v="2004"/>
    <s v="Unpaid"/>
    <s v="Not an Outliers"/>
    <x v="0"/>
  </r>
  <r>
    <d v="2024-07-09T00:00:00"/>
    <s v="Udyog Vihar"/>
    <s v="Car"/>
    <x v="1"/>
    <n v="1000"/>
    <b v="0"/>
    <x v="4"/>
    <s v="Night"/>
    <s v="Dry"/>
    <s v="36-50"/>
    <n v="0"/>
    <s v="High"/>
    <s v="Suspended"/>
    <b v="0"/>
    <n v="105"/>
    <s v="Uttar Pradesh"/>
    <n v="4"/>
    <n v="2"/>
    <n v="1557"/>
    <s v="Unpaid"/>
    <s v="Not an Outliers"/>
    <x v="0"/>
  </r>
  <r>
    <d v="2024-07-09T00:00:00"/>
    <s v="Cyber City"/>
    <s v="Car"/>
    <x v="4"/>
    <n v="9345"/>
    <b v="1"/>
    <x v="0"/>
    <s v="Morning"/>
    <s v="Slippery"/>
    <s v="36-50"/>
    <n v="4"/>
    <s v="High"/>
    <s v="Learner"/>
    <b v="0"/>
    <n v="18"/>
    <s v="Uttar Pradesh"/>
    <n v="3"/>
    <n v="3"/>
    <n v="3125"/>
    <s v="Disputed"/>
    <s v="Not an Outliers"/>
    <x v="0"/>
  </r>
  <r>
    <d v="2024-07-10T00:00:00"/>
    <s v="Udyog Vihar"/>
    <s v="Truck"/>
    <x v="4"/>
    <n v="5562"/>
    <b v="0"/>
    <x v="4"/>
    <s v="Evening"/>
    <s v="Under Construction"/>
    <s v="26-35"/>
    <n v="4"/>
    <s v="Medium"/>
    <s v="Suspended"/>
    <b v="0"/>
    <n v="77"/>
    <s v="Haryana"/>
    <n v="2"/>
    <n v="1"/>
    <n v="2046"/>
    <s v="Paid"/>
    <s v="Not an Outliers"/>
    <x v="0"/>
  </r>
  <r>
    <d v="2024-07-10T00:00:00"/>
    <s v="Sohna Road near Iris Tech Park"/>
    <s v="Auto-rickshaw"/>
    <x v="4"/>
    <n v="9264"/>
    <b v="1"/>
    <x v="2"/>
    <s v="Morning"/>
    <s v="Slippery"/>
    <s v="26-35"/>
    <n v="5"/>
    <s v="High"/>
    <s v="Learner"/>
    <b v="0"/>
    <n v="111"/>
    <s v="Delhi"/>
    <n v="3"/>
    <n v="1"/>
    <n v="1740"/>
    <s v="Disputed"/>
    <s v="Not an Outliers"/>
    <x v="0"/>
  </r>
  <r>
    <d v="2024-07-10T00:00:00"/>
    <s v="Rajiv Chowk"/>
    <s v="Car"/>
    <x v="4"/>
    <n v="9857"/>
    <b v="0"/>
    <x v="1"/>
    <s v="Evening"/>
    <s v="Wet"/>
    <s v="18-25"/>
    <n v="5"/>
    <s v="Medium"/>
    <s v="Suspended"/>
    <b v="1"/>
    <n v="83"/>
    <s v="Delhi"/>
    <n v="10"/>
    <n v="2"/>
    <n v="977"/>
    <s v="Disputed"/>
    <s v="Not an Outliers"/>
    <x v="0"/>
  </r>
  <r>
    <d v="2024-07-11T00:00:00"/>
    <s v="Sikanderpur"/>
    <s v="Bike"/>
    <x v="0"/>
    <n v="1000"/>
    <b v="1"/>
    <x v="3"/>
    <s v="Afternoon"/>
    <s v="Under Construction"/>
    <s v="18-25"/>
    <n v="1"/>
    <s v="High"/>
    <s v="Valid"/>
    <b v="0"/>
    <n v="31"/>
    <s v="Haryana"/>
    <n v="2"/>
    <n v="2"/>
    <n v="2737"/>
    <s v="Paid"/>
    <s v="Not an Outliers"/>
    <x v="0"/>
  </r>
  <r>
    <d v="2024-07-11T00:00:00"/>
    <s v="MG Road"/>
    <s v="Car"/>
    <x v="1"/>
    <n v="1000"/>
    <b v="1"/>
    <x v="1"/>
    <s v="Night"/>
    <s v="Dry"/>
    <s v="26-35"/>
    <n v="5"/>
    <s v="Low"/>
    <s v="Learner"/>
    <b v="1"/>
    <n v="71"/>
    <s v="Uttar Pradesh"/>
    <n v="2"/>
    <n v="1"/>
    <n v="637"/>
    <s v="Unpaid"/>
    <s v="Not an Outliers"/>
    <x v="0"/>
  </r>
  <r>
    <d v="2024-07-11T00:00:00"/>
    <s v="Sector 56"/>
    <s v="Car"/>
    <x v="1"/>
    <n v="1000"/>
    <b v="0"/>
    <x v="0"/>
    <s v="Afternoon"/>
    <s v="Slippery"/>
    <s v="36-50"/>
    <n v="1"/>
    <s v="Medium"/>
    <s v="Learner"/>
    <b v="1"/>
    <n v="116"/>
    <s v="Haryana"/>
    <n v="6"/>
    <n v="3"/>
    <n v="3416"/>
    <s v="Unpaid"/>
    <s v="Not an Outliers"/>
    <x v="0"/>
  </r>
  <r>
    <d v="2024-07-11T00:00:00"/>
    <s v="Signature Tower Chowk"/>
    <s v="Car"/>
    <x v="2"/>
    <n v="1471"/>
    <b v="0"/>
    <x v="4"/>
    <s v="Afternoon"/>
    <s v="Slippery"/>
    <s v="36-50"/>
    <n v="3"/>
    <s v="High"/>
    <s v="Suspended"/>
    <b v="0"/>
    <n v="5"/>
    <s v="Haryana"/>
    <n v="3"/>
    <n v="1"/>
    <n v="876"/>
    <s v="Unpaid"/>
    <s v="Not an Outliers"/>
    <x v="0"/>
  </r>
  <r>
    <d v="2024-07-12T00:00:00"/>
    <s v="Sheetala Mata Road"/>
    <s v="Car"/>
    <x v="2"/>
    <n v="3483"/>
    <b v="1"/>
    <x v="4"/>
    <s v="Morning"/>
    <s v="Dry"/>
    <s v="50+"/>
    <n v="4"/>
    <s v="Medium"/>
    <s v="Valid"/>
    <b v="0"/>
    <n v="7"/>
    <s v="Haryana"/>
    <n v="1"/>
    <n v="2"/>
    <n v="716"/>
    <s v="Paid"/>
    <s v="Not an Outliers"/>
    <x v="0"/>
  </r>
  <r>
    <d v="2024-07-13T00:00:00"/>
    <s v="MG Road"/>
    <s v="Truck"/>
    <x v="3"/>
    <n v="3910"/>
    <b v="1"/>
    <x v="2"/>
    <s v="Evening"/>
    <s v="Dry"/>
    <s v="18-25"/>
    <n v="2"/>
    <s v="High"/>
    <s v="Valid"/>
    <b v="1"/>
    <n v="27"/>
    <s v="Rajasthan"/>
    <n v="2"/>
    <n v="2"/>
    <n v="4390"/>
    <s v="Unpaid"/>
    <s v="Not an Outliers"/>
    <x v="1"/>
  </r>
  <r>
    <d v="2024-07-13T00:00:00"/>
    <s v="Sector 56"/>
    <s v="Auto-rickshaw"/>
    <x v="1"/>
    <n v="1000"/>
    <b v="0"/>
    <x v="2"/>
    <s v="Evening"/>
    <s v="Dry"/>
    <s v="18-25"/>
    <n v="5"/>
    <s v="High"/>
    <s v="Suspended"/>
    <b v="1"/>
    <n v="71"/>
    <s v="Punjab"/>
    <n v="1"/>
    <n v="3"/>
    <n v="4511"/>
    <s v="Unpaid"/>
    <s v="Not an Outliers"/>
    <x v="1"/>
  </r>
  <r>
    <d v="2024-07-13T00:00:00"/>
    <s v="Cyber City"/>
    <s v="Bus"/>
    <x v="5"/>
    <n v="4627"/>
    <b v="0"/>
    <x v="0"/>
    <s v="Night"/>
    <s v="Under Construction"/>
    <s v="18-25"/>
    <n v="5"/>
    <s v="Low"/>
    <s v="Expired"/>
    <b v="1"/>
    <n v="29"/>
    <s v="Haryana"/>
    <n v="5"/>
    <n v="2"/>
    <n v="3367"/>
    <s v="Paid"/>
    <s v="Not an Outliers"/>
    <x v="1"/>
  </r>
  <r>
    <d v="2024-07-14T00:00:00"/>
    <s v="Udyog Vihar"/>
    <s v="Truck"/>
    <x v="4"/>
    <n v="9744"/>
    <b v="0"/>
    <x v="1"/>
    <s v="Morning"/>
    <s v="Under Construction"/>
    <s v="18-25"/>
    <n v="5"/>
    <s v="Medium"/>
    <s v="Suspended"/>
    <b v="0"/>
    <n v="115"/>
    <s v="Rajasthan"/>
    <n v="9"/>
    <n v="1"/>
    <n v="2739"/>
    <s v="Unpaid"/>
    <s v="Not an Outliers"/>
    <x v="1"/>
  </r>
  <r>
    <d v="2024-07-15T00:00:00"/>
    <s v="Udyog Vihar"/>
    <s v="Bike"/>
    <x v="4"/>
    <n v="9051"/>
    <b v="0"/>
    <x v="2"/>
    <s v="Afternoon"/>
    <s v="Slippery"/>
    <s v="18-25"/>
    <n v="2"/>
    <s v="High"/>
    <s v="Learner"/>
    <b v="0"/>
    <n v="55"/>
    <s v="Punjab"/>
    <n v="9"/>
    <n v="2"/>
    <n v="4410"/>
    <s v="Disputed"/>
    <s v="Not an Outliers"/>
    <x v="0"/>
  </r>
  <r>
    <d v="2024-07-15T00:00:00"/>
    <s v="Sector 29"/>
    <s v="Auto-rickshaw"/>
    <x v="2"/>
    <n v="1247"/>
    <b v="0"/>
    <x v="2"/>
    <s v="Afternoon"/>
    <s v="Slippery"/>
    <s v="50+"/>
    <n v="3"/>
    <s v="Low"/>
    <s v="Learner"/>
    <b v="1"/>
    <n v="6"/>
    <s v="Rajasthan"/>
    <n v="4"/>
    <n v="2"/>
    <n v="2385"/>
    <s v="Paid"/>
    <s v="Not an Outliers"/>
    <x v="0"/>
  </r>
  <r>
    <d v="2024-07-15T00:00:00"/>
    <s v="Sohna Road near Iris Tech Park"/>
    <s v="Car"/>
    <x v="1"/>
    <n v="1000"/>
    <b v="1"/>
    <x v="0"/>
    <s v="Morning"/>
    <s v="Slippery"/>
    <s v="50+"/>
    <n v="0"/>
    <s v="Medium"/>
    <s v="Valid"/>
    <b v="0"/>
    <n v="79"/>
    <s v="Rajasthan"/>
    <n v="3"/>
    <n v="3"/>
    <n v="1436"/>
    <s v="Paid"/>
    <s v="Not an Outliers"/>
    <x v="0"/>
  </r>
  <r>
    <d v="2024-07-16T00:00:00"/>
    <s v="Sheetala Mata Road"/>
    <s v="Truck"/>
    <x v="3"/>
    <n v="2307"/>
    <b v="1"/>
    <x v="3"/>
    <s v="Morning"/>
    <s v="Under Construction"/>
    <s v="50+"/>
    <n v="1"/>
    <s v="Medium"/>
    <s v="Suspended"/>
    <b v="1"/>
    <n v="75"/>
    <s v="Rajasthan"/>
    <n v="5"/>
    <n v="1"/>
    <n v="2446"/>
    <s v="Unpaid"/>
    <s v="Not an Outliers"/>
    <x v="0"/>
  </r>
  <r>
    <d v="2024-07-16T00:00:00"/>
    <s v="Huda City Center"/>
    <s v="Bus"/>
    <x v="3"/>
    <n v="1583"/>
    <b v="1"/>
    <x v="3"/>
    <s v="Night"/>
    <s v="Wet"/>
    <s v="50+"/>
    <n v="22"/>
    <s v="High"/>
    <s v="Suspended"/>
    <b v="0"/>
    <n v="39"/>
    <s v="Rajasthan"/>
    <n v="7"/>
    <n v="3"/>
    <n v="908"/>
    <s v="Paid"/>
    <s v="Not an Outliers"/>
    <x v="0"/>
  </r>
  <r>
    <d v="2024-07-17T00:00:00"/>
    <s v="Cyber City"/>
    <s v="Truck"/>
    <x v="4"/>
    <n v="6948"/>
    <b v="0"/>
    <x v="0"/>
    <s v="Morning"/>
    <s v="Wet"/>
    <s v="26-35"/>
    <n v="1"/>
    <s v="Low"/>
    <s v="Learner"/>
    <b v="1"/>
    <n v="22"/>
    <s v="Haryana"/>
    <n v="2"/>
    <n v="1"/>
    <n v="4062"/>
    <s v="Paid"/>
    <s v="Not an Outliers"/>
    <x v="0"/>
  </r>
  <r>
    <d v="2024-07-17T00:00:00"/>
    <s v="Golf Course Road"/>
    <s v="Bike"/>
    <x v="0"/>
    <n v="1000"/>
    <b v="0"/>
    <x v="3"/>
    <s v="Evening"/>
    <s v="Slippery"/>
    <s v="36-50"/>
    <n v="2"/>
    <s v="High"/>
    <s v="Learner"/>
    <b v="1"/>
    <n v="69"/>
    <s v="Punjab"/>
    <n v="7"/>
    <n v="2"/>
    <n v="1158"/>
    <s v="Paid"/>
    <s v="Not an Outliers"/>
    <x v="0"/>
  </r>
  <r>
    <d v="2024-07-17T00:00:00"/>
    <s v="Sikanderpur"/>
    <s v="Truck"/>
    <x v="3"/>
    <n v="1591"/>
    <b v="0"/>
    <x v="4"/>
    <s v="Afternoon"/>
    <s v="Under Construction"/>
    <s v="18-25"/>
    <n v="0"/>
    <s v="Low"/>
    <s v="Valid"/>
    <b v="1"/>
    <n v="9"/>
    <s v="Haryana"/>
    <n v="10"/>
    <n v="3"/>
    <n v="3282"/>
    <s v="Disputed"/>
    <s v="Not an Outliers"/>
    <x v="0"/>
  </r>
  <r>
    <d v="2024-07-18T00:00:00"/>
    <s v="Sheetala Mata Road"/>
    <s v="Car"/>
    <x v="4"/>
    <n v="9886"/>
    <b v="0"/>
    <x v="0"/>
    <s v="Morning"/>
    <s v="Slippery"/>
    <s v="26-35"/>
    <n v="2"/>
    <s v="High"/>
    <s v="Suspended"/>
    <b v="0"/>
    <n v="119"/>
    <s v="Rajasthan"/>
    <n v="1"/>
    <n v="2"/>
    <n v="3914"/>
    <s v="Unpaid"/>
    <s v="Not an Outliers"/>
    <x v="0"/>
  </r>
  <r>
    <d v="2024-07-19T00:00:00"/>
    <s v="Huda City Center"/>
    <s v="Truck"/>
    <x v="4"/>
    <n v="5701"/>
    <b v="0"/>
    <x v="4"/>
    <s v="Morning"/>
    <s v="Under Construction"/>
    <s v="50+"/>
    <n v="1"/>
    <s v="Low"/>
    <s v="Expired"/>
    <b v="1"/>
    <n v="83"/>
    <s v="Punjab"/>
    <n v="10"/>
    <n v="1"/>
    <n v="4799"/>
    <s v="Paid"/>
    <s v="Not an Outliers"/>
    <x v="0"/>
  </r>
  <r>
    <d v="2024-07-19T00:00:00"/>
    <s v="Sohna Road near Iris Tech Park"/>
    <s v="Bus"/>
    <x v="5"/>
    <n v="7565"/>
    <b v="0"/>
    <x v="4"/>
    <s v="Evening"/>
    <s v="Slippery"/>
    <s v="36-50"/>
    <n v="2"/>
    <s v="Low"/>
    <s v="Expired"/>
    <b v="0"/>
    <n v="78"/>
    <s v="Punjab"/>
    <n v="9"/>
    <n v="1"/>
    <n v="1916"/>
    <s v="Unpaid"/>
    <s v="Not an Outliers"/>
    <x v="0"/>
  </r>
  <r>
    <d v="2024-07-19T00:00:00"/>
    <s v="Golf Course Road"/>
    <s v="Bus"/>
    <x v="1"/>
    <n v="5000"/>
    <b v="0"/>
    <x v="0"/>
    <s v="Night"/>
    <s v="Under Construction"/>
    <s v="18-25"/>
    <n v="3"/>
    <s v="Low"/>
    <s v="Suspended"/>
    <b v="0"/>
    <n v="55"/>
    <s v="Haryana"/>
    <n v="1"/>
    <n v="3"/>
    <n v="1040"/>
    <s v="Disputed"/>
    <s v="Not an Outliers"/>
    <x v="0"/>
  </r>
  <r>
    <d v="2024-07-19T00:00:00"/>
    <s v="Manesar Toll"/>
    <s v="Bus"/>
    <x v="3"/>
    <n v="3767"/>
    <b v="0"/>
    <x v="0"/>
    <s v="Afternoon"/>
    <s v="Slippery"/>
    <s v="26-35"/>
    <n v="5"/>
    <s v="Low"/>
    <s v="Expired"/>
    <b v="0"/>
    <n v="4"/>
    <s v="Rajasthan"/>
    <n v="6"/>
    <n v="3"/>
    <n v="2189"/>
    <s v="Paid"/>
    <s v="Not an Outliers"/>
    <x v="0"/>
  </r>
  <r>
    <d v="2024-07-20T00:00:00"/>
    <s v="Sector 29"/>
    <s v="Bike"/>
    <x v="5"/>
    <n v="2068"/>
    <b v="0"/>
    <x v="1"/>
    <s v="Evening"/>
    <s v="Dry"/>
    <s v="50+"/>
    <n v="2"/>
    <s v="High"/>
    <s v="Valid"/>
    <b v="1"/>
    <n v="30"/>
    <s v="Uttar Pradesh"/>
    <n v="6"/>
    <n v="2"/>
    <n v="2121"/>
    <s v="Unpaid"/>
    <s v="Not an Outliers"/>
    <x v="1"/>
  </r>
  <r>
    <d v="2024-07-20T00:00:00"/>
    <s v="Manesar Toll"/>
    <s v="Auto-rickshaw"/>
    <x v="1"/>
    <n v="1000"/>
    <b v="0"/>
    <x v="2"/>
    <s v="Night"/>
    <s v="Dry"/>
    <s v="26-35"/>
    <n v="0"/>
    <s v="Medium"/>
    <s v="Learner"/>
    <b v="1"/>
    <n v="36"/>
    <s v="Rajasthan"/>
    <n v="1"/>
    <n v="3"/>
    <n v="681"/>
    <s v="Unpaid"/>
    <s v="Not an Outliers"/>
    <x v="1"/>
  </r>
  <r>
    <d v="2024-07-20T00:00:00"/>
    <s v="MG Road"/>
    <s v="Auto-rickshaw"/>
    <x v="1"/>
    <n v="1000"/>
    <b v="0"/>
    <x v="1"/>
    <s v="Evening"/>
    <s v="Wet"/>
    <s v="26-35"/>
    <n v="2"/>
    <s v="Low"/>
    <s v="Expired"/>
    <b v="0"/>
    <n v="32"/>
    <s v="Haryana"/>
    <n v="3"/>
    <n v="2"/>
    <n v="4741"/>
    <s v="Unpaid"/>
    <s v="Not an Outliers"/>
    <x v="1"/>
  </r>
  <r>
    <d v="2024-07-20T00:00:00"/>
    <s v="Golf Course Road"/>
    <s v="Car"/>
    <x v="5"/>
    <n v="5495"/>
    <b v="0"/>
    <x v="1"/>
    <s v="Night"/>
    <s v="Wet"/>
    <s v="50+"/>
    <n v="3"/>
    <s v="Low"/>
    <s v="Expired"/>
    <b v="1"/>
    <n v="119"/>
    <s v="Punjab"/>
    <n v="2"/>
    <n v="3"/>
    <n v="4488"/>
    <s v="Disputed"/>
    <s v="Not an Outliers"/>
    <x v="1"/>
  </r>
  <r>
    <d v="2024-07-21T00:00:00"/>
    <s v="Huda City Center"/>
    <s v="Bus"/>
    <x v="3"/>
    <n v="3892"/>
    <b v="1"/>
    <x v="1"/>
    <s v="Morning"/>
    <s v="Wet"/>
    <s v="36-50"/>
    <n v="4"/>
    <s v="Low"/>
    <s v="Expired"/>
    <b v="0"/>
    <n v="22"/>
    <s v="Punjab"/>
    <n v="10"/>
    <n v="2"/>
    <n v="2373"/>
    <s v="Disputed"/>
    <s v="Not an Outliers"/>
    <x v="1"/>
  </r>
  <r>
    <d v="2024-07-21T00:00:00"/>
    <s v="Golf Course Road"/>
    <s v="Bike"/>
    <x v="5"/>
    <n v="2089"/>
    <b v="1"/>
    <x v="4"/>
    <s v="Afternoon"/>
    <s v="Dry"/>
    <s v="18-25"/>
    <n v="2"/>
    <s v="Low"/>
    <s v="Expired"/>
    <b v="1"/>
    <n v="104"/>
    <s v="Uttar Pradesh"/>
    <n v="3"/>
    <n v="1"/>
    <n v="3595"/>
    <s v="Paid"/>
    <s v="Not an Outliers"/>
    <x v="1"/>
  </r>
  <r>
    <d v="2024-07-22T00:00:00"/>
    <s v="MG Road"/>
    <s v="Auto-rickshaw"/>
    <x v="1"/>
    <n v="1000"/>
    <b v="0"/>
    <x v="4"/>
    <s v="Morning"/>
    <s v="Under Construction"/>
    <s v="26-35"/>
    <n v="1"/>
    <s v="Low"/>
    <s v="Valid"/>
    <b v="0"/>
    <n v="32"/>
    <s v="Punjab"/>
    <n v="1"/>
    <n v="3"/>
    <n v="2661"/>
    <s v="Disputed"/>
    <s v="Not an Outliers"/>
    <x v="0"/>
  </r>
  <r>
    <d v="2024-07-22T00:00:00"/>
    <s v="Sohna Road near Iris Tech Park"/>
    <s v="Bus"/>
    <x v="4"/>
    <n v="9205"/>
    <b v="0"/>
    <x v="2"/>
    <s v="Evening"/>
    <s v="Wet"/>
    <s v="36-50"/>
    <n v="5"/>
    <s v="Medium"/>
    <s v="Suspended"/>
    <b v="0"/>
    <n v="36"/>
    <s v="Uttar Pradesh"/>
    <n v="1"/>
    <n v="2"/>
    <n v="3510"/>
    <s v="Unpaid"/>
    <s v="Not an Outliers"/>
    <x v="0"/>
  </r>
  <r>
    <d v="2024-07-23T00:00:00"/>
    <s v="Sikanderpur"/>
    <s v="Car"/>
    <x v="1"/>
    <n v="1000"/>
    <b v="0"/>
    <x v="3"/>
    <s v="Night"/>
    <s v="Wet"/>
    <s v="36-50"/>
    <n v="4"/>
    <s v="High"/>
    <s v="Expired"/>
    <b v="0"/>
    <n v="25"/>
    <s v="Haryana"/>
    <n v="9"/>
    <n v="3"/>
    <n v="616"/>
    <s v="Paid"/>
    <s v="Not an Outliers"/>
    <x v="0"/>
  </r>
  <r>
    <d v="2024-07-23T00:00:00"/>
    <s v="Huda City Center"/>
    <s v="Bus"/>
    <x v="5"/>
    <n v="5304"/>
    <b v="1"/>
    <x v="3"/>
    <s v="Evening"/>
    <s v="Wet"/>
    <s v="50+"/>
    <n v="4"/>
    <s v="Medium"/>
    <s v="Suspended"/>
    <b v="0"/>
    <n v="62"/>
    <s v="Rajasthan"/>
    <n v="7"/>
    <n v="3"/>
    <n v="2916"/>
    <s v="Unpaid"/>
    <s v="Not an Outliers"/>
    <x v="0"/>
  </r>
  <r>
    <d v="2024-07-24T00:00:00"/>
    <s v="IFFCO Chowk"/>
    <s v="Bus"/>
    <x v="5"/>
    <n v="3921"/>
    <b v="1"/>
    <x v="0"/>
    <s v="Night"/>
    <s v="Slippery"/>
    <s v="50+"/>
    <n v="5"/>
    <s v="Medium"/>
    <s v="Learner"/>
    <b v="0"/>
    <n v="114"/>
    <s v="Uttar Pradesh"/>
    <n v="9"/>
    <n v="3"/>
    <n v="1533"/>
    <s v="Paid"/>
    <s v="Not an Outliers"/>
    <x v="0"/>
  </r>
  <r>
    <d v="2024-07-25T00:00:00"/>
    <s v="Rajiv Chowk"/>
    <s v="Bus"/>
    <x v="1"/>
    <n v="1000"/>
    <b v="0"/>
    <x v="0"/>
    <s v="Evening"/>
    <s v="Dry"/>
    <s v="18-25"/>
    <n v="0"/>
    <s v="Medium"/>
    <s v="Suspended"/>
    <b v="1"/>
    <n v="91"/>
    <s v="Punjab"/>
    <n v="6"/>
    <n v="3"/>
    <n v="1397"/>
    <s v="Unpaid"/>
    <s v="Not an Outliers"/>
    <x v="0"/>
  </r>
  <r>
    <d v="2024-07-25T00:00:00"/>
    <s v="Sohna Road near Iris Tech Park"/>
    <s v="Bike"/>
    <x v="4"/>
    <n v="6863"/>
    <b v="1"/>
    <x v="1"/>
    <s v="Night"/>
    <s v="Dry"/>
    <s v="26-35"/>
    <n v="2"/>
    <s v="Medium"/>
    <s v="Expired"/>
    <b v="0"/>
    <n v="109"/>
    <s v="Uttar Pradesh"/>
    <n v="3"/>
    <n v="3"/>
    <n v="1629"/>
    <s v="Paid"/>
    <s v="Not an Outliers"/>
    <x v="0"/>
  </r>
  <r>
    <d v="2024-07-25T00:00:00"/>
    <s v="Rajiv Chowk"/>
    <s v="Car"/>
    <x v="4"/>
    <n v="6027"/>
    <b v="1"/>
    <x v="1"/>
    <s v="Night"/>
    <s v="Slippery"/>
    <s v="36-50"/>
    <n v="4"/>
    <s v="Low"/>
    <s v="Expired"/>
    <b v="1"/>
    <n v="73"/>
    <s v="Punjab"/>
    <n v="8"/>
    <n v="1"/>
    <n v="3117"/>
    <s v="Unpaid"/>
    <s v="Not an Outliers"/>
    <x v="0"/>
  </r>
  <r>
    <d v="2024-07-26T00:00:00"/>
    <s v="Sector 29"/>
    <s v="Bus"/>
    <x v="3"/>
    <n v="3438"/>
    <b v="1"/>
    <x v="0"/>
    <s v="Afternoon"/>
    <s v="Wet"/>
    <s v="36-50"/>
    <n v="4"/>
    <s v="Medium"/>
    <s v="Expired"/>
    <b v="1"/>
    <n v="31"/>
    <s v="Haryana"/>
    <n v="9"/>
    <n v="3"/>
    <n v="3377"/>
    <s v="Unpaid"/>
    <s v="Not an Outliers"/>
    <x v="0"/>
  </r>
  <r>
    <d v="2024-07-26T00:00:00"/>
    <s v="Sikanderpur"/>
    <s v="Bus"/>
    <x v="1"/>
    <n v="1000"/>
    <b v="1"/>
    <x v="3"/>
    <s v="Evening"/>
    <s v="Dry"/>
    <s v="50+"/>
    <n v="21"/>
    <s v="Low"/>
    <s v="Suspended"/>
    <b v="1"/>
    <n v="97"/>
    <s v="Rajasthan"/>
    <n v="5"/>
    <n v="2"/>
    <n v="3572"/>
    <s v="Paid"/>
    <s v="Not an Outliers"/>
    <x v="0"/>
  </r>
  <r>
    <d v="2024-07-26T00:00:00"/>
    <s v="Signature Tower Chowk"/>
    <s v="Bike"/>
    <x v="4"/>
    <n v="8166"/>
    <b v="0"/>
    <x v="0"/>
    <s v="Evening"/>
    <s v="Under Construction"/>
    <s v="18-25"/>
    <n v="4"/>
    <s v="Low"/>
    <s v="Learner"/>
    <b v="1"/>
    <n v="41"/>
    <s v="Haryana"/>
    <n v="7"/>
    <n v="3"/>
    <n v="1138"/>
    <s v="Paid"/>
    <s v="Not an Outliers"/>
    <x v="0"/>
  </r>
  <r>
    <d v="2024-07-26T00:00:00"/>
    <s v="Sector 56"/>
    <s v="Car"/>
    <x v="1"/>
    <n v="1000"/>
    <b v="0"/>
    <x v="0"/>
    <s v="Morning"/>
    <s v="Wet"/>
    <s v="50+"/>
    <n v="2"/>
    <s v="High"/>
    <s v="Expired"/>
    <b v="0"/>
    <n v="93"/>
    <s v="Rajasthan"/>
    <n v="9"/>
    <n v="3"/>
    <n v="3630"/>
    <s v="Paid"/>
    <s v="Not an Outliers"/>
    <x v="0"/>
  </r>
  <r>
    <d v="2024-07-27T00:00:00"/>
    <s v="Signature Tower Chowk"/>
    <s v="Truck"/>
    <x v="3"/>
    <n v="3539"/>
    <b v="0"/>
    <x v="4"/>
    <s v="Night"/>
    <s v="Slippery"/>
    <s v="26-35"/>
    <n v="3"/>
    <s v="High"/>
    <s v="Suspended"/>
    <b v="0"/>
    <n v="103"/>
    <s v="Delhi"/>
    <n v="1"/>
    <n v="2"/>
    <n v="3434"/>
    <s v="Paid"/>
    <s v="Not an Outliers"/>
    <x v="1"/>
  </r>
  <r>
    <d v="2024-07-27T00:00:00"/>
    <s v="Rajiv Chowk"/>
    <s v="Bike"/>
    <x v="4"/>
    <n v="6927"/>
    <b v="0"/>
    <x v="3"/>
    <s v="Evening"/>
    <s v="Under Construction"/>
    <s v="18-25"/>
    <n v="1"/>
    <s v="Medium"/>
    <s v="Expired"/>
    <b v="1"/>
    <n v="89"/>
    <s v="Punjab"/>
    <n v="7"/>
    <n v="2"/>
    <n v="1492"/>
    <s v="Unpaid"/>
    <s v="Not an Outliers"/>
    <x v="1"/>
  </r>
  <r>
    <d v="2024-07-28T00:00:00"/>
    <s v="NH-8"/>
    <s v="Truck"/>
    <x v="2"/>
    <n v="1152"/>
    <b v="0"/>
    <x v="2"/>
    <s v="Morning"/>
    <s v="Under Construction"/>
    <s v="26-35"/>
    <n v="0"/>
    <s v="High"/>
    <s v="Suspended"/>
    <b v="1"/>
    <n v="36"/>
    <s v="Rajasthan"/>
    <n v="4"/>
    <n v="1"/>
    <n v="1493"/>
    <s v="Paid"/>
    <s v="Not an Outliers"/>
    <x v="1"/>
  </r>
  <r>
    <d v="2024-07-28T00:00:00"/>
    <s v="Sector 29"/>
    <s v="Bike"/>
    <x v="2"/>
    <n v="4901"/>
    <b v="0"/>
    <x v="3"/>
    <s v="Night"/>
    <s v="Dry"/>
    <s v="50+"/>
    <n v="3"/>
    <s v="Medium"/>
    <s v="Learner"/>
    <b v="0"/>
    <n v="115"/>
    <s v="Uttar Pradesh"/>
    <n v="5"/>
    <n v="3"/>
    <n v="1724"/>
    <s v="Unpaid"/>
    <s v="Not an Outliers"/>
    <x v="1"/>
  </r>
  <r>
    <d v="2024-08-01T00:00:00"/>
    <s v="Sector 56"/>
    <s v="Bus"/>
    <x v="2"/>
    <n v="3845"/>
    <b v="1"/>
    <x v="1"/>
    <s v="Afternoon"/>
    <s v="Slippery"/>
    <s v="50+"/>
    <n v="26"/>
    <s v="High"/>
    <s v="Suspended"/>
    <b v="1"/>
    <n v="10"/>
    <s v="Haryana"/>
    <n v="5"/>
    <n v="1"/>
    <n v="3601"/>
    <s v="Unpaid"/>
    <s v="Not an Outliers"/>
    <x v="0"/>
  </r>
  <r>
    <d v="2024-08-01T00:00:00"/>
    <s v="Signature Tower Chowk"/>
    <s v="Bike"/>
    <x v="5"/>
    <n v="4363"/>
    <b v="0"/>
    <x v="3"/>
    <s v="Morning"/>
    <s v="Under Construction"/>
    <s v="18-25"/>
    <n v="1"/>
    <s v="High"/>
    <s v="Suspended"/>
    <b v="0"/>
    <n v="110"/>
    <s v="Punjab"/>
    <n v="6"/>
    <n v="2"/>
    <n v="4624"/>
    <s v="Unpaid"/>
    <s v="Not an Outliers"/>
    <x v="0"/>
  </r>
  <r>
    <d v="2024-08-01T00:00:00"/>
    <s v="Sikanderpur"/>
    <s v="Auto-rickshaw"/>
    <x v="3"/>
    <n v="2039"/>
    <b v="1"/>
    <x v="3"/>
    <s v="Afternoon"/>
    <s v="Dry"/>
    <s v="18-25"/>
    <n v="4"/>
    <s v="Low"/>
    <s v="Suspended"/>
    <b v="1"/>
    <n v="101"/>
    <s v="Delhi"/>
    <n v="6"/>
    <n v="3"/>
    <n v="4470"/>
    <s v="Paid"/>
    <s v="Not an Outliers"/>
    <x v="0"/>
  </r>
  <r>
    <d v="2024-08-01T00:00:00"/>
    <s v="MG Road"/>
    <s v="Bus"/>
    <x v="4"/>
    <n v="8494"/>
    <b v="0"/>
    <x v="1"/>
    <s v="Evening"/>
    <s v="Wet"/>
    <s v="18-25"/>
    <n v="3"/>
    <s v="High"/>
    <s v="Valid"/>
    <b v="1"/>
    <n v="22"/>
    <s v="Haryana"/>
    <n v="3"/>
    <n v="1"/>
    <n v="1196"/>
    <s v="Disputed"/>
    <s v="Not an Outliers"/>
    <x v="0"/>
  </r>
  <r>
    <d v="2024-08-02T00:00:00"/>
    <s v="Sohna Road near Iris Tech Park"/>
    <s v="Truck"/>
    <x v="5"/>
    <n v="2528"/>
    <b v="1"/>
    <x v="1"/>
    <s v="Morning"/>
    <s v="Under Construction"/>
    <s v="50+"/>
    <n v="1"/>
    <s v="Low"/>
    <s v="Valid"/>
    <b v="0"/>
    <n v="41"/>
    <s v="Punjab"/>
    <n v="2"/>
    <n v="2"/>
    <n v="3110"/>
    <s v="Unpaid"/>
    <s v="Not an Outliers"/>
    <x v="0"/>
  </r>
  <r>
    <d v="2024-08-02T00:00:00"/>
    <s v="Golf Course Road"/>
    <s v="Truck"/>
    <x v="3"/>
    <n v="4119"/>
    <b v="0"/>
    <x v="2"/>
    <s v="Morning"/>
    <s v="Wet"/>
    <s v="18-25"/>
    <n v="0"/>
    <s v="Low"/>
    <s v="Suspended"/>
    <b v="0"/>
    <n v="29"/>
    <s v="Uttar Pradesh"/>
    <n v="10"/>
    <n v="1"/>
    <n v="4067"/>
    <s v="Unpaid"/>
    <s v="Not an Outliers"/>
    <x v="0"/>
  </r>
  <r>
    <d v="2024-08-02T00:00:00"/>
    <s v="Rajiv Chowk"/>
    <s v="Bus"/>
    <x v="4"/>
    <n v="9858"/>
    <b v="0"/>
    <x v="2"/>
    <s v="Night"/>
    <s v="Dry"/>
    <s v="18-25"/>
    <n v="1"/>
    <s v="Medium"/>
    <s v="Valid"/>
    <b v="1"/>
    <n v="25"/>
    <s v="Rajasthan"/>
    <n v="2"/>
    <n v="3"/>
    <n v="3830"/>
    <s v="Disputed"/>
    <s v="Not an Outliers"/>
    <x v="0"/>
  </r>
  <r>
    <d v="2024-08-02T00:00:00"/>
    <s v="Sheetala Mata Road"/>
    <s v="Auto-rickshaw"/>
    <x v="4"/>
    <n v="6023"/>
    <b v="0"/>
    <x v="1"/>
    <s v="Night"/>
    <s v="Under Construction"/>
    <s v="18-25"/>
    <n v="5"/>
    <s v="Medium"/>
    <s v="Learner"/>
    <b v="1"/>
    <n v="85"/>
    <s v="Rajasthan"/>
    <n v="5"/>
    <n v="3"/>
    <n v="3433"/>
    <s v="Disputed"/>
    <s v="Not an Outliers"/>
    <x v="0"/>
  </r>
  <r>
    <d v="2024-08-02T00:00:00"/>
    <s v="Sohna Road near Iris Tech Park"/>
    <s v="Bike"/>
    <x v="5"/>
    <n v="4672"/>
    <b v="0"/>
    <x v="3"/>
    <s v="Morning"/>
    <s v="Dry"/>
    <s v="18-25"/>
    <n v="2"/>
    <s v="Low"/>
    <s v="Expired"/>
    <b v="1"/>
    <n v="60"/>
    <s v="Haryana"/>
    <n v="8"/>
    <n v="1"/>
    <n v="4098"/>
    <s v="Unpaid"/>
    <s v="Not an Outliers"/>
    <x v="0"/>
  </r>
  <r>
    <d v="2024-08-02T00:00:00"/>
    <s v="Signature Tower Chowk"/>
    <s v="Bike"/>
    <x v="0"/>
    <n v="1000"/>
    <b v="0"/>
    <x v="3"/>
    <s v="Afternoon"/>
    <s v="Dry"/>
    <s v="26-35"/>
    <n v="1"/>
    <s v="Medium"/>
    <s v="Suspended"/>
    <b v="0"/>
    <n v="26"/>
    <s v="Uttar Pradesh"/>
    <n v="5"/>
    <n v="2"/>
    <n v="3343"/>
    <s v="Disputed"/>
    <s v="Not an Outliers"/>
    <x v="0"/>
  </r>
  <r>
    <d v="2024-08-02T00:00:00"/>
    <s v="Huda City Center"/>
    <s v="Auto-rickshaw"/>
    <x v="1"/>
    <n v="1000"/>
    <b v="0"/>
    <x v="0"/>
    <s v="Night"/>
    <s v="Wet"/>
    <s v="50+"/>
    <n v="4"/>
    <s v="Medium"/>
    <s v="Learner"/>
    <b v="1"/>
    <n v="24"/>
    <s v="Haryana"/>
    <n v="4"/>
    <n v="3"/>
    <n v="4055"/>
    <s v="Disputed"/>
    <s v="Not an Outliers"/>
    <x v="0"/>
  </r>
  <r>
    <d v="2024-08-02T00:00:00"/>
    <s v="Sheetala Mata Road"/>
    <s v="Auto-rickshaw"/>
    <x v="3"/>
    <n v="3052"/>
    <b v="0"/>
    <x v="2"/>
    <s v="Evening"/>
    <s v="Under Construction"/>
    <s v="50+"/>
    <n v="5"/>
    <s v="Low"/>
    <s v="Learner"/>
    <b v="0"/>
    <n v="16"/>
    <s v="Rajasthan"/>
    <n v="1"/>
    <n v="3"/>
    <n v="1825"/>
    <s v="Paid"/>
    <s v="Not an Outliers"/>
    <x v="0"/>
  </r>
  <r>
    <d v="2024-08-03T00:00:00"/>
    <s v="IFFCO Chowk"/>
    <s v="Car"/>
    <x v="4"/>
    <n v="9854"/>
    <b v="0"/>
    <x v="2"/>
    <s v="Morning"/>
    <s v="Wet"/>
    <s v="18-25"/>
    <n v="0"/>
    <s v="Low"/>
    <s v="Valid"/>
    <b v="1"/>
    <n v="17"/>
    <s v="Punjab"/>
    <n v="2"/>
    <n v="1"/>
    <n v="3582"/>
    <s v="Unpaid"/>
    <s v="Not an Outliers"/>
    <x v="1"/>
  </r>
  <r>
    <d v="2024-08-03T00:00:00"/>
    <s v="MG Road"/>
    <s v="Car"/>
    <x v="1"/>
    <n v="1000"/>
    <b v="1"/>
    <x v="3"/>
    <s v="Evening"/>
    <s v="Wet"/>
    <s v="26-35"/>
    <n v="3"/>
    <s v="High"/>
    <s v="Expired"/>
    <b v="1"/>
    <n v="37"/>
    <s v="Delhi"/>
    <n v="2"/>
    <n v="3"/>
    <n v="2648"/>
    <s v="Disputed"/>
    <s v="Not an Outliers"/>
    <x v="1"/>
  </r>
  <r>
    <d v="2024-08-04T00:00:00"/>
    <s v="Sheetala Mata Road"/>
    <s v="Car"/>
    <x v="3"/>
    <n v="4354"/>
    <b v="1"/>
    <x v="1"/>
    <s v="Evening"/>
    <s v="Slippery"/>
    <s v="18-25"/>
    <n v="5"/>
    <s v="High"/>
    <s v="Suspended"/>
    <b v="0"/>
    <n v="113"/>
    <s v="Punjab"/>
    <n v="8"/>
    <n v="1"/>
    <n v="897"/>
    <s v="Unpaid"/>
    <s v="Not an Outliers"/>
    <x v="1"/>
  </r>
  <r>
    <d v="2024-08-04T00:00:00"/>
    <s v="Sector 29"/>
    <s v="Bus"/>
    <x v="5"/>
    <n v="7989"/>
    <b v="0"/>
    <x v="4"/>
    <s v="Morning"/>
    <s v="Slippery"/>
    <s v="36-50"/>
    <n v="2"/>
    <s v="High"/>
    <s v="Learner"/>
    <b v="1"/>
    <n v="90"/>
    <s v="Punjab"/>
    <n v="3"/>
    <n v="2"/>
    <n v="3037"/>
    <s v="Paid"/>
    <s v="Not an Outliers"/>
    <x v="1"/>
  </r>
  <r>
    <d v="2024-08-04T00:00:00"/>
    <s v="Signature Tower Chowk"/>
    <s v="Car"/>
    <x v="5"/>
    <n v="5524"/>
    <b v="0"/>
    <x v="2"/>
    <s v="Morning"/>
    <s v="Slippery"/>
    <s v="50+"/>
    <n v="0"/>
    <s v="Low"/>
    <s v="Learner"/>
    <b v="1"/>
    <n v="114"/>
    <s v="Delhi"/>
    <n v="3"/>
    <n v="1"/>
    <n v="4571"/>
    <s v="Unpaid"/>
    <s v="Not an Outliers"/>
    <x v="1"/>
  </r>
  <r>
    <d v="2024-08-05T00:00:00"/>
    <s v="Udyog Vihar"/>
    <s v="Auto-rickshaw"/>
    <x v="4"/>
    <n v="8820"/>
    <b v="0"/>
    <x v="3"/>
    <s v="Afternoon"/>
    <s v="Dry"/>
    <s v="50+"/>
    <n v="3"/>
    <s v="Low"/>
    <s v="Valid"/>
    <b v="0"/>
    <n v="38"/>
    <s v="Delhi"/>
    <n v="7"/>
    <n v="2"/>
    <n v="4757"/>
    <s v="Unpaid"/>
    <s v="Not an Outliers"/>
    <x v="0"/>
  </r>
  <r>
    <d v="2024-08-05T00:00:00"/>
    <s v="IFFCO Chowk"/>
    <s v="Bus"/>
    <x v="5"/>
    <n v="7289"/>
    <b v="0"/>
    <x v="2"/>
    <s v="Evening"/>
    <s v="Dry"/>
    <s v="26-35"/>
    <n v="1"/>
    <s v="Low"/>
    <s v="Valid"/>
    <b v="1"/>
    <n v="99"/>
    <s v="Punjab"/>
    <n v="5"/>
    <n v="2"/>
    <n v="1789"/>
    <s v="Unpaid"/>
    <s v="Not an Outliers"/>
    <x v="0"/>
  </r>
  <r>
    <d v="2024-08-05T00:00:00"/>
    <s v="Udyog Vihar"/>
    <s v="Truck"/>
    <x v="4"/>
    <n v="5120"/>
    <b v="0"/>
    <x v="0"/>
    <s v="Afternoon"/>
    <s v="Slippery"/>
    <s v="50+"/>
    <n v="1"/>
    <s v="High"/>
    <s v="Suspended"/>
    <b v="1"/>
    <n v="88"/>
    <s v="Haryana"/>
    <n v="8"/>
    <n v="1"/>
    <n v="4798"/>
    <s v="Paid"/>
    <s v="Not an Outliers"/>
    <x v="0"/>
  </r>
  <r>
    <d v="2024-08-05T00:00:00"/>
    <s v="Sheetala Mata Road"/>
    <s v="Bus"/>
    <x v="1"/>
    <n v="1000"/>
    <b v="0"/>
    <x v="4"/>
    <s v="Afternoon"/>
    <s v="Wet"/>
    <s v="18-25"/>
    <n v="2"/>
    <s v="Low"/>
    <s v="Suspended"/>
    <b v="1"/>
    <n v="37"/>
    <s v="Delhi"/>
    <n v="9"/>
    <n v="1"/>
    <n v="4642"/>
    <s v="Disputed"/>
    <s v="Not an Outliers"/>
    <x v="0"/>
  </r>
  <r>
    <d v="2024-08-05T00:00:00"/>
    <s v="NH-8"/>
    <s v="Bike"/>
    <x v="4"/>
    <n v="7887"/>
    <b v="0"/>
    <x v="4"/>
    <s v="Morning"/>
    <s v="Under Construction"/>
    <s v="26-35"/>
    <n v="2"/>
    <s v="High"/>
    <s v="Valid"/>
    <b v="0"/>
    <n v="111"/>
    <s v="Haryana"/>
    <n v="4"/>
    <n v="3"/>
    <n v="3130"/>
    <s v="Disputed"/>
    <s v="Not an Outliers"/>
    <x v="0"/>
  </r>
  <r>
    <d v="2024-08-06T00:00:00"/>
    <s v="Sohna Road near Iris Tech Park"/>
    <s v="Truck"/>
    <x v="3"/>
    <n v="4036"/>
    <b v="1"/>
    <x v="0"/>
    <s v="Afternoon"/>
    <s v="Wet"/>
    <s v="26-35"/>
    <n v="4"/>
    <s v="High"/>
    <s v="Valid"/>
    <b v="1"/>
    <n v="22"/>
    <s v="Uttar Pradesh"/>
    <n v="5"/>
    <n v="1"/>
    <n v="4612"/>
    <s v="Paid"/>
    <s v="Not an Outliers"/>
    <x v="0"/>
  </r>
  <r>
    <d v="2024-08-06T00:00:00"/>
    <s v="Sector 56"/>
    <s v="Car"/>
    <x v="5"/>
    <n v="6811"/>
    <b v="0"/>
    <x v="2"/>
    <s v="Evening"/>
    <s v="Dry"/>
    <s v="18-25"/>
    <n v="2"/>
    <s v="Medium"/>
    <s v="Suspended"/>
    <b v="0"/>
    <n v="61"/>
    <s v="Haryana"/>
    <n v="3"/>
    <n v="2"/>
    <n v="4180"/>
    <s v="Unpaid"/>
    <s v="Not an Outliers"/>
    <x v="0"/>
  </r>
  <r>
    <d v="2024-08-06T00:00:00"/>
    <s v="Rajiv Chowk"/>
    <s v="Bike"/>
    <x v="0"/>
    <n v="1000"/>
    <b v="1"/>
    <x v="4"/>
    <s v="Afternoon"/>
    <s v="Wet"/>
    <s v="26-35"/>
    <n v="5"/>
    <s v="High"/>
    <s v="Valid"/>
    <b v="1"/>
    <n v="33"/>
    <s v="Haryana"/>
    <n v="10"/>
    <n v="3"/>
    <n v="3000"/>
    <s v="Paid"/>
    <s v="Not an Outliers"/>
    <x v="0"/>
  </r>
  <r>
    <d v="2024-08-06T00:00:00"/>
    <s v="Cyber City"/>
    <s v="Bus"/>
    <x v="1"/>
    <n v="1000"/>
    <b v="0"/>
    <x v="0"/>
    <s v="Afternoon"/>
    <s v="Slippery"/>
    <s v="26-35"/>
    <n v="1"/>
    <s v="Low"/>
    <s v="Valid"/>
    <b v="1"/>
    <n v="111"/>
    <s v="Rajasthan"/>
    <n v="6"/>
    <n v="3"/>
    <n v="2524"/>
    <s v="Paid"/>
    <s v="Not an Outliers"/>
    <x v="0"/>
  </r>
  <r>
    <d v="2024-08-06T00:00:00"/>
    <s v="Huda City Center"/>
    <s v="Auto-rickshaw"/>
    <x v="2"/>
    <n v="3778"/>
    <b v="1"/>
    <x v="1"/>
    <s v="Evening"/>
    <s v="Dry"/>
    <s v="50+"/>
    <n v="0"/>
    <s v="Medium"/>
    <s v="Expired"/>
    <b v="0"/>
    <n v="12"/>
    <s v="Haryana"/>
    <n v="5"/>
    <n v="3"/>
    <n v="4671"/>
    <s v="Unpaid"/>
    <s v="Not an Outliers"/>
    <x v="0"/>
  </r>
  <r>
    <d v="2024-08-07T00:00:00"/>
    <s v="MG Road"/>
    <s v="Car"/>
    <x v="5"/>
    <n v="3246"/>
    <b v="0"/>
    <x v="0"/>
    <s v="Morning"/>
    <s v="Wet"/>
    <s v="18-25"/>
    <n v="4"/>
    <s v="Low"/>
    <s v="Suspended"/>
    <b v="0"/>
    <n v="120"/>
    <s v="Rajasthan"/>
    <n v="10"/>
    <n v="3"/>
    <n v="2975"/>
    <s v="Unpaid"/>
    <s v="Not an Outliers"/>
    <x v="0"/>
  </r>
  <r>
    <d v="2024-08-07T00:00:00"/>
    <s v="NH-8"/>
    <s v="Truck"/>
    <x v="2"/>
    <n v="2397"/>
    <b v="0"/>
    <x v="1"/>
    <s v="Morning"/>
    <s v="Under Construction"/>
    <s v="50+"/>
    <n v="3"/>
    <s v="Low"/>
    <s v="Expired"/>
    <b v="0"/>
    <n v="103"/>
    <s v="Rajasthan"/>
    <n v="5"/>
    <n v="2"/>
    <n v="784"/>
    <s v="Unpaid"/>
    <s v="Not an Outliers"/>
    <x v="0"/>
  </r>
  <r>
    <d v="2024-08-08T00:00:00"/>
    <s v="Sector 56"/>
    <s v="Bike"/>
    <x v="0"/>
    <n v="1000"/>
    <b v="1"/>
    <x v="1"/>
    <s v="Evening"/>
    <s v="Wet"/>
    <s v="18-25"/>
    <n v="3"/>
    <s v="Medium"/>
    <s v="Expired"/>
    <b v="1"/>
    <n v="100"/>
    <s v="Rajasthan"/>
    <n v="6"/>
    <n v="2"/>
    <n v="2261"/>
    <s v="Disputed"/>
    <s v="Not an Outliers"/>
    <x v="0"/>
  </r>
  <r>
    <d v="2024-08-08T00:00:00"/>
    <s v="Rajiv Chowk"/>
    <s v="Truck"/>
    <x v="3"/>
    <n v="4584"/>
    <b v="0"/>
    <x v="3"/>
    <s v="Morning"/>
    <s v="Slippery"/>
    <s v="26-35"/>
    <n v="3"/>
    <s v="High"/>
    <s v="Learner"/>
    <b v="1"/>
    <n v="89"/>
    <s v="Haryana"/>
    <n v="6"/>
    <n v="3"/>
    <n v="2244"/>
    <s v="Unpaid"/>
    <s v="Not an Outliers"/>
    <x v="0"/>
  </r>
  <r>
    <d v="2024-08-08T00:00:00"/>
    <s v="NH-8"/>
    <s v="Bus"/>
    <x v="3"/>
    <n v="3239"/>
    <b v="0"/>
    <x v="3"/>
    <s v="Afternoon"/>
    <s v="Dry"/>
    <s v="50+"/>
    <n v="4"/>
    <s v="Medium"/>
    <s v="Valid"/>
    <b v="1"/>
    <n v="77"/>
    <s v="Delhi"/>
    <n v="8"/>
    <n v="3"/>
    <n v="2818"/>
    <s v="Unpaid"/>
    <s v="Not an Outliers"/>
    <x v="0"/>
  </r>
  <r>
    <d v="2024-08-08T00:00:00"/>
    <s v="Sector 29"/>
    <s v="Auto-rickshaw"/>
    <x v="4"/>
    <n v="9700"/>
    <b v="0"/>
    <x v="4"/>
    <s v="Afternoon"/>
    <s v="Slippery"/>
    <s v="50+"/>
    <n v="3"/>
    <s v="Medium"/>
    <s v="Valid"/>
    <b v="0"/>
    <n v="46"/>
    <s v="Punjab"/>
    <n v="3"/>
    <n v="2"/>
    <n v="3903"/>
    <s v="Disputed"/>
    <s v="Not an Outliers"/>
    <x v="0"/>
  </r>
  <r>
    <d v="2024-08-09T00:00:00"/>
    <s v="Sector 29"/>
    <s v="Auto-rickshaw"/>
    <x v="3"/>
    <n v="3102"/>
    <b v="0"/>
    <x v="3"/>
    <s v="Morning"/>
    <s v="Wet"/>
    <s v="26-35"/>
    <n v="2"/>
    <s v="High"/>
    <s v="Valid"/>
    <b v="1"/>
    <n v="110"/>
    <s v="Rajasthan"/>
    <n v="4"/>
    <n v="1"/>
    <n v="698"/>
    <s v="Unpaid"/>
    <s v="Not an Outliers"/>
    <x v="0"/>
  </r>
  <r>
    <d v="2024-08-09T00:00:00"/>
    <s v="Signature Tower Chowk"/>
    <s v="Truck"/>
    <x v="3"/>
    <n v="4377"/>
    <b v="1"/>
    <x v="4"/>
    <s v="Evening"/>
    <s v="Dry"/>
    <s v="26-35"/>
    <n v="0"/>
    <s v="Low"/>
    <s v="Expired"/>
    <b v="0"/>
    <n v="22"/>
    <s v="Punjab"/>
    <n v="6"/>
    <n v="1"/>
    <n v="2804"/>
    <s v="Unpaid"/>
    <s v="Not an Outliers"/>
    <x v="0"/>
  </r>
  <r>
    <d v="2024-08-09T00:00:00"/>
    <s v="NH-8"/>
    <s v="Car"/>
    <x v="1"/>
    <n v="1000"/>
    <b v="1"/>
    <x v="0"/>
    <s v="Afternoon"/>
    <s v="Under Construction"/>
    <s v="26-35"/>
    <n v="4"/>
    <s v="Low"/>
    <s v="Valid"/>
    <b v="1"/>
    <n v="42"/>
    <s v="Rajasthan"/>
    <n v="4"/>
    <n v="1"/>
    <n v="2616"/>
    <s v="Unpaid"/>
    <s v="Not an Outliers"/>
    <x v="0"/>
  </r>
  <r>
    <d v="2024-08-10T00:00:00"/>
    <s v="Huda City Center"/>
    <s v="Truck"/>
    <x v="4"/>
    <n v="8097"/>
    <b v="1"/>
    <x v="0"/>
    <s v="Night"/>
    <s v="Under Construction"/>
    <s v="18-25"/>
    <n v="3"/>
    <s v="Low"/>
    <s v="Suspended"/>
    <b v="0"/>
    <n v="71"/>
    <s v="Punjab"/>
    <n v="3"/>
    <n v="3"/>
    <n v="2259"/>
    <s v="Disputed"/>
    <s v="Not an Outliers"/>
    <x v="1"/>
  </r>
  <r>
    <d v="2024-08-10T00:00:00"/>
    <s v="Sohna Road near Iris Tech Park"/>
    <s v="Car"/>
    <x v="2"/>
    <n v="2453"/>
    <b v="1"/>
    <x v="1"/>
    <s v="Night"/>
    <s v="Slippery"/>
    <s v="26-35"/>
    <n v="1"/>
    <s v="Medium"/>
    <s v="Expired"/>
    <b v="0"/>
    <n v="57"/>
    <s v="Punjab"/>
    <n v="4"/>
    <n v="3"/>
    <n v="629"/>
    <s v="Disputed"/>
    <s v="Not an Outliers"/>
    <x v="1"/>
  </r>
  <r>
    <d v="2024-08-11T00:00:00"/>
    <s v="Udyog Vihar"/>
    <s v="Bike"/>
    <x v="5"/>
    <n v="4189"/>
    <b v="0"/>
    <x v="2"/>
    <s v="Evening"/>
    <s v="Slippery"/>
    <s v="50+"/>
    <n v="3"/>
    <s v="High"/>
    <s v="Learner"/>
    <b v="1"/>
    <n v="106"/>
    <s v="Punjab"/>
    <n v="2"/>
    <n v="2"/>
    <n v="2921"/>
    <s v="Unpaid"/>
    <s v="Not an Outliers"/>
    <x v="1"/>
  </r>
  <r>
    <d v="2024-08-12T00:00:00"/>
    <s v="Sheetala Mata Road"/>
    <s v="Bike"/>
    <x v="3"/>
    <n v="3870"/>
    <b v="0"/>
    <x v="0"/>
    <s v="Night"/>
    <s v="Wet"/>
    <s v="50+"/>
    <n v="2"/>
    <s v="Low"/>
    <s v="Suspended"/>
    <b v="0"/>
    <n v="23"/>
    <s v="Punjab"/>
    <n v="10"/>
    <n v="2"/>
    <n v="3944"/>
    <s v="Paid"/>
    <s v="Not an Outliers"/>
    <x v="0"/>
  </r>
  <r>
    <d v="2024-08-12T00:00:00"/>
    <s v="Sikanderpur"/>
    <s v="Bike"/>
    <x v="0"/>
    <n v="1000"/>
    <b v="0"/>
    <x v="1"/>
    <s v="Evening"/>
    <s v="Slippery"/>
    <s v="18-25"/>
    <n v="2"/>
    <s v="Medium"/>
    <s v="Expired"/>
    <b v="0"/>
    <n v="117"/>
    <s v="Delhi"/>
    <n v="4"/>
    <n v="2"/>
    <n v="2782"/>
    <s v="Disputed"/>
    <s v="Not an Outliers"/>
    <x v="0"/>
  </r>
  <r>
    <d v="2024-08-12T00:00:00"/>
    <s v="Sikanderpur"/>
    <s v="Bus"/>
    <x v="4"/>
    <n v="6306"/>
    <b v="1"/>
    <x v="3"/>
    <s v="Morning"/>
    <s v="Dry"/>
    <s v="36-50"/>
    <n v="1"/>
    <s v="High"/>
    <s v="Learner"/>
    <b v="0"/>
    <n v="73"/>
    <s v="Punjab"/>
    <n v="7"/>
    <n v="2"/>
    <n v="1586"/>
    <s v="Unpaid"/>
    <s v="Not an Outliers"/>
    <x v="0"/>
  </r>
  <r>
    <d v="2024-08-12T00:00:00"/>
    <s v="NH-8"/>
    <s v="Bus"/>
    <x v="4"/>
    <n v="7336"/>
    <b v="0"/>
    <x v="1"/>
    <s v="Evening"/>
    <s v="Slippery"/>
    <s v="50+"/>
    <n v="1"/>
    <s v="Low"/>
    <s v="Learner"/>
    <b v="1"/>
    <n v="56"/>
    <s v="Punjab"/>
    <n v="5"/>
    <n v="2"/>
    <n v="2576"/>
    <s v="Paid"/>
    <s v="Not an Outliers"/>
    <x v="0"/>
  </r>
  <r>
    <d v="2024-08-13T00:00:00"/>
    <s v="Sohna Road near Iris Tech Park"/>
    <s v="Auto-rickshaw"/>
    <x v="4"/>
    <n v="9680"/>
    <b v="1"/>
    <x v="3"/>
    <s v="Morning"/>
    <s v="Slippery"/>
    <s v="36-50"/>
    <n v="2"/>
    <s v="High"/>
    <s v="Valid"/>
    <b v="1"/>
    <n v="78"/>
    <s v="Rajasthan"/>
    <n v="5"/>
    <n v="3"/>
    <n v="910"/>
    <s v="Unpaid"/>
    <s v="Not an Outliers"/>
    <x v="0"/>
  </r>
  <r>
    <d v="2024-08-13T00:00:00"/>
    <s v="Huda City Center"/>
    <s v="Truck"/>
    <x v="5"/>
    <n v="6749"/>
    <b v="0"/>
    <x v="1"/>
    <s v="Afternoon"/>
    <s v="Wet"/>
    <s v="50+"/>
    <n v="1"/>
    <s v="Medium"/>
    <s v="Expired"/>
    <b v="1"/>
    <n v="68"/>
    <s v="Haryana"/>
    <n v="10"/>
    <n v="2"/>
    <n v="1386"/>
    <s v="Disputed"/>
    <s v="Not an Outliers"/>
    <x v="0"/>
  </r>
  <r>
    <d v="2024-08-13T00:00:00"/>
    <s v="Sikanderpur"/>
    <s v="Bike"/>
    <x v="2"/>
    <n v="1289"/>
    <b v="0"/>
    <x v="3"/>
    <s v="Afternoon"/>
    <s v="Under Construction"/>
    <s v="18-25"/>
    <n v="2"/>
    <s v="Medium"/>
    <s v="Expired"/>
    <b v="1"/>
    <n v="38"/>
    <s v="Delhi"/>
    <n v="10"/>
    <n v="3"/>
    <n v="777"/>
    <s v="Disputed"/>
    <s v="Not an Outliers"/>
    <x v="0"/>
  </r>
  <r>
    <d v="2024-08-13T00:00:00"/>
    <s v="MG Road"/>
    <s v="Bike"/>
    <x v="2"/>
    <n v="3316"/>
    <b v="1"/>
    <x v="2"/>
    <s v="Afternoon"/>
    <s v="Dry"/>
    <s v="36-50"/>
    <n v="4"/>
    <s v="High"/>
    <s v="Suspended"/>
    <b v="1"/>
    <n v="30"/>
    <s v="Rajasthan"/>
    <n v="10"/>
    <n v="2"/>
    <n v="3048"/>
    <s v="Paid"/>
    <s v="Not an Outliers"/>
    <x v="0"/>
  </r>
  <r>
    <d v="2024-08-13T00:00:00"/>
    <s v="NH-8"/>
    <s v="Car"/>
    <x v="1"/>
    <n v="1000"/>
    <b v="0"/>
    <x v="3"/>
    <s v="Night"/>
    <s v="Dry"/>
    <s v="26-35"/>
    <n v="4"/>
    <s v="Medium"/>
    <s v="Learner"/>
    <b v="0"/>
    <n v="96"/>
    <s v="Haryana"/>
    <n v="9"/>
    <n v="2"/>
    <n v="3102"/>
    <s v="Paid"/>
    <s v="Not an Outliers"/>
    <x v="0"/>
  </r>
  <r>
    <d v="2024-08-13T00:00:00"/>
    <s v="Manesar Toll"/>
    <s v="Truck"/>
    <x v="3"/>
    <n v="1731"/>
    <b v="0"/>
    <x v="4"/>
    <s v="Morning"/>
    <s v="Wet"/>
    <s v="26-35"/>
    <n v="1"/>
    <s v="Medium"/>
    <s v="Expired"/>
    <b v="1"/>
    <n v="100"/>
    <s v="Delhi"/>
    <n v="8"/>
    <n v="3"/>
    <n v="1707"/>
    <s v="Unpaid"/>
    <s v="Not an Outliers"/>
    <x v="0"/>
  </r>
  <r>
    <d v="2024-08-13T00:00:00"/>
    <s v="Golf Course Road"/>
    <s v="Car"/>
    <x v="3"/>
    <n v="4237"/>
    <b v="0"/>
    <x v="0"/>
    <s v="Afternoon"/>
    <s v="Under Construction"/>
    <s v="36-50"/>
    <n v="5"/>
    <s v="High"/>
    <s v="Valid"/>
    <b v="1"/>
    <n v="79"/>
    <s v="Rajasthan"/>
    <n v="7"/>
    <n v="3"/>
    <n v="4629"/>
    <s v="Unpaid"/>
    <s v="Not an Outliers"/>
    <x v="0"/>
  </r>
  <r>
    <d v="2024-08-13T00:00:00"/>
    <s v="MG Road"/>
    <s v="Bus"/>
    <x v="3"/>
    <n v="4145"/>
    <b v="0"/>
    <x v="3"/>
    <s v="Evening"/>
    <s v="Under Construction"/>
    <s v="26-35"/>
    <n v="1"/>
    <s v="High"/>
    <s v="Valid"/>
    <b v="0"/>
    <n v="45"/>
    <s v="Rajasthan"/>
    <n v="8"/>
    <n v="3"/>
    <n v="1632"/>
    <s v="Disputed"/>
    <s v="Not an Outliers"/>
    <x v="0"/>
  </r>
  <r>
    <d v="2024-08-14T00:00:00"/>
    <s v="Cyber City"/>
    <s v="Bus"/>
    <x v="5"/>
    <n v="5883"/>
    <b v="0"/>
    <x v="2"/>
    <s v="Evening"/>
    <s v="Wet"/>
    <s v="18-25"/>
    <n v="3"/>
    <s v="Medium"/>
    <s v="Suspended"/>
    <b v="0"/>
    <n v="80"/>
    <s v="Delhi"/>
    <n v="5"/>
    <n v="1"/>
    <n v="913"/>
    <s v="Paid"/>
    <s v="Not an Outliers"/>
    <x v="0"/>
  </r>
  <r>
    <d v="2024-08-14T00:00:00"/>
    <s v="Signature Tower Chowk"/>
    <s v="Bus"/>
    <x v="4"/>
    <n v="8225"/>
    <b v="1"/>
    <x v="3"/>
    <s v="Afternoon"/>
    <s v="Under Construction"/>
    <s v="26-35"/>
    <n v="3"/>
    <s v="High"/>
    <s v="Learner"/>
    <b v="1"/>
    <n v="25"/>
    <s v="Delhi"/>
    <n v="7"/>
    <n v="3"/>
    <n v="3575"/>
    <s v="Paid"/>
    <s v="Not an Outliers"/>
    <x v="0"/>
  </r>
  <r>
    <d v="2024-08-14T00:00:00"/>
    <s v="Sikanderpur"/>
    <s v="Truck"/>
    <x v="3"/>
    <n v="3496"/>
    <b v="0"/>
    <x v="1"/>
    <s v="Evening"/>
    <s v="Under Construction"/>
    <s v="18-25"/>
    <n v="0"/>
    <s v="High"/>
    <s v="Valid"/>
    <b v="0"/>
    <n v="112"/>
    <s v="Uttar Pradesh"/>
    <n v="7"/>
    <n v="2"/>
    <n v="2334"/>
    <s v="Disputed"/>
    <s v="Not an Outliers"/>
    <x v="0"/>
  </r>
  <r>
    <d v="2024-08-14T00:00:00"/>
    <s v="Huda City Center"/>
    <s v="Auto-rickshaw"/>
    <x v="2"/>
    <n v="4987"/>
    <b v="0"/>
    <x v="2"/>
    <s v="Evening"/>
    <s v="Wet"/>
    <s v="50+"/>
    <n v="2"/>
    <s v="Low"/>
    <s v="Expired"/>
    <b v="1"/>
    <n v="78"/>
    <s v="Delhi"/>
    <n v="10"/>
    <n v="2"/>
    <n v="1716"/>
    <s v="Paid"/>
    <s v="Not an Outliers"/>
    <x v="0"/>
  </r>
  <r>
    <d v="2024-08-14T00:00:00"/>
    <s v="Signature Tower Chowk"/>
    <s v="Auto-rickshaw"/>
    <x v="5"/>
    <n v="7088"/>
    <b v="0"/>
    <x v="3"/>
    <s v="Evening"/>
    <s v="Slippery"/>
    <s v="18-25"/>
    <n v="2"/>
    <s v="Medium"/>
    <s v="Valid"/>
    <b v="1"/>
    <n v="25"/>
    <s v="Punjab"/>
    <n v="8"/>
    <n v="1"/>
    <n v="2523"/>
    <s v="Paid"/>
    <s v="Not an Outliers"/>
    <x v="0"/>
  </r>
  <r>
    <d v="2024-08-14T00:00:00"/>
    <s v="Golf Course Road"/>
    <s v="Truck"/>
    <x v="2"/>
    <n v="3386"/>
    <b v="1"/>
    <x v="2"/>
    <s v="Night"/>
    <s v="Under Construction"/>
    <s v="50+"/>
    <n v="5"/>
    <s v="Medium"/>
    <s v="Expired"/>
    <b v="0"/>
    <n v="97"/>
    <s v="Rajasthan"/>
    <n v="3"/>
    <n v="2"/>
    <n v="3319"/>
    <s v="Disputed"/>
    <s v="Not an Outliers"/>
    <x v="0"/>
  </r>
  <r>
    <d v="2024-08-15T00:00:00"/>
    <s v="NH-8"/>
    <s v="Bike"/>
    <x v="3"/>
    <n v="1997"/>
    <b v="1"/>
    <x v="3"/>
    <s v="Morning"/>
    <s v="Slippery"/>
    <s v="36-50"/>
    <n v="1"/>
    <s v="Low"/>
    <s v="Valid"/>
    <b v="0"/>
    <n v="101"/>
    <s v="Haryana"/>
    <n v="3"/>
    <n v="3"/>
    <n v="4283"/>
    <s v="Unpaid"/>
    <s v="Not an Outliers"/>
    <x v="0"/>
  </r>
  <r>
    <d v="2024-08-15T00:00:00"/>
    <s v="NH-8"/>
    <s v="Bus"/>
    <x v="1"/>
    <n v="1000"/>
    <b v="1"/>
    <x v="1"/>
    <s v="Morning"/>
    <s v="Wet"/>
    <s v="26-35"/>
    <n v="4"/>
    <s v="High"/>
    <s v="Expired"/>
    <b v="1"/>
    <n v="18"/>
    <s v="Rajasthan"/>
    <n v="4"/>
    <n v="2"/>
    <n v="4763"/>
    <s v="Paid"/>
    <s v="Not an Outliers"/>
    <x v="0"/>
  </r>
  <r>
    <d v="2024-08-15T00:00:00"/>
    <s v="Golf Course Road"/>
    <s v="Car"/>
    <x v="5"/>
    <n v="6008"/>
    <b v="0"/>
    <x v="2"/>
    <s v="Morning"/>
    <s v="Dry"/>
    <s v="26-35"/>
    <n v="3"/>
    <s v="Low"/>
    <s v="Expired"/>
    <b v="0"/>
    <n v="77"/>
    <s v="Rajasthan"/>
    <n v="8"/>
    <n v="3"/>
    <n v="2792"/>
    <s v="Paid"/>
    <s v="Not an Outliers"/>
    <x v="0"/>
  </r>
  <r>
    <d v="2024-08-15T00:00:00"/>
    <s v="Huda City Center"/>
    <s v="Bike"/>
    <x v="3"/>
    <n v="3857"/>
    <b v="1"/>
    <x v="4"/>
    <s v="Evening"/>
    <s v="Slippery"/>
    <s v="26-35"/>
    <n v="2"/>
    <s v="High"/>
    <s v="Expired"/>
    <b v="0"/>
    <n v="66"/>
    <s v="Punjab"/>
    <n v="1"/>
    <n v="1"/>
    <n v="1351"/>
    <s v="Unpaid"/>
    <s v="Not an Outliers"/>
    <x v="0"/>
  </r>
  <r>
    <d v="2024-08-16T00:00:00"/>
    <s v="Manesar Toll"/>
    <s v="Bike"/>
    <x v="0"/>
    <n v="1000"/>
    <b v="0"/>
    <x v="1"/>
    <s v="Afternoon"/>
    <s v="Under Construction"/>
    <s v="36-50"/>
    <n v="2"/>
    <s v="Low"/>
    <s v="Valid"/>
    <b v="0"/>
    <n v="25"/>
    <s v="Rajasthan"/>
    <n v="1"/>
    <n v="3"/>
    <n v="4988"/>
    <s v="Unpaid"/>
    <s v="Not an Outliers"/>
    <x v="0"/>
  </r>
  <r>
    <d v="2024-08-16T00:00:00"/>
    <s v="Rajiv Chowk"/>
    <s v="Bike"/>
    <x v="5"/>
    <n v="7732"/>
    <b v="1"/>
    <x v="4"/>
    <s v="Morning"/>
    <s v="Slippery"/>
    <s v="36-50"/>
    <n v="2"/>
    <s v="Medium"/>
    <s v="Valid"/>
    <b v="0"/>
    <n v="9"/>
    <s v="Rajasthan"/>
    <n v="7"/>
    <n v="1"/>
    <n v="1814"/>
    <s v="Paid"/>
    <s v="Not an Outliers"/>
    <x v="0"/>
  </r>
  <r>
    <d v="2024-08-16T00:00:00"/>
    <s v="Sohna Road near Iris Tech Park"/>
    <s v="Car"/>
    <x v="1"/>
    <n v="1000"/>
    <b v="1"/>
    <x v="1"/>
    <s v="Morning"/>
    <s v="Dry"/>
    <s v="36-50"/>
    <n v="4"/>
    <s v="Medium"/>
    <s v="Learner"/>
    <b v="1"/>
    <n v="105"/>
    <s v="Uttar Pradesh"/>
    <n v="9"/>
    <n v="3"/>
    <n v="1823"/>
    <s v="Disputed"/>
    <s v="Not an Outliers"/>
    <x v="0"/>
  </r>
  <r>
    <d v="2024-08-17T00:00:00"/>
    <s v="Signature Tower Chowk"/>
    <s v="Car"/>
    <x v="5"/>
    <n v="4196"/>
    <b v="1"/>
    <x v="0"/>
    <s v="Afternoon"/>
    <s v="Dry"/>
    <s v="36-50"/>
    <n v="1"/>
    <s v="High"/>
    <s v="Suspended"/>
    <b v="1"/>
    <n v="91"/>
    <s v="Uttar Pradesh"/>
    <n v="9"/>
    <n v="1"/>
    <n v="3277"/>
    <s v="Paid"/>
    <s v="Not an Outliers"/>
    <x v="1"/>
  </r>
  <r>
    <d v="2024-08-18T00:00:00"/>
    <s v="Cyber City"/>
    <s v="Truck"/>
    <x v="5"/>
    <n v="7476"/>
    <b v="1"/>
    <x v="1"/>
    <s v="Night"/>
    <s v="Slippery"/>
    <s v="50+"/>
    <n v="3"/>
    <s v="Medium"/>
    <s v="Valid"/>
    <b v="1"/>
    <n v="3"/>
    <s v="Haryana"/>
    <n v="9"/>
    <n v="1"/>
    <n v="2542"/>
    <s v="Paid"/>
    <s v="Not an Outliers"/>
    <x v="1"/>
  </r>
  <r>
    <d v="2024-08-18T00:00:00"/>
    <s v="Signature Tower Chowk"/>
    <s v="Car"/>
    <x v="4"/>
    <n v="8481"/>
    <b v="0"/>
    <x v="1"/>
    <s v="Night"/>
    <s v="Slippery"/>
    <s v="18-25"/>
    <n v="4"/>
    <s v="Medium"/>
    <s v="Suspended"/>
    <b v="0"/>
    <n v="45"/>
    <s v="Haryana"/>
    <n v="4"/>
    <n v="2"/>
    <n v="4833"/>
    <s v="Disputed"/>
    <s v="Not an Outliers"/>
    <x v="1"/>
  </r>
  <r>
    <d v="2024-08-18T00:00:00"/>
    <s v="Sector 29"/>
    <s v="Auto-rickshaw"/>
    <x v="1"/>
    <n v="1000"/>
    <b v="0"/>
    <x v="3"/>
    <s v="Afternoon"/>
    <s v="Wet"/>
    <s v="18-25"/>
    <n v="5"/>
    <s v="High"/>
    <s v="Expired"/>
    <b v="0"/>
    <n v="19"/>
    <s v="Uttar Pradesh"/>
    <n v="1"/>
    <n v="2"/>
    <n v="3718"/>
    <s v="Paid"/>
    <s v="Not an Outliers"/>
    <x v="1"/>
  </r>
  <r>
    <d v="2024-08-18T00:00:00"/>
    <s v="Sheetala Mata Road"/>
    <s v="Bike"/>
    <x v="5"/>
    <n v="5427"/>
    <b v="0"/>
    <x v="1"/>
    <s v="Afternoon"/>
    <s v="Wet"/>
    <s v="50+"/>
    <n v="0"/>
    <s v="High"/>
    <s v="Expired"/>
    <b v="0"/>
    <n v="73"/>
    <s v="Haryana"/>
    <n v="3"/>
    <n v="3"/>
    <n v="2836"/>
    <s v="Paid"/>
    <s v="Not an Outliers"/>
    <x v="1"/>
  </r>
  <r>
    <d v="2024-08-18T00:00:00"/>
    <s v="NH-8"/>
    <s v="Bike"/>
    <x v="4"/>
    <n v="7914"/>
    <b v="0"/>
    <x v="3"/>
    <s v="Evening"/>
    <s v="Wet"/>
    <s v="50+"/>
    <n v="1"/>
    <s v="Medium"/>
    <s v="Expired"/>
    <b v="0"/>
    <n v="49"/>
    <s v="Haryana"/>
    <n v="1"/>
    <n v="3"/>
    <n v="3971"/>
    <s v="Disputed"/>
    <s v="Not an Outliers"/>
    <x v="1"/>
  </r>
  <r>
    <d v="2024-08-18T00:00:00"/>
    <s v="Huda City Center"/>
    <s v="Bike"/>
    <x v="2"/>
    <n v="3038"/>
    <b v="0"/>
    <x v="1"/>
    <s v="Evening"/>
    <s v="Under Construction"/>
    <s v="36-50"/>
    <n v="0"/>
    <s v="Low"/>
    <s v="Valid"/>
    <b v="0"/>
    <n v="98"/>
    <s v="Uttar Pradesh"/>
    <n v="9"/>
    <n v="3"/>
    <n v="2347"/>
    <s v="Disputed"/>
    <s v="Not an Outliers"/>
    <x v="1"/>
  </r>
  <r>
    <d v="2024-08-19T00:00:00"/>
    <s v="MG Road"/>
    <s v="Bike"/>
    <x v="5"/>
    <n v="2310"/>
    <b v="1"/>
    <x v="3"/>
    <s v="Afternoon"/>
    <s v="Dry"/>
    <s v="26-35"/>
    <n v="1"/>
    <s v="High"/>
    <s v="Learner"/>
    <b v="0"/>
    <n v="48"/>
    <s v="Uttar Pradesh"/>
    <n v="2"/>
    <n v="3"/>
    <n v="2028"/>
    <s v="Paid"/>
    <s v="Not an Outliers"/>
    <x v="0"/>
  </r>
  <r>
    <d v="2024-08-19T00:00:00"/>
    <s v="Sikanderpur"/>
    <s v="Auto-rickshaw"/>
    <x v="5"/>
    <n v="6564"/>
    <b v="1"/>
    <x v="4"/>
    <s v="Evening"/>
    <s v="Dry"/>
    <s v="18-25"/>
    <n v="1"/>
    <s v="High"/>
    <s v="Expired"/>
    <b v="0"/>
    <n v="73"/>
    <s v="Punjab"/>
    <n v="8"/>
    <n v="2"/>
    <n v="4688"/>
    <s v="Unpaid"/>
    <s v="Not an Outliers"/>
    <x v="0"/>
  </r>
  <r>
    <d v="2024-08-19T00:00:00"/>
    <s v="Rajiv Chowk"/>
    <s v="Bus"/>
    <x v="2"/>
    <n v="2046"/>
    <b v="0"/>
    <x v="0"/>
    <s v="Morning"/>
    <s v="Under Construction"/>
    <s v="36-50"/>
    <n v="2"/>
    <s v="Medium"/>
    <s v="Valid"/>
    <b v="0"/>
    <n v="34"/>
    <s v="Delhi"/>
    <n v="5"/>
    <n v="2"/>
    <n v="578"/>
    <s v="Disputed"/>
    <s v="Not an Outliers"/>
    <x v="0"/>
  </r>
  <r>
    <d v="2024-08-19T00:00:00"/>
    <s v="Sector 56"/>
    <s v="Car"/>
    <x v="3"/>
    <n v="4860"/>
    <b v="1"/>
    <x v="0"/>
    <s v="Evening"/>
    <s v="Wet"/>
    <s v="26-35"/>
    <n v="0"/>
    <s v="High"/>
    <s v="Suspended"/>
    <b v="0"/>
    <n v="99"/>
    <s v="Delhi"/>
    <n v="3"/>
    <n v="1"/>
    <n v="4296"/>
    <s v="Paid"/>
    <s v="Not an Outliers"/>
    <x v="0"/>
  </r>
  <r>
    <d v="2024-08-19T00:00:00"/>
    <s v="MG Road"/>
    <s v="Bus"/>
    <x v="5"/>
    <n v="3804"/>
    <b v="1"/>
    <x v="2"/>
    <s v="Morning"/>
    <s v="Wet"/>
    <s v="50+"/>
    <n v="3"/>
    <s v="High"/>
    <s v="Valid"/>
    <b v="0"/>
    <n v="94"/>
    <s v="Haryana"/>
    <n v="8"/>
    <n v="1"/>
    <n v="1418"/>
    <s v="Paid"/>
    <s v="Not an Outliers"/>
    <x v="0"/>
  </r>
  <r>
    <d v="2024-08-20T00:00:00"/>
    <s v="Sohna Road near Iris Tech Park"/>
    <s v="Car"/>
    <x v="3"/>
    <n v="2787"/>
    <b v="0"/>
    <x v="2"/>
    <s v="Morning"/>
    <s v="Dry"/>
    <s v="18-25"/>
    <n v="3"/>
    <s v="Low"/>
    <s v="Valid"/>
    <b v="0"/>
    <n v="43"/>
    <s v="Punjab"/>
    <n v="1"/>
    <n v="3"/>
    <n v="3981"/>
    <s v="Paid"/>
    <s v="Not an Outliers"/>
    <x v="0"/>
  </r>
  <r>
    <d v="2024-08-21T00:00:00"/>
    <s v="Manesar Toll"/>
    <s v="Car"/>
    <x v="5"/>
    <n v="5249"/>
    <b v="1"/>
    <x v="2"/>
    <s v="Afternoon"/>
    <s v="Under Construction"/>
    <s v="50+"/>
    <n v="0"/>
    <s v="Low"/>
    <s v="Suspended"/>
    <b v="1"/>
    <n v="15"/>
    <s v="Punjab"/>
    <n v="6"/>
    <n v="2"/>
    <n v="2071"/>
    <s v="Disputed"/>
    <s v="Not an Outliers"/>
    <x v="0"/>
  </r>
  <r>
    <d v="2024-08-21T00:00:00"/>
    <s v="Sikanderpur"/>
    <s v="Bus"/>
    <x v="5"/>
    <n v="7400"/>
    <b v="0"/>
    <x v="2"/>
    <s v="Morning"/>
    <s v="Under Construction"/>
    <s v="50+"/>
    <n v="4"/>
    <s v="Medium"/>
    <s v="Valid"/>
    <b v="0"/>
    <n v="117"/>
    <s v="Delhi"/>
    <n v="7"/>
    <n v="1"/>
    <n v="3905"/>
    <s v="Unpaid"/>
    <s v="Not an Outliers"/>
    <x v="0"/>
  </r>
  <r>
    <d v="2024-08-22T00:00:00"/>
    <s v="Sector 56"/>
    <s v="Bike"/>
    <x v="4"/>
    <n v="6310"/>
    <b v="0"/>
    <x v="2"/>
    <s v="Night"/>
    <s v="Slippery"/>
    <s v="26-35"/>
    <n v="3"/>
    <s v="High"/>
    <s v="Suspended"/>
    <b v="1"/>
    <n v="96"/>
    <s v="Delhi"/>
    <n v="1"/>
    <n v="3"/>
    <n v="1531"/>
    <s v="Paid"/>
    <s v="Not an Outliers"/>
    <x v="0"/>
  </r>
  <r>
    <d v="2024-08-22T00:00:00"/>
    <s v="Golf Course Road"/>
    <s v="Auto-rickshaw"/>
    <x v="4"/>
    <n v="5364"/>
    <b v="0"/>
    <x v="3"/>
    <s v="Night"/>
    <s v="Wet"/>
    <s v="36-50"/>
    <n v="5"/>
    <s v="Low"/>
    <s v="Expired"/>
    <b v="0"/>
    <n v="117"/>
    <s v="Uttar Pradesh"/>
    <n v="2"/>
    <n v="3"/>
    <n v="1275"/>
    <s v="Disputed"/>
    <s v="Not an Outliers"/>
    <x v="0"/>
  </r>
  <r>
    <d v="2024-08-22T00:00:00"/>
    <s v="Cyber City"/>
    <s v="Bike"/>
    <x v="2"/>
    <n v="2681"/>
    <b v="0"/>
    <x v="4"/>
    <s v="Afternoon"/>
    <s v="Under Construction"/>
    <s v="26-35"/>
    <n v="0"/>
    <s v="Medium"/>
    <s v="Valid"/>
    <b v="0"/>
    <n v="73"/>
    <s v="Haryana"/>
    <n v="7"/>
    <n v="3"/>
    <n v="3080"/>
    <s v="Unpaid"/>
    <s v="Not an Outliers"/>
    <x v="0"/>
  </r>
  <r>
    <d v="2024-08-22T00:00:00"/>
    <s v="Sohna Road near Iris Tech Park"/>
    <s v="Auto-rickshaw"/>
    <x v="3"/>
    <n v="3835"/>
    <b v="0"/>
    <x v="4"/>
    <s v="Morning"/>
    <s v="Dry"/>
    <s v="36-50"/>
    <n v="2"/>
    <s v="High"/>
    <s v="Valid"/>
    <b v="0"/>
    <n v="54"/>
    <s v="Punjab"/>
    <n v="1"/>
    <n v="2"/>
    <n v="4284"/>
    <s v="Unpaid"/>
    <s v="Not an Outliers"/>
    <x v="0"/>
  </r>
  <r>
    <d v="2024-08-23T00:00:00"/>
    <s v="Huda City Center"/>
    <s v="Truck"/>
    <x v="4"/>
    <n v="5954"/>
    <b v="0"/>
    <x v="0"/>
    <s v="Morning"/>
    <s v="Wet"/>
    <s v="18-25"/>
    <n v="4"/>
    <s v="High"/>
    <s v="Suspended"/>
    <b v="0"/>
    <n v="53"/>
    <s v="Uttar Pradesh"/>
    <n v="3"/>
    <n v="2"/>
    <n v="2679"/>
    <s v="Paid"/>
    <s v="Not an Outliers"/>
    <x v="0"/>
  </r>
  <r>
    <d v="2024-08-23T00:00:00"/>
    <s v="Signature Tower Chowk"/>
    <s v="Car"/>
    <x v="5"/>
    <n v="4790"/>
    <b v="0"/>
    <x v="2"/>
    <s v="Morning"/>
    <s v="Slippery"/>
    <s v="36-50"/>
    <n v="0"/>
    <s v="Low"/>
    <s v="Expired"/>
    <b v="1"/>
    <n v="17"/>
    <s v="Punjab"/>
    <n v="10"/>
    <n v="2"/>
    <n v="2478"/>
    <s v="Unpaid"/>
    <s v="Not an Outliers"/>
    <x v="0"/>
  </r>
  <r>
    <d v="2024-08-23T00:00:00"/>
    <s v="Udyog Vihar"/>
    <s v="Bike"/>
    <x v="0"/>
    <n v="1000"/>
    <b v="1"/>
    <x v="1"/>
    <s v="Evening"/>
    <s v="Slippery"/>
    <s v="36-50"/>
    <n v="2"/>
    <s v="Low"/>
    <s v="Valid"/>
    <b v="1"/>
    <n v="56"/>
    <s v="Uttar Pradesh"/>
    <n v="3"/>
    <n v="1"/>
    <n v="4960"/>
    <s v="Disputed"/>
    <s v="Not an Outliers"/>
    <x v="0"/>
  </r>
  <r>
    <d v="2024-08-24T00:00:00"/>
    <s v="Sikanderpur"/>
    <s v="Car"/>
    <x v="1"/>
    <n v="1000"/>
    <b v="1"/>
    <x v="0"/>
    <s v="Morning"/>
    <s v="Slippery"/>
    <s v="18-25"/>
    <n v="4"/>
    <s v="Medium"/>
    <s v="Suspended"/>
    <b v="1"/>
    <n v="28"/>
    <s v="Uttar Pradesh"/>
    <n v="7"/>
    <n v="2"/>
    <n v="4805"/>
    <s v="Disputed"/>
    <s v="Not an Outliers"/>
    <x v="1"/>
  </r>
  <r>
    <d v="2024-08-24T00:00:00"/>
    <s v="IFFCO Chowk"/>
    <s v="Bus"/>
    <x v="4"/>
    <n v="9709"/>
    <b v="0"/>
    <x v="1"/>
    <s v="Evening"/>
    <s v="Wet"/>
    <s v="26-35"/>
    <n v="4"/>
    <s v="Low"/>
    <s v="Expired"/>
    <b v="1"/>
    <n v="37"/>
    <s v="Delhi"/>
    <n v="5"/>
    <n v="1"/>
    <n v="2401"/>
    <s v="Disputed"/>
    <s v="Not an Outliers"/>
    <x v="1"/>
  </r>
  <r>
    <d v="2024-08-24T00:00:00"/>
    <s v="Sohna Road near Iris Tech Park"/>
    <s v="Auto-rickshaw"/>
    <x v="3"/>
    <n v="3421"/>
    <b v="0"/>
    <x v="1"/>
    <s v="Night"/>
    <s v="Wet"/>
    <s v="50+"/>
    <n v="0"/>
    <s v="Low"/>
    <s v="Suspended"/>
    <b v="0"/>
    <n v="76"/>
    <s v="Uttar Pradesh"/>
    <n v="3"/>
    <n v="1"/>
    <n v="1525"/>
    <s v="Paid"/>
    <s v="Not an Outliers"/>
    <x v="1"/>
  </r>
  <r>
    <d v="2024-08-25T00:00:00"/>
    <s v="Golf Course Road"/>
    <s v="Bus"/>
    <x v="2"/>
    <n v="2829"/>
    <b v="1"/>
    <x v="2"/>
    <s v="Morning"/>
    <s v="Slippery"/>
    <s v="18-25"/>
    <n v="1"/>
    <s v="High"/>
    <s v="Expired"/>
    <b v="1"/>
    <n v="80"/>
    <s v="Rajasthan"/>
    <n v="10"/>
    <n v="3"/>
    <n v="1847"/>
    <s v="Unpaid"/>
    <s v="Not an Outliers"/>
    <x v="1"/>
  </r>
  <r>
    <d v="2024-08-25T00:00:00"/>
    <s v="Sohna Road near Iris Tech Park"/>
    <s v="Bus"/>
    <x v="5"/>
    <n v="6029"/>
    <b v="1"/>
    <x v="3"/>
    <s v="Morning"/>
    <s v="Under Construction"/>
    <s v="50+"/>
    <n v="0"/>
    <s v="High"/>
    <s v="Expired"/>
    <b v="0"/>
    <n v="79"/>
    <s v="Rajasthan"/>
    <n v="9"/>
    <n v="2"/>
    <n v="2066"/>
    <s v="Disputed"/>
    <s v="Not an Outliers"/>
    <x v="1"/>
  </r>
  <r>
    <d v="2024-08-25T00:00:00"/>
    <s v="Manesar Toll"/>
    <s v="Truck"/>
    <x v="3"/>
    <n v="2782"/>
    <b v="0"/>
    <x v="3"/>
    <s v="Night"/>
    <s v="Under Construction"/>
    <s v="36-50"/>
    <n v="3"/>
    <s v="Medium"/>
    <s v="Learner"/>
    <b v="1"/>
    <n v="120"/>
    <s v="Delhi"/>
    <n v="6"/>
    <n v="2"/>
    <n v="3927"/>
    <s v="Disputed"/>
    <s v="Not an Outliers"/>
    <x v="1"/>
  </r>
  <r>
    <d v="2024-08-25T00:00:00"/>
    <s v="Udyog Vihar"/>
    <s v="Truck"/>
    <x v="1"/>
    <n v="1000"/>
    <b v="1"/>
    <x v="0"/>
    <s v="Night"/>
    <s v="Under Construction"/>
    <s v="36-50"/>
    <n v="4"/>
    <s v="Medium"/>
    <s v="Learner"/>
    <b v="1"/>
    <n v="56"/>
    <s v="Haryana"/>
    <n v="7"/>
    <n v="1"/>
    <n v="3804"/>
    <s v="Unpaid"/>
    <s v="Not an Outliers"/>
    <x v="1"/>
  </r>
  <r>
    <d v="2024-08-26T00:00:00"/>
    <s v="Huda City Center"/>
    <s v="Truck"/>
    <x v="4"/>
    <n v="5725"/>
    <b v="0"/>
    <x v="0"/>
    <s v="Morning"/>
    <s v="Dry"/>
    <s v="36-50"/>
    <n v="5"/>
    <s v="Medium"/>
    <s v="Suspended"/>
    <b v="0"/>
    <n v="37"/>
    <s v="Uttar Pradesh"/>
    <n v="7"/>
    <n v="2"/>
    <n v="2482"/>
    <s v="Paid"/>
    <s v="Not an Outliers"/>
    <x v="0"/>
  </r>
  <r>
    <d v="2024-08-26T00:00:00"/>
    <s v="Sheetala Mata Road"/>
    <s v="Bus"/>
    <x v="4"/>
    <n v="8706"/>
    <b v="1"/>
    <x v="3"/>
    <s v="Evening"/>
    <s v="Under Construction"/>
    <s v="36-50"/>
    <n v="6"/>
    <s v="Medium"/>
    <s v="Valid"/>
    <b v="0"/>
    <n v="117"/>
    <s v="Haryana"/>
    <n v="6"/>
    <n v="3"/>
    <n v="3613"/>
    <s v="Disputed"/>
    <s v="Not an Outliers"/>
    <x v="0"/>
  </r>
  <r>
    <d v="2024-08-26T00:00:00"/>
    <s v="NH-8"/>
    <s v="Car"/>
    <x v="3"/>
    <n v="3811"/>
    <b v="0"/>
    <x v="4"/>
    <s v="Afternoon"/>
    <s v="Slippery"/>
    <s v="26-35"/>
    <n v="1"/>
    <s v="Medium"/>
    <s v="Expired"/>
    <b v="1"/>
    <n v="9"/>
    <s v="Uttar Pradesh"/>
    <n v="8"/>
    <n v="1"/>
    <n v="2593"/>
    <s v="Paid"/>
    <s v="Not an Outliers"/>
    <x v="0"/>
  </r>
  <r>
    <d v="2024-08-27T00:00:00"/>
    <s v="Golf Course Road"/>
    <s v="Auto-rickshaw"/>
    <x v="4"/>
    <n v="8878"/>
    <b v="0"/>
    <x v="2"/>
    <s v="Morning"/>
    <s v="Dry"/>
    <s v="50+"/>
    <n v="1"/>
    <s v="Low"/>
    <s v="Suspended"/>
    <b v="0"/>
    <n v="36"/>
    <s v="Punjab"/>
    <n v="3"/>
    <n v="3"/>
    <n v="3456"/>
    <s v="Disputed"/>
    <s v="Not an Outliers"/>
    <x v="0"/>
  </r>
  <r>
    <d v="2024-08-27T00:00:00"/>
    <s v="Manesar Toll"/>
    <s v="Car"/>
    <x v="4"/>
    <n v="9535"/>
    <b v="1"/>
    <x v="3"/>
    <s v="Night"/>
    <s v="Under Construction"/>
    <s v="26-35"/>
    <n v="3"/>
    <s v="Low"/>
    <s v="Expired"/>
    <b v="1"/>
    <n v="2"/>
    <s v="Uttar Pradesh"/>
    <n v="10"/>
    <n v="2"/>
    <n v="1265"/>
    <s v="Disputed"/>
    <s v="Not an Outliers"/>
    <x v="0"/>
  </r>
  <r>
    <d v="2024-08-27T00:00:00"/>
    <s v="Sikanderpur"/>
    <s v="Bike"/>
    <x v="2"/>
    <n v="1442"/>
    <b v="0"/>
    <x v="0"/>
    <s v="Night"/>
    <s v="Wet"/>
    <s v="36-50"/>
    <n v="1"/>
    <s v="Medium"/>
    <s v="Valid"/>
    <b v="0"/>
    <n v="44"/>
    <s v="Uttar Pradesh"/>
    <n v="6"/>
    <n v="2"/>
    <n v="2889"/>
    <s v="Disputed"/>
    <s v="Not an Outliers"/>
    <x v="0"/>
  </r>
  <r>
    <d v="2024-08-27T00:00:00"/>
    <s v="Sector 56"/>
    <s v="Bike"/>
    <x v="0"/>
    <n v="1000"/>
    <b v="0"/>
    <x v="0"/>
    <s v="Evening"/>
    <s v="Under Construction"/>
    <s v="18-25"/>
    <n v="2"/>
    <s v="High"/>
    <s v="Learner"/>
    <b v="0"/>
    <n v="15"/>
    <s v="Punjab"/>
    <n v="6"/>
    <n v="1"/>
    <n v="1136"/>
    <s v="Paid"/>
    <s v="Not an Outliers"/>
    <x v="0"/>
  </r>
  <r>
    <d v="2024-08-28T00:00:00"/>
    <s v="Golf Course Road"/>
    <s v="Truck"/>
    <x v="3"/>
    <n v="2668"/>
    <b v="1"/>
    <x v="0"/>
    <s v="Evening"/>
    <s v="Under Construction"/>
    <s v="50+"/>
    <n v="1"/>
    <s v="Low"/>
    <s v="Expired"/>
    <b v="0"/>
    <n v="65"/>
    <s v="Delhi"/>
    <n v="7"/>
    <n v="1"/>
    <n v="4002"/>
    <s v="Unpaid"/>
    <s v="Not an Outliers"/>
    <x v="0"/>
  </r>
  <r>
    <d v="2024-08-28T00:00:00"/>
    <s v="IFFCO Chowk"/>
    <s v="Bus"/>
    <x v="1"/>
    <n v="1000"/>
    <b v="0"/>
    <x v="0"/>
    <s v="Morning"/>
    <s v="Dry"/>
    <s v="36-50"/>
    <n v="1"/>
    <s v="High"/>
    <s v="Expired"/>
    <b v="1"/>
    <n v="97"/>
    <s v="Punjab"/>
    <n v="7"/>
    <n v="3"/>
    <n v="2259"/>
    <s v="Paid"/>
    <s v="Not an Outliers"/>
    <x v="0"/>
  </r>
  <r>
    <d v="2024-09-01T00:00:00"/>
    <s v="NH-8"/>
    <s v="Bike"/>
    <x v="0"/>
    <n v="1000"/>
    <b v="1"/>
    <x v="4"/>
    <s v="Afternoon"/>
    <s v="Dry"/>
    <s v="50+"/>
    <n v="1"/>
    <s v="Medium"/>
    <s v="Valid"/>
    <b v="1"/>
    <n v="47"/>
    <s v="Delhi"/>
    <n v="3"/>
    <n v="1"/>
    <n v="3215"/>
    <s v="Paid"/>
    <s v="Not an Outliers"/>
    <x v="1"/>
  </r>
  <r>
    <d v="2024-09-01T00:00:00"/>
    <s v="MG Road"/>
    <s v="Auto-rickshaw"/>
    <x v="3"/>
    <n v="2271"/>
    <b v="0"/>
    <x v="3"/>
    <s v="Morning"/>
    <s v="Dry"/>
    <s v="50+"/>
    <n v="0"/>
    <s v="Medium"/>
    <s v="Learner"/>
    <b v="0"/>
    <n v="103"/>
    <s v="Haryana"/>
    <n v="7"/>
    <n v="2"/>
    <n v="1459"/>
    <s v="Unpaid"/>
    <s v="Not an Outliers"/>
    <x v="1"/>
  </r>
  <r>
    <d v="2024-09-01T00:00:00"/>
    <s v="Sohna Road near Iris Tech Park"/>
    <s v="Bike"/>
    <x v="0"/>
    <n v="1000"/>
    <b v="1"/>
    <x v="1"/>
    <s v="Afternoon"/>
    <s v="Dry"/>
    <s v="50+"/>
    <n v="2"/>
    <s v="High"/>
    <s v="Suspended"/>
    <b v="1"/>
    <n v="101"/>
    <s v="Delhi"/>
    <n v="7"/>
    <n v="1"/>
    <n v="704"/>
    <s v="Disputed"/>
    <s v="Not an Outliers"/>
    <x v="1"/>
  </r>
  <r>
    <d v="2024-09-02T00:00:00"/>
    <s v="Sheetala Mata Road"/>
    <s v="Car"/>
    <x v="2"/>
    <n v="4677"/>
    <b v="0"/>
    <x v="0"/>
    <s v="Evening"/>
    <s v="Under Construction"/>
    <s v="26-35"/>
    <n v="4"/>
    <s v="High"/>
    <s v="Expired"/>
    <b v="0"/>
    <n v="65"/>
    <s v="Punjab"/>
    <n v="4"/>
    <n v="2"/>
    <n v="4249"/>
    <s v="Paid"/>
    <s v="Not an Outliers"/>
    <x v="0"/>
  </r>
  <r>
    <d v="2024-09-03T00:00:00"/>
    <s v="Sector 56"/>
    <s v="Auto-rickshaw"/>
    <x v="4"/>
    <n v="5501"/>
    <b v="0"/>
    <x v="0"/>
    <s v="Night"/>
    <s v="Under Construction"/>
    <s v="50+"/>
    <n v="0"/>
    <s v="High"/>
    <s v="Learner"/>
    <b v="1"/>
    <n v="98"/>
    <s v="Delhi"/>
    <n v="4"/>
    <n v="2"/>
    <n v="3634"/>
    <s v="Disputed"/>
    <s v="Not an Outliers"/>
    <x v="0"/>
  </r>
  <r>
    <d v="2024-09-05T00:00:00"/>
    <s v="Manesar Toll"/>
    <s v="Bus"/>
    <x v="1"/>
    <n v="1000"/>
    <b v="0"/>
    <x v="1"/>
    <s v="Morning"/>
    <s v="Slippery"/>
    <s v="50+"/>
    <n v="5"/>
    <s v="High"/>
    <s v="Suspended"/>
    <b v="1"/>
    <n v="60"/>
    <s v="Punjab"/>
    <n v="4"/>
    <n v="2"/>
    <n v="2841"/>
    <s v="Disputed"/>
    <s v="Not an Outliers"/>
    <x v="0"/>
  </r>
  <r>
    <d v="2024-09-05T00:00:00"/>
    <s v="Sohna Road near Iris Tech Park"/>
    <s v="Car"/>
    <x v="1"/>
    <n v="1000"/>
    <b v="0"/>
    <x v="0"/>
    <s v="Morning"/>
    <s v="Dry"/>
    <s v="18-25"/>
    <n v="2"/>
    <s v="Medium"/>
    <s v="Valid"/>
    <b v="1"/>
    <n v="50"/>
    <s v="Uttar Pradesh"/>
    <n v="5"/>
    <n v="3"/>
    <n v="576"/>
    <s v="Unpaid"/>
    <s v="Not an Outliers"/>
    <x v="0"/>
  </r>
  <r>
    <d v="2024-09-06T00:00:00"/>
    <s v="Sector 29"/>
    <s v="Bus"/>
    <x v="1"/>
    <n v="1000"/>
    <b v="0"/>
    <x v="0"/>
    <s v="Night"/>
    <s v="Dry"/>
    <s v="18-25"/>
    <n v="5"/>
    <s v="Medium"/>
    <s v="Valid"/>
    <b v="0"/>
    <n v="23"/>
    <s v="Punjab"/>
    <n v="5"/>
    <n v="2"/>
    <n v="4578"/>
    <s v="Disputed"/>
    <s v="Not an Outliers"/>
    <x v="0"/>
  </r>
  <r>
    <d v="2024-09-06T00:00:00"/>
    <s v="Cyber City"/>
    <s v="Truck"/>
    <x v="2"/>
    <n v="1863"/>
    <b v="0"/>
    <x v="3"/>
    <s v="Morning"/>
    <s v="Under Construction"/>
    <s v="26-35"/>
    <n v="3"/>
    <s v="Low"/>
    <s v="Suspended"/>
    <b v="0"/>
    <n v="94"/>
    <s v="Uttar Pradesh"/>
    <n v="3"/>
    <n v="1"/>
    <n v="675"/>
    <s v="Paid"/>
    <s v="Not an Outliers"/>
    <x v="0"/>
  </r>
  <r>
    <d v="2024-09-06T00:00:00"/>
    <s v="Udyog Vihar"/>
    <s v="Bus"/>
    <x v="5"/>
    <n v="6988"/>
    <b v="0"/>
    <x v="4"/>
    <s v="Night"/>
    <s v="Slippery"/>
    <s v="18-25"/>
    <n v="5"/>
    <s v="Medium"/>
    <s v="Expired"/>
    <b v="1"/>
    <n v="32"/>
    <s v="Uttar Pradesh"/>
    <n v="9"/>
    <n v="2"/>
    <n v="3279"/>
    <s v="Disputed"/>
    <s v="Not an Outliers"/>
    <x v="0"/>
  </r>
  <r>
    <d v="2024-09-07T00:00:00"/>
    <s v="Rajiv Chowk"/>
    <s v="Bike"/>
    <x v="0"/>
    <n v="1000"/>
    <b v="0"/>
    <x v="1"/>
    <s v="Morning"/>
    <s v="Wet"/>
    <s v="50+"/>
    <n v="3"/>
    <s v="High"/>
    <s v="Learner"/>
    <b v="1"/>
    <n v="31"/>
    <s v="Delhi"/>
    <n v="10"/>
    <n v="1"/>
    <n v="1223"/>
    <s v="Disputed"/>
    <s v="Not an Outliers"/>
    <x v="1"/>
  </r>
  <r>
    <d v="2024-09-07T00:00:00"/>
    <s v="Sikanderpur"/>
    <s v="Car"/>
    <x v="1"/>
    <n v="1000"/>
    <b v="0"/>
    <x v="1"/>
    <s v="Morning"/>
    <s v="Wet"/>
    <s v="18-25"/>
    <n v="3"/>
    <s v="Medium"/>
    <s v="Expired"/>
    <b v="1"/>
    <n v="101"/>
    <s v="Uttar Pradesh"/>
    <n v="7"/>
    <n v="2"/>
    <n v="4506"/>
    <s v="Paid"/>
    <s v="Not an Outliers"/>
    <x v="1"/>
  </r>
  <r>
    <d v="2024-09-07T00:00:00"/>
    <s v="Manesar Toll"/>
    <s v="Auto-rickshaw"/>
    <x v="2"/>
    <n v="2177"/>
    <b v="0"/>
    <x v="3"/>
    <s v="Night"/>
    <s v="Under Construction"/>
    <s v="36-50"/>
    <n v="4"/>
    <s v="Low"/>
    <s v="Learner"/>
    <b v="0"/>
    <n v="70"/>
    <s v="Punjab"/>
    <n v="6"/>
    <n v="1"/>
    <n v="3295"/>
    <s v="Paid"/>
    <s v="Not an Outliers"/>
    <x v="1"/>
  </r>
  <r>
    <d v="2024-09-07T00:00:00"/>
    <s v="Sikanderpur"/>
    <s v="Truck"/>
    <x v="4"/>
    <n v="6186"/>
    <b v="1"/>
    <x v="3"/>
    <s v="Night"/>
    <s v="Dry"/>
    <s v="36-50"/>
    <n v="4"/>
    <s v="High"/>
    <s v="Suspended"/>
    <b v="0"/>
    <n v="91"/>
    <s v="Haryana"/>
    <n v="1"/>
    <n v="1"/>
    <n v="1230"/>
    <s v="Unpaid"/>
    <s v="Not an Outliers"/>
    <x v="1"/>
  </r>
  <r>
    <d v="2024-09-07T00:00:00"/>
    <s v="IFFCO Chowk"/>
    <s v="Bus"/>
    <x v="1"/>
    <n v="1000"/>
    <b v="0"/>
    <x v="4"/>
    <s v="Night"/>
    <s v="Slippery"/>
    <s v="36-50"/>
    <n v="1"/>
    <s v="Low"/>
    <s v="Learner"/>
    <b v="0"/>
    <n v="104"/>
    <s v="Uttar Pradesh"/>
    <n v="5"/>
    <n v="1"/>
    <n v="4767"/>
    <s v="Unpaid"/>
    <s v="Not an Outliers"/>
    <x v="1"/>
  </r>
  <r>
    <d v="2024-09-07T00:00:00"/>
    <s v="Sikanderpur"/>
    <s v="Auto-rickshaw"/>
    <x v="3"/>
    <n v="3215"/>
    <b v="0"/>
    <x v="0"/>
    <s v="Evening"/>
    <s v="Slippery"/>
    <s v="26-35"/>
    <n v="0"/>
    <s v="Low"/>
    <s v="Learner"/>
    <b v="0"/>
    <n v="89"/>
    <s v="Haryana"/>
    <n v="6"/>
    <n v="2"/>
    <n v="4129"/>
    <s v="Paid"/>
    <s v="Not an Outliers"/>
    <x v="1"/>
  </r>
  <r>
    <d v="2024-09-07T00:00:00"/>
    <s v="Manesar Toll"/>
    <s v="Bus"/>
    <x v="3"/>
    <n v="2201"/>
    <b v="0"/>
    <x v="0"/>
    <s v="Night"/>
    <s v="Wet"/>
    <s v="26-35"/>
    <n v="4"/>
    <s v="Low"/>
    <s v="Expired"/>
    <b v="0"/>
    <n v="42"/>
    <s v="Rajasthan"/>
    <n v="10"/>
    <n v="1"/>
    <n v="1154"/>
    <s v="Paid"/>
    <s v="Not an Outliers"/>
    <x v="1"/>
  </r>
  <r>
    <d v="2024-09-07T00:00:00"/>
    <s v="Huda City Center"/>
    <s v="Bike"/>
    <x v="2"/>
    <n v="4337"/>
    <b v="0"/>
    <x v="0"/>
    <s v="Morning"/>
    <s v="Under Construction"/>
    <s v="26-35"/>
    <n v="4"/>
    <s v="Medium"/>
    <s v="Learner"/>
    <b v="1"/>
    <n v="57"/>
    <s v="Punjab"/>
    <n v="8"/>
    <n v="1"/>
    <n v="4162"/>
    <s v="Unpaid"/>
    <s v="Not an Outliers"/>
    <x v="1"/>
  </r>
  <r>
    <d v="2024-09-08T00:00:00"/>
    <s v="Sohna Road near Iris Tech Park"/>
    <s v="Auto-rickshaw"/>
    <x v="1"/>
    <n v="1000"/>
    <b v="1"/>
    <x v="0"/>
    <s v="Morning"/>
    <s v="Wet"/>
    <s v="36-50"/>
    <n v="4"/>
    <s v="High"/>
    <s v="Suspended"/>
    <b v="1"/>
    <n v="101"/>
    <s v="Haryana"/>
    <n v="1"/>
    <n v="3"/>
    <n v="2076"/>
    <s v="Unpaid"/>
    <s v="Not an Outliers"/>
    <x v="1"/>
  </r>
  <r>
    <d v="2024-09-08T00:00:00"/>
    <s v="Huda City Center"/>
    <s v="Auto-rickshaw"/>
    <x v="1"/>
    <n v="1000"/>
    <b v="0"/>
    <x v="0"/>
    <s v="Night"/>
    <s v="Dry"/>
    <s v="26-35"/>
    <n v="1"/>
    <s v="Medium"/>
    <s v="Expired"/>
    <b v="0"/>
    <n v="103"/>
    <s v="Rajasthan"/>
    <n v="4"/>
    <n v="2"/>
    <n v="2884"/>
    <s v="Paid"/>
    <s v="Not an Outliers"/>
    <x v="1"/>
  </r>
  <r>
    <d v="2024-09-08T00:00:00"/>
    <s v="Sikanderpur"/>
    <s v="Auto-rickshaw"/>
    <x v="5"/>
    <n v="2907"/>
    <b v="0"/>
    <x v="2"/>
    <s v="Afternoon"/>
    <s v="Dry"/>
    <s v="50+"/>
    <n v="0"/>
    <s v="Low"/>
    <s v="Learner"/>
    <b v="1"/>
    <n v="6"/>
    <s v="Haryana"/>
    <n v="9"/>
    <n v="1"/>
    <n v="4702"/>
    <s v="Unpaid"/>
    <s v="Not an Outliers"/>
    <x v="1"/>
  </r>
  <r>
    <d v="2024-09-09T00:00:00"/>
    <s v="Rajiv Chowk"/>
    <s v="Car"/>
    <x v="1"/>
    <n v="1000"/>
    <b v="0"/>
    <x v="3"/>
    <s v="Night"/>
    <s v="Wet"/>
    <s v="18-25"/>
    <n v="1"/>
    <s v="High"/>
    <s v="Suspended"/>
    <b v="0"/>
    <n v="1"/>
    <s v="Haryana"/>
    <n v="1"/>
    <n v="3"/>
    <n v="1203"/>
    <s v="Paid"/>
    <s v="Not an Outliers"/>
    <x v="0"/>
  </r>
  <r>
    <d v="2024-09-10T00:00:00"/>
    <s v="MG Road"/>
    <s v="Auto-rickshaw"/>
    <x v="1"/>
    <n v="1000"/>
    <b v="0"/>
    <x v="0"/>
    <s v="Evening"/>
    <s v="Dry"/>
    <s v="18-25"/>
    <n v="3"/>
    <s v="Low"/>
    <s v="Valid"/>
    <b v="0"/>
    <n v="86"/>
    <s v="Punjab"/>
    <n v="8"/>
    <n v="2"/>
    <n v="768"/>
    <s v="Paid"/>
    <s v="Not an Outliers"/>
    <x v="0"/>
  </r>
  <r>
    <d v="2024-09-10T00:00:00"/>
    <s v="Sheetala Mata Road"/>
    <s v="Truck"/>
    <x v="3"/>
    <n v="4765"/>
    <b v="0"/>
    <x v="2"/>
    <s v="Morning"/>
    <s v="Wet"/>
    <s v="18-25"/>
    <n v="0"/>
    <s v="High"/>
    <s v="Learner"/>
    <b v="1"/>
    <n v="97"/>
    <s v="Delhi"/>
    <n v="9"/>
    <n v="2"/>
    <n v="2067"/>
    <s v="Unpaid"/>
    <s v="Not an Outliers"/>
    <x v="0"/>
  </r>
  <r>
    <d v="2024-09-10T00:00:00"/>
    <s v="Manesar Toll"/>
    <s v="Car"/>
    <x v="5"/>
    <n v="2417"/>
    <b v="1"/>
    <x v="2"/>
    <s v="Evening"/>
    <s v="Slippery"/>
    <s v="26-35"/>
    <n v="2"/>
    <s v="Low"/>
    <s v="Expired"/>
    <b v="0"/>
    <n v="49"/>
    <s v="Rajasthan"/>
    <n v="3"/>
    <n v="2"/>
    <n v="3996"/>
    <s v="Paid"/>
    <s v="Not an Outliers"/>
    <x v="0"/>
  </r>
  <r>
    <d v="2024-09-10T00:00:00"/>
    <s v="Sohna Road near Iris Tech Park"/>
    <s v="Car"/>
    <x v="3"/>
    <n v="4283"/>
    <b v="0"/>
    <x v="2"/>
    <s v="Night"/>
    <s v="Slippery"/>
    <s v="50+"/>
    <n v="1"/>
    <s v="Low"/>
    <s v="Learner"/>
    <b v="1"/>
    <n v="31"/>
    <s v="Haryana"/>
    <n v="1"/>
    <n v="1"/>
    <n v="2591"/>
    <s v="Paid"/>
    <s v="Not an Outliers"/>
    <x v="0"/>
  </r>
  <r>
    <d v="2024-09-11T00:00:00"/>
    <s v="Sohna Road near Iris Tech Park"/>
    <s v="Truck"/>
    <x v="5"/>
    <n v="4414"/>
    <b v="1"/>
    <x v="1"/>
    <s v="Morning"/>
    <s v="Under Construction"/>
    <s v="26-35"/>
    <n v="1"/>
    <s v="Low"/>
    <s v="Learner"/>
    <b v="0"/>
    <n v="95"/>
    <s v="Delhi"/>
    <n v="2"/>
    <n v="3"/>
    <n v="2160"/>
    <s v="Paid"/>
    <s v="Not an Outliers"/>
    <x v="0"/>
  </r>
  <r>
    <d v="2024-09-11T00:00:00"/>
    <s v="Rajiv Chowk"/>
    <s v="Auto-rickshaw"/>
    <x v="5"/>
    <n v="5187"/>
    <b v="1"/>
    <x v="0"/>
    <s v="Afternoon"/>
    <s v="Dry"/>
    <s v="50+"/>
    <n v="1"/>
    <s v="Low"/>
    <s v="Learner"/>
    <b v="0"/>
    <n v="16"/>
    <s v="Uttar Pradesh"/>
    <n v="10"/>
    <n v="2"/>
    <n v="2997"/>
    <s v="Unpaid"/>
    <s v="Not an Outliers"/>
    <x v="0"/>
  </r>
  <r>
    <d v="2024-09-11T00:00:00"/>
    <s v="Signature Tower Chowk"/>
    <s v="Truck"/>
    <x v="1"/>
    <n v="1000"/>
    <b v="0"/>
    <x v="0"/>
    <s v="Evening"/>
    <s v="Under Construction"/>
    <s v="50+"/>
    <n v="2"/>
    <s v="Low"/>
    <s v="Suspended"/>
    <b v="0"/>
    <n v="90"/>
    <s v="Punjab"/>
    <n v="2"/>
    <n v="3"/>
    <n v="2885"/>
    <s v="Paid"/>
    <s v="Not an Outliers"/>
    <x v="0"/>
  </r>
  <r>
    <d v="2024-09-11T00:00:00"/>
    <s v="MG Road"/>
    <s v="Auto-rickshaw"/>
    <x v="2"/>
    <n v="4807"/>
    <b v="0"/>
    <x v="0"/>
    <s v="Morning"/>
    <s v="Under Construction"/>
    <s v="26-35"/>
    <n v="0"/>
    <s v="Medium"/>
    <s v="Suspended"/>
    <b v="0"/>
    <n v="18"/>
    <s v="Rajasthan"/>
    <n v="8"/>
    <n v="1"/>
    <n v="2140"/>
    <s v="Disputed"/>
    <s v="Not an Outliers"/>
    <x v="0"/>
  </r>
  <r>
    <d v="2024-09-12T00:00:00"/>
    <s v="NH-8"/>
    <s v="Car"/>
    <x v="1"/>
    <n v="1000"/>
    <b v="0"/>
    <x v="3"/>
    <s v="Morning"/>
    <s v="Wet"/>
    <s v="50+"/>
    <n v="1"/>
    <s v="High"/>
    <s v="Suspended"/>
    <b v="1"/>
    <n v="114"/>
    <s v="Punjab"/>
    <n v="6"/>
    <n v="3"/>
    <n v="1618"/>
    <s v="Unpaid"/>
    <s v="Not an Outliers"/>
    <x v="0"/>
  </r>
  <r>
    <d v="2024-09-13T00:00:00"/>
    <s v="Cyber City"/>
    <s v="Bus"/>
    <x v="4"/>
    <n v="8530"/>
    <b v="0"/>
    <x v="4"/>
    <s v="Morning"/>
    <s v="Under Construction"/>
    <s v="36-50"/>
    <n v="1"/>
    <s v="Medium"/>
    <s v="Learner"/>
    <b v="1"/>
    <n v="28"/>
    <s v="Haryana"/>
    <n v="9"/>
    <n v="2"/>
    <n v="4643"/>
    <s v="Unpaid"/>
    <s v="Not an Outliers"/>
    <x v="0"/>
  </r>
  <r>
    <d v="2024-09-14T00:00:00"/>
    <s v="Golf Course Road"/>
    <s v="Bike"/>
    <x v="2"/>
    <n v="4089"/>
    <b v="0"/>
    <x v="3"/>
    <s v="Morning"/>
    <s v="Slippery"/>
    <s v="18-25"/>
    <n v="3"/>
    <s v="Medium"/>
    <s v="Valid"/>
    <b v="1"/>
    <n v="52"/>
    <s v="Haryana"/>
    <n v="10"/>
    <n v="3"/>
    <n v="2843"/>
    <s v="Paid"/>
    <s v="Not an Outliers"/>
    <x v="1"/>
  </r>
  <r>
    <d v="2024-09-14T00:00:00"/>
    <s v="IFFCO Chowk"/>
    <s v="Bus"/>
    <x v="4"/>
    <n v="7762"/>
    <b v="0"/>
    <x v="1"/>
    <s v="Morning"/>
    <s v="Slippery"/>
    <s v="26-35"/>
    <n v="2"/>
    <s v="Low"/>
    <s v="Learner"/>
    <b v="0"/>
    <n v="34"/>
    <s v="Punjab"/>
    <n v="5"/>
    <n v="2"/>
    <n v="2581"/>
    <s v="Unpaid"/>
    <s v="Not an Outliers"/>
    <x v="1"/>
  </r>
  <r>
    <d v="2024-09-14T00:00:00"/>
    <s v="Golf Course Road"/>
    <s v="Auto-rickshaw"/>
    <x v="4"/>
    <n v="9017"/>
    <b v="1"/>
    <x v="0"/>
    <s v="Night"/>
    <s v="Dry"/>
    <s v="50+"/>
    <n v="4"/>
    <s v="Medium"/>
    <s v="Learner"/>
    <b v="1"/>
    <n v="66"/>
    <s v="Delhi"/>
    <n v="1"/>
    <n v="2"/>
    <n v="3410"/>
    <s v="Paid"/>
    <s v="Not an Outliers"/>
    <x v="1"/>
  </r>
  <r>
    <d v="2024-09-14T00:00:00"/>
    <s v="NH-8"/>
    <s v="Truck"/>
    <x v="5"/>
    <n v="6926"/>
    <b v="0"/>
    <x v="1"/>
    <s v="Evening"/>
    <s v="Under Construction"/>
    <s v="36-50"/>
    <n v="3"/>
    <s v="Low"/>
    <s v="Expired"/>
    <b v="0"/>
    <n v="9"/>
    <s v="Haryana"/>
    <n v="5"/>
    <n v="1"/>
    <n v="4008"/>
    <s v="Unpaid"/>
    <s v="Not an Outliers"/>
    <x v="1"/>
  </r>
  <r>
    <d v="2024-09-14T00:00:00"/>
    <s v="IFFCO Chowk"/>
    <s v="Car"/>
    <x v="1"/>
    <n v="1000"/>
    <b v="0"/>
    <x v="4"/>
    <s v="Morning"/>
    <s v="Wet"/>
    <s v="26-35"/>
    <n v="1"/>
    <s v="High"/>
    <s v="Valid"/>
    <b v="0"/>
    <n v="120"/>
    <s v="Haryana"/>
    <n v="1"/>
    <n v="3"/>
    <n v="1797"/>
    <s v="Unpaid"/>
    <s v="Not an Outliers"/>
    <x v="1"/>
  </r>
  <r>
    <d v="2024-09-14T00:00:00"/>
    <s v="MG Road"/>
    <s v="Truck"/>
    <x v="3"/>
    <n v="3477"/>
    <b v="0"/>
    <x v="3"/>
    <s v="Evening"/>
    <s v="Under Construction"/>
    <s v="36-50"/>
    <n v="4"/>
    <s v="High"/>
    <s v="Expired"/>
    <b v="1"/>
    <n v="43"/>
    <s v="Uttar Pradesh"/>
    <n v="8"/>
    <n v="1"/>
    <n v="2887"/>
    <s v="Disputed"/>
    <s v="Not an Outliers"/>
    <x v="1"/>
  </r>
  <r>
    <d v="2024-09-15T00:00:00"/>
    <s v="Rajiv Chowk"/>
    <s v="Bike"/>
    <x v="3"/>
    <n v="4298"/>
    <b v="0"/>
    <x v="3"/>
    <s v="Evening"/>
    <s v="Wet"/>
    <s v="36-50"/>
    <n v="1"/>
    <s v="Medium"/>
    <s v="Suspended"/>
    <b v="1"/>
    <n v="55"/>
    <s v="Delhi"/>
    <n v="10"/>
    <n v="3"/>
    <n v="2028"/>
    <s v="Disputed"/>
    <s v="Not an Outliers"/>
    <x v="1"/>
  </r>
  <r>
    <d v="2024-09-15T00:00:00"/>
    <s v="Sheetala Mata Road"/>
    <s v="Auto-rickshaw"/>
    <x v="1"/>
    <n v="1000"/>
    <b v="0"/>
    <x v="2"/>
    <s v="Night"/>
    <s v="Slippery"/>
    <s v="18-25"/>
    <n v="5"/>
    <s v="High"/>
    <s v="Valid"/>
    <b v="0"/>
    <n v="77"/>
    <s v="Haryana"/>
    <n v="8"/>
    <n v="3"/>
    <n v="886"/>
    <s v="Unpaid"/>
    <s v="Not an Outliers"/>
    <x v="1"/>
  </r>
  <r>
    <d v="2024-09-15T00:00:00"/>
    <s v="Sikanderpur"/>
    <s v="Bike"/>
    <x v="0"/>
    <n v="1000"/>
    <b v="0"/>
    <x v="0"/>
    <s v="Evening"/>
    <s v="Wet"/>
    <s v="50+"/>
    <n v="2"/>
    <s v="Low"/>
    <s v="Learner"/>
    <b v="0"/>
    <n v="14"/>
    <s v="Punjab"/>
    <n v="6"/>
    <n v="3"/>
    <n v="4150"/>
    <s v="Unpaid"/>
    <s v="Not an Outliers"/>
    <x v="1"/>
  </r>
  <r>
    <d v="2024-09-15T00:00:00"/>
    <s v="Sector 29"/>
    <s v="Bike"/>
    <x v="0"/>
    <n v="1000"/>
    <b v="1"/>
    <x v="3"/>
    <s v="Night"/>
    <s v="Wet"/>
    <s v="26-35"/>
    <n v="1"/>
    <s v="Low"/>
    <s v="Expired"/>
    <b v="1"/>
    <n v="26"/>
    <s v="Rajasthan"/>
    <n v="5"/>
    <n v="2"/>
    <n v="2807"/>
    <s v="Paid"/>
    <s v="Not an Outliers"/>
    <x v="1"/>
  </r>
  <r>
    <d v="2024-09-16T00:00:00"/>
    <s v="IFFCO Chowk"/>
    <s v="Car"/>
    <x v="2"/>
    <n v="3556"/>
    <b v="0"/>
    <x v="0"/>
    <s v="Afternoon"/>
    <s v="Slippery"/>
    <s v="18-25"/>
    <n v="1"/>
    <s v="Medium"/>
    <s v="Valid"/>
    <b v="1"/>
    <n v="27"/>
    <s v="Haryana"/>
    <n v="1"/>
    <n v="3"/>
    <n v="1123"/>
    <s v="Paid"/>
    <s v="Not an Outliers"/>
    <x v="0"/>
  </r>
  <r>
    <d v="2024-09-17T00:00:00"/>
    <s v="NH-8"/>
    <s v="Truck"/>
    <x v="4"/>
    <n v="7930"/>
    <b v="1"/>
    <x v="4"/>
    <s v="Evening"/>
    <s v="Dry"/>
    <s v="18-25"/>
    <n v="2"/>
    <s v="Medium"/>
    <s v="Suspended"/>
    <b v="0"/>
    <n v="72"/>
    <s v="Punjab"/>
    <n v="5"/>
    <n v="1"/>
    <n v="3870"/>
    <s v="Paid"/>
    <s v="Not an Outliers"/>
    <x v="0"/>
  </r>
  <r>
    <d v="2024-09-17T00:00:00"/>
    <s v="Sector 56"/>
    <s v="Truck"/>
    <x v="5"/>
    <n v="6029"/>
    <b v="0"/>
    <x v="1"/>
    <s v="Morning"/>
    <s v="Wet"/>
    <s v="18-25"/>
    <n v="5"/>
    <s v="High"/>
    <s v="Learner"/>
    <b v="1"/>
    <n v="3"/>
    <s v="Haryana"/>
    <n v="8"/>
    <n v="3"/>
    <n v="4799"/>
    <s v="Unpaid"/>
    <s v="Not an Outliers"/>
    <x v="0"/>
  </r>
  <r>
    <d v="2024-09-18T00:00:00"/>
    <s v="Sohna Road near Iris Tech Park"/>
    <s v="Bus"/>
    <x v="1"/>
    <n v="1000"/>
    <b v="1"/>
    <x v="1"/>
    <s v="Night"/>
    <s v="Under Construction"/>
    <s v="26-35"/>
    <n v="5"/>
    <s v="Medium"/>
    <s v="Valid"/>
    <b v="0"/>
    <n v="72"/>
    <s v="Delhi"/>
    <n v="7"/>
    <n v="1"/>
    <n v="3378"/>
    <s v="Disputed"/>
    <s v="Not an Outliers"/>
    <x v="0"/>
  </r>
  <r>
    <d v="2024-09-18T00:00:00"/>
    <s v="Golf Course Road"/>
    <s v="Auto-rickshaw"/>
    <x v="5"/>
    <n v="2234"/>
    <b v="0"/>
    <x v="3"/>
    <s v="Evening"/>
    <s v="Wet"/>
    <s v="18-25"/>
    <n v="5"/>
    <s v="Medium"/>
    <s v="Suspended"/>
    <b v="1"/>
    <n v="110"/>
    <s v="Delhi"/>
    <n v="1"/>
    <n v="2"/>
    <n v="3984"/>
    <s v="Disputed"/>
    <s v="Not an Outliers"/>
    <x v="0"/>
  </r>
  <r>
    <d v="2024-09-18T00:00:00"/>
    <s v="Sheetala Mata Road"/>
    <s v="Bike"/>
    <x v="0"/>
    <n v="1000"/>
    <b v="0"/>
    <x v="2"/>
    <s v="Morning"/>
    <s v="Dry"/>
    <s v="26-35"/>
    <n v="1"/>
    <s v="High"/>
    <s v="Valid"/>
    <b v="0"/>
    <n v="73"/>
    <s v="Delhi"/>
    <n v="1"/>
    <n v="3"/>
    <n v="912"/>
    <s v="Paid"/>
    <s v="Not an Outliers"/>
    <x v="0"/>
  </r>
  <r>
    <d v="2024-09-20T00:00:00"/>
    <s v="Cyber City"/>
    <s v="Bike"/>
    <x v="5"/>
    <n v="4983"/>
    <b v="1"/>
    <x v="4"/>
    <s v="Night"/>
    <s v="Dry"/>
    <s v="50+"/>
    <n v="1"/>
    <s v="Low"/>
    <s v="Valid"/>
    <b v="0"/>
    <n v="34"/>
    <s v="Punjab"/>
    <n v="10"/>
    <n v="3"/>
    <n v="1021"/>
    <s v="Disputed"/>
    <s v="Not an Outliers"/>
    <x v="0"/>
  </r>
  <r>
    <d v="2024-09-20T00:00:00"/>
    <s v="IFFCO Chowk"/>
    <s v="Bus"/>
    <x v="3"/>
    <n v="4873"/>
    <b v="0"/>
    <x v="4"/>
    <s v="Night"/>
    <s v="Slippery"/>
    <s v="18-25"/>
    <n v="12"/>
    <s v="Low"/>
    <s v="Valid"/>
    <b v="1"/>
    <n v="42"/>
    <s v="Uttar Pradesh"/>
    <n v="2"/>
    <n v="2"/>
    <n v="3044"/>
    <s v="Disputed"/>
    <s v="Not an Outliers"/>
    <x v="0"/>
  </r>
  <r>
    <d v="2024-09-20T00:00:00"/>
    <s v="Sheetala Mata Road"/>
    <s v="Bus"/>
    <x v="1"/>
    <n v="1000"/>
    <b v="0"/>
    <x v="2"/>
    <s v="Afternoon"/>
    <s v="Slippery"/>
    <s v="50+"/>
    <n v="5"/>
    <s v="Medium"/>
    <s v="Suspended"/>
    <b v="1"/>
    <n v="43"/>
    <s v="Uttar Pradesh"/>
    <n v="5"/>
    <n v="1"/>
    <n v="1659"/>
    <s v="Unpaid"/>
    <s v="Not an Outliers"/>
    <x v="0"/>
  </r>
  <r>
    <d v="2024-09-20T00:00:00"/>
    <s v="Udyog Vihar"/>
    <s v="Bus"/>
    <x v="4"/>
    <n v="29000"/>
    <b v="1"/>
    <x v="2"/>
    <s v="Evening"/>
    <s v="Dry"/>
    <s v="26-35"/>
    <n v="3"/>
    <s v="Medium"/>
    <s v="Expired"/>
    <b v="0"/>
    <n v="10"/>
    <s v="Rajasthan"/>
    <n v="3"/>
    <n v="3"/>
    <n v="3491"/>
    <s v="Unpaid"/>
    <s v="Outliers"/>
    <x v="0"/>
  </r>
  <r>
    <d v="2024-09-21T00:00:00"/>
    <s v="Sector 29"/>
    <s v="Truck"/>
    <x v="1"/>
    <n v="1000"/>
    <b v="0"/>
    <x v="3"/>
    <s v="Afternoon"/>
    <s v="Wet"/>
    <s v="26-35"/>
    <n v="3"/>
    <s v="High"/>
    <s v="Expired"/>
    <b v="1"/>
    <n v="48"/>
    <s v="Uttar Pradesh"/>
    <n v="3"/>
    <n v="1"/>
    <n v="4468"/>
    <s v="Disputed"/>
    <s v="Not an Outliers"/>
    <x v="1"/>
  </r>
  <r>
    <d v="2024-09-21T00:00:00"/>
    <s v="Cyber City"/>
    <s v="Bus"/>
    <x v="2"/>
    <n v="2284"/>
    <b v="1"/>
    <x v="4"/>
    <s v="Evening"/>
    <s v="Dry"/>
    <s v="36-50"/>
    <n v="2"/>
    <s v="Low"/>
    <s v="Learner"/>
    <b v="1"/>
    <n v="100"/>
    <s v="Uttar Pradesh"/>
    <n v="3"/>
    <n v="3"/>
    <n v="2157"/>
    <s v="Disputed"/>
    <s v="Not an Outliers"/>
    <x v="1"/>
  </r>
  <r>
    <d v="2024-09-21T00:00:00"/>
    <s v="Sohna Road near Iris Tech Park"/>
    <s v="Bike"/>
    <x v="3"/>
    <n v="3490"/>
    <b v="0"/>
    <x v="4"/>
    <s v="Morning"/>
    <s v="Wet"/>
    <s v="50+"/>
    <n v="1"/>
    <s v="Medium"/>
    <s v="Learner"/>
    <b v="0"/>
    <n v="89"/>
    <s v="Uttar Pradesh"/>
    <n v="8"/>
    <n v="1"/>
    <n v="2396"/>
    <s v="Unpaid"/>
    <s v="Not an Outliers"/>
    <x v="1"/>
  </r>
  <r>
    <d v="2024-09-21T00:00:00"/>
    <s v="Sikanderpur"/>
    <s v="Bike"/>
    <x v="0"/>
    <n v="1000"/>
    <b v="0"/>
    <x v="4"/>
    <s v="Afternoon"/>
    <s v="Under Construction"/>
    <s v="50+"/>
    <n v="2"/>
    <s v="Low"/>
    <s v="Valid"/>
    <b v="1"/>
    <n v="0"/>
    <s v="Rajasthan"/>
    <n v="4"/>
    <n v="3"/>
    <n v="2647"/>
    <s v="Disputed"/>
    <s v="Not an Outliers"/>
    <x v="1"/>
  </r>
  <r>
    <d v="2024-09-21T00:00:00"/>
    <s v="Sector 56"/>
    <s v="Bike"/>
    <x v="0"/>
    <n v="1000"/>
    <b v="0"/>
    <x v="2"/>
    <s v="Night"/>
    <s v="Under Construction"/>
    <s v="50+"/>
    <n v="1"/>
    <s v="High"/>
    <s v="Learner"/>
    <b v="0"/>
    <n v="30"/>
    <s v="Uttar Pradesh"/>
    <n v="2"/>
    <n v="2"/>
    <n v="3588"/>
    <s v="Paid"/>
    <s v="Not an Outliers"/>
    <x v="1"/>
  </r>
  <r>
    <d v="2024-09-21T00:00:00"/>
    <s v="Udyog Vihar"/>
    <s v="Bus"/>
    <x v="1"/>
    <n v="1000"/>
    <b v="0"/>
    <x v="2"/>
    <s v="Morning"/>
    <s v="Under Construction"/>
    <s v="50+"/>
    <n v="1"/>
    <s v="Low"/>
    <s v="Valid"/>
    <b v="0"/>
    <n v="28"/>
    <s v="Uttar Pradesh"/>
    <n v="7"/>
    <n v="1"/>
    <n v="3341"/>
    <s v="Unpaid"/>
    <s v="Not an Outliers"/>
    <x v="1"/>
  </r>
  <r>
    <d v="2024-09-22T00:00:00"/>
    <s v="Golf Course Road"/>
    <s v="Auto-rickshaw"/>
    <x v="5"/>
    <n v="6322"/>
    <b v="1"/>
    <x v="2"/>
    <s v="Night"/>
    <s v="Wet"/>
    <s v="18-25"/>
    <n v="2"/>
    <s v="Low"/>
    <s v="Expired"/>
    <b v="0"/>
    <n v="86"/>
    <s v="Rajasthan"/>
    <n v="9"/>
    <n v="3"/>
    <n v="680"/>
    <s v="Disputed"/>
    <s v="Not an Outliers"/>
    <x v="1"/>
  </r>
  <r>
    <d v="2024-09-22T00:00:00"/>
    <s v="Sikanderpur"/>
    <s v="Truck"/>
    <x v="3"/>
    <n v="2362"/>
    <b v="0"/>
    <x v="1"/>
    <s v="Evening"/>
    <s v="Dry"/>
    <s v="26-35"/>
    <n v="2"/>
    <s v="Low"/>
    <s v="Suspended"/>
    <b v="1"/>
    <n v="102"/>
    <s v="Uttar Pradesh"/>
    <n v="8"/>
    <n v="2"/>
    <n v="3975"/>
    <s v="Unpaid"/>
    <s v="Not an Outliers"/>
    <x v="1"/>
  </r>
  <r>
    <d v="2024-09-22T00:00:00"/>
    <s v="Sohna Road near Iris Tech Park"/>
    <s v="Bus"/>
    <x v="3"/>
    <n v="2131"/>
    <b v="1"/>
    <x v="4"/>
    <s v="Afternoon"/>
    <s v="Slippery"/>
    <s v="50+"/>
    <n v="4"/>
    <s v="High"/>
    <s v="Learner"/>
    <b v="1"/>
    <n v="51"/>
    <s v="Punjab"/>
    <n v="6"/>
    <n v="2"/>
    <n v="1169"/>
    <s v="Paid"/>
    <s v="Not an Outliers"/>
    <x v="1"/>
  </r>
  <r>
    <d v="2024-09-23T00:00:00"/>
    <s v="NH-8"/>
    <s v="Bike"/>
    <x v="5"/>
    <n v="6324"/>
    <b v="1"/>
    <x v="1"/>
    <s v="Morning"/>
    <s v="Slippery"/>
    <s v="26-35"/>
    <n v="3"/>
    <s v="Low"/>
    <s v="Expired"/>
    <b v="1"/>
    <n v="41"/>
    <s v="Punjab"/>
    <n v="6"/>
    <n v="2"/>
    <n v="995"/>
    <s v="Disputed"/>
    <s v="Not an Outliers"/>
    <x v="0"/>
  </r>
  <r>
    <d v="2024-09-25T00:00:00"/>
    <s v="IFFCO Chowk"/>
    <s v="Bike"/>
    <x v="0"/>
    <n v="1000"/>
    <b v="1"/>
    <x v="1"/>
    <s v="Night"/>
    <s v="Slippery"/>
    <s v="18-25"/>
    <n v="2"/>
    <s v="Medium"/>
    <s v="Valid"/>
    <b v="0"/>
    <n v="28"/>
    <s v="Haryana"/>
    <n v="8"/>
    <n v="1"/>
    <n v="1978"/>
    <s v="Paid"/>
    <s v="Not an Outliers"/>
    <x v="0"/>
  </r>
  <r>
    <d v="2024-09-25T00:00:00"/>
    <s v="Cyber City"/>
    <s v="Bike"/>
    <x v="0"/>
    <n v="1000"/>
    <b v="1"/>
    <x v="3"/>
    <s v="Morning"/>
    <s v="Dry"/>
    <s v="26-35"/>
    <n v="2"/>
    <s v="High"/>
    <s v="Learner"/>
    <b v="1"/>
    <n v="76"/>
    <s v="Punjab"/>
    <n v="4"/>
    <n v="1"/>
    <n v="1269"/>
    <s v="Unpaid"/>
    <s v="Not an Outliers"/>
    <x v="0"/>
  </r>
  <r>
    <d v="2024-09-26T00:00:00"/>
    <s v="Sikanderpur"/>
    <s v="Auto-rickshaw"/>
    <x v="4"/>
    <n v="9449"/>
    <b v="0"/>
    <x v="1"/>
    <s v="Evening"/>
    <s v="Wet"/>
    <s v="50+"/>
    <n v="3"/>
    <s v="Low"/>
    <s v="Learner"/>
    <b v="1"/>
    <n v="73"/>
    <s v="Haryana"/>
    <n v="6"/>
    <n v="3"/>
    <n v="2100"/>
    <s v="Unpaid"/>
    <s v="Not an Outliers"/>
    <x v="0"/>
  </r>
  <r>
    <d v="2024-09-26T00:00:00"/>
    <s v="Golf Course Road"/>
    <s v="Bus"/>
    <x v="2"/>
    <n v="4758"/>
    <b v="1"/>
    <x v="0"/>
    <s v="Evening"/>
    <s v="Slippery"/>
    <s v="18-25"/>
    <n v="2"/>
    <s v="High"/>
    <s v="Learner"/>
    <b v="1"/>
    <n v="90"/>
    <s v="Uttar Pradesh"/>
    <n v="2"/>
    <n v="2"/>
    <n v="3450"/>
    <s v="Unpaid"/>
    <s v="Not an Outliers"/>
    <x v="0"/>
  </r>
  <r>
    <d v="2024-09-26T00:00:00"/>
    <s v="Cyber City"/>
    <s v="Truck"/>
    <x v="3"/>
    <n v="3024"/>
    <b v="0"/>
    <x v="4"/>
    <s v="Night"/>
    <s v="Slippery"/>
    <s v="26-35"/>
    <n v="0"/>
    <s v="Low"/>
    <s v="Valid"/>
    <b v="1"/>
    <n v="32"/>
    <s v="Rajasthan"/>
    <n v="4"/>
    <n v="2"/>
    <n v="3209"/>
    <s v="Disputed"/>
    <s v="Not an Outliers"/>
    <x v="0"/>
  </r>
  <r>
    <d v="2024-09-26T00:00:00"/>
    <s v="Udyog Vihar"/>
    <s v="Bus"/>
    <x v="2"/>
    <n v="1488"/>
    <b v="0"/>
    <x v="0"/>
    <s v="Afternoon"/>
    <s v="Under Construction"/>
    <s v="26-35"/>
    <n v="4"/>
    <s v="Low"/>
    <s v="Learner"/>
    <b v="1"/>
    <n v="21"/>
    <s v="Rajasthan"/>
    <n v="4"/>
    <n v="1"/>
    <n v="2749"/>
    <s v="Paid"/>
    <s v="Not an Outliers"/>
    <x v="0"/>
  </r>
  <r>
    <d v="2024-09-26T00:00:00"/>
    <s v="Manesar Toll"/>
    <s v="Bus"/>
    <x v="1"/>
    <n v="1000"/>
    <b v="1"/>
    <x v="3"/>
    <s v="Night"/>
    <s v="Wet"/>
    <s v="50+"/>
    <n v="4"/>
    <s v="Medium"/>
    <s v="Suspended"/>
    <b v="1"/>
    <n v="113"/>
    <s v="Haryana"/>
    <n v="4"/>
    <n v="1"/>
    <n v="1925"/>
    <s v="Disputed"/>
    <s v="Not an Outliers"/>
    <x v="0"/>
  </r>
  <r>
    <d v="2024-09-27T00:00:00"/>
    <s v="Manesar Toll"/>
    <s v="Auto-rickshaw"/>
    <x v="2"/>
    <n v="4641"/>
    <b v="0"/>
    <x v="2"/>
    <s v="Morning"/>
    <s v="Slippery"/>
    <s v="18-25"/>
    <n v="0"/>
    <s v="Low"/>
    <s v="Suspended"/>
    <b v="1"/>
    <n v="96"/>
    <s v="Haryana"/>
    <n v="9"/>
    <n v="3"/>
    <n v="2121"/>
    <s v="Paid"/>
    <s v="Not an Outliers"/>
    <x v="0"/>
  </r>
  <r>
    <d v="2024-09-27T00:00:00"/>
    <s v="Sikanderpur"/>
    <s v="Bike"/>
    <x v="2"/>
    <n v="3177"/>
    <b v="0"/>
    <x v="1"/>
    <s v="Afternoon"/>
    <s v="Under Construction"/>
    <s v="36-50"/>
    <n v="2"/>
    <s v="Low"/>
    <s v="Suspended"/>
    <b v="0"/>
    <n v="103"/>
    <s v="Haryana"/>
    <n v="4"/>
    <n v="2"/>
    <n v="1385"/>
    <s v="Unpaid"/>
    <s v="Not an Outliers"/>
    <x v="0"/>
  </r>
  <r>
    <d v="2024-09-27T00:00:00"/>
    <s v="Sector 56"/>
    <s v="Car"/>
    <x v="1"/>
    <n v="1000"/>
    <b v="0"/>
    <x v="0"/>
    <s v="Night"/>
    <s v="Dry"/>
    <s v="26-35"/>
    <n v="2"/>
    <s v="Low"/>
    <s v="Learner"/>
    <b v="0"/>
    <n v="18"/>
    <s v="Haryana"/>
    <n v="10"/>
    <n v="3"/>
    <n v="1755"/>
    <s v="Disputed"/>
    <s v="Not an Outliers"/>
    <x v="0"/>
  </r>
  <r>
    <d v="2024-09-28T00:00:00"/>
    <s v="Golf Course Road"/>
    <s v="Bus"/>
    <x v="3"/>
    <n v="2395"/>
    <b v="1"/>
    <x v="2"/>
    <s v="Morning"/>
    <s v="Under Construction"/>
    <s v="50+"/>
    <n v="3"/>
    <s v="Medium"/>
    <s v="Learner"/>
    <b v="1"/>
    <n v="52"/>
    <s v="Delhi"/>
    <n v="5"/>
    <n v="3"/>
    <n v="2541"/>
    <s v="Unpaid"/>
    <s v="Not an Outliers"/>
    <x v="1"/>
  </r>
  <r>
    <d v="2024-10-01T00:00:00"/>
    <s v="Huda City Center"/>
    <s v="Auto-rickshaw"/>
    <x v="5"/>
    <n v="4594"/>
    <b v="0"/>
    <x v="3"/>
    <s v="Morning"/>
    <s v="Dry"/>
    <s v="36-50"/>
    <n v="5"/>
    <s v="Medium"/>
    <s v="Expired"/>
    <b v="0"/>
    <n v="117"/>
    <s v="Punjab"/>
    <n v="1"/>
    <n v="2"/>
    <n v="4672"/>
    <s v="Disputed"/>
    <s v="Not an Outliers"/>
    <x v="0"/>
  </r>
  <r>
    <d v="2024-10-01T00:00:00"/>
    <s v="Sikanderpur"/>
    <s v="Auto-rickshaw"/>
    <x v="2"/>
    <n v="2855"/>
    <b v="0"/>
    <x v="4"/>
    <s v="Evening"/>
    <s v="Slippery"/>
    <s v="26-35"/>
    <n v="5"/>
    <s v="Medium"/>
    <s v="Expired"/>
    <b v="1"/>
    <n v="76"/>
    <s v="Uttar Pradesh"/>
    <n v="6"/>
    <n v="1"/>
    <n v="1088"/>
    <s v="Disputed"/>
    <s v="Not an Outliers"/>
    <x v="0"/>
  </r>
  <r>
    <d v="2024-10-01T00:00:00"/>
    <s v="Signature Tower Chowk"/>
    <s v="Truck"/>
    <x v="5"/>
    <n v="2570"/>
    <b v="0"/>
    <x v="0"/>
    <s v="Afternoon"/>
    <s v="Under Construction"/>
    <s v="26-35"/>
    <n v="2"/>
    <s v="Medium"/>
    <s v="Expired"/>
    <b v="0"/>
    <n v="114"/>
    <s v="Delhi"/>
    <n v="3"/>
    <n v="2"/>
    <n v="4169"/>
    <s v="Paid"/>
    <s v="Not an Outliers"/>
    <x v="0"/>
  </r>
  <r>
    <d v="2024-10-02T00:00:00"/>
    <s v="Sheetala Mata Road"/>
    <s v="Auto-rickshaw"/>
    <x v="3"/>
    <n v="1536"/>
    <b v="1"/>
    <x v="4"/>
    <s v="Morning"/>
    <s v="Under Construction"/>
    <s v="50+"/>
    <n v="1"/>
    <s v="Medium"/>
    <s v="Valid"/>
    <b v="0"/>
    <n v="46"/>
    <s v="Rajasthan"/>
    <n v="2"/>
    <n v="2"/>
    <n v="3610"/>
    <s v="Disputed"/>
    <s v="Not an Outliers"/>
    <x v="0"/>
  </r>
  <r>
    <d v="2024-10-03T00:00:00"/>
    <s v="IFFCO Chowk"/>
    <s v="Truck"/>
    <x v="2"/>
    <n v="1017"/>
    <b v="0"/>
    <x v="4"/>
    <s v="Morning"/>
    <s v="Slippery"/>
    <s v="26-35"/>
    <n v="1"/>
    <s v="High"/>
    <s v="Suspended"/>
    <b v="0"/>
    <n v="35"/>
    <s v="Uttar Pradesh"/>
    <n v="2"/>
    <n v="1"/>
    <n v="4876"/>
    <s v="Unpaid"/>
    <s v="Not an Outliers"/>
    <x v="0"/>
  </r>
  <r>
    <d v="2024-10-03T00:00:00"/>
    <s v="MG Road"/>
    <s v="Auto-rickshaw"/>
    <x v="5"/>
    <n v="4358"/>
    <b v="0"/>
    <x v="0"/>
    <s v="Morning"/>
    <s v="Slippery"/>
    <s v="36-50"/>
    <n v="3"/>
    <s v="Low"/>
    <s v="Expired"/>
    <b v="1"/>
    <n v="89"/>
    <s v="Delhi"/>
    <n v="2"/>
    <n v="2"/>
    <n v="1719"/>
    <s v="Disputed"/>
    <s v="Not an Outliers"/>
    <x v="0"/>
  </r>
  <r>
    <d v="2024-10-03T00:00:00"/>
    <s v="Rajiv Chowk"/>
    <s v="Truck"/>
    <x v="1"/>
    <n v="1000"/>
    <b v="0"/>
    <x v="3"/>
    <s v="Morning"/>
    <s v="Wet"/>
    <s v="36-50"/>
    <n v="4"/>
    <s v="Low"/>
    <s v="Learner"/>
    <b v="0"/>
    <n v="82"/>
    <s v="Haryana"/>
    <n v="7"/>
    <n v="1"/>
    <n v="3918"/>
    <s v="Unpaid"/>
    <s v="Not an Outliers"/>
    <x v="0"/>
  </r>
  <r>
    <d v="2024-10-04T00:00:00"/>
    <s v="Manesar Toll"/>
    <s v="Truck"/>
    <x v="2"/>
    <n v="3141"/>
    <b v="1"/>
    <x v="0"/>
    <s v="Afternoon"/>
    <s v="Under Construction"/>
    <s v="50+"/>
    <n v="3"/>
    <s v="Medium"/>
    <s v="Valid"/>
    <b v="0"/>
    <n v="20"/>
    <s v="Haryana"/>
    <n v="6"/>
    <n v="2"/>
    <n v="3072"/>
    <s v="Disputed"/>
    <s v="Not an Outliers"/>
    <x v="0"/>
  </r>
  <r>
    <d v="2024-10-04T00:00:00"/>
    <s v="Signature Tower Chowk"/>
    <s v="Bus"/>
    <x v="5"/>
    <n v="6780"/>
    <b v="0"/>
    <x v="1"/>
    <s v="Evening"/>
    <s v="Dry"/>
    <s v="36-50"/>
    <n v="3"/>
    <s v="Medium"/>
    <s v="Learner"/>
    <b v="0"/>
    <n v="14"/>
    <s v="Haryana"/>
    <n v="1"/>
    <n v="2"/>
    <n v="3988"/>
    <s v="Paid"/>
    <s v="Not an Outliers"/>
    <x v="0"/>
  </r>
  <r>
    <d v="2024-10-04T00:00:00"/>
    <s v="Sikanderpur"/>
    <s v="Auto-rickshaw"/>
    <x v="2"/>
    <n v="2014"/>
    <b v="0"/>
    <x v="4"/>
    <s v="Afternoon"/>
    <s v="Slippery"/>
    <s v="50+"/>
    <n v="1"/>
    <s v="High"/>
    <s v="Learner"/>
    <b v="0"/>
    <n v="90"/>
    <s v="Uttar Pradesh"/>
    <n v="6"/>
    <n v="2"/>
    <n v="3989"/>
    <s v="Unpaid"/>
    <s v="Not an Outliers"/>
    <x v="0"/>
  </r>
  <r>
    <d v="2024-10-04T00:00:00"/>
    <s v="Udyog Vihar"/>
    <s v="Truck"/>
    <x v="1"/>
    <n v="1000"/>
    <b v="0"/>
    <x v="4"/>
    <s v="Evening"/>
    <s v="Wet"/>
    <s v="26-35"/>
    <n v="2"/>
    <s v="Low"/>
    <s v="Valid"/>
    <b v="1"/>
    <n v="61"/>
    <s v="Rajasthan"/>
    <n v="5"/>
    <n v="1"/>
    <n v="1604"/>
    <s v="Unpaid"/>
    <s v="Not an Outliers"/>
    <x v="0"/>
  </r>
  <r>
    <d v="2024-10-05T00:00:00"/>
    <s v="Cyber City"/>
    <s v="Auto-rickshaw"/>
    <x v="2"/>
    <n v="2247"/>
    <b v="1"/>
    <x v="1"/>
    <s v="Evening"/>
    <s v="Wet"/>
    <s v="50+"/>
    <n v="2"/>
    <s v="Low"/>
    <s v="Learner"/>
    <b v="0"/>
    <n v="55"/>
    <s v="Rajasthan"/>
    <n v="10"/>
    <n v="3"/>
    <n v="2422"/>
    <s v="Disputed"/>
    <s v="Not an Outliers"/>
    <x v="1"/>
  </r>
  <r>
    <d v="2024-10-05T00:00:00"/>
    <s v="Sheetala Mata Road"/>
    <s v="Truck"/>
    <x v="5"/>
    <n v="3922"/>
    <b v="0"/>
    <x v="3"/>
    <s v="Morning"/>
    <s v="Slippery"/>
    <s v="18-25"/>
    <n v="5"/>
    <s v="High"/>
    <s v="Learner"/>
    <b v="1"/>
    <n v="42"/>
    <s v="Delhi"/>
    <n v="2"/>
    <n v="1"/>
    <n v="3077"/>
    <s v="Disputed"/>
    <s v="Not an Outliers"/>
    <x v="1"/>
  </r>
  <r>
    <d v="2024-10-05T00:00:00"/>
    <s v="Cyber City"/>
    <s v="Auto-rickshaw"/>
    <x v="5"/>
    <n v="4678"/>
    <b v="1"/>
    <x v="2"/>
    <s v="Morning"/>
    <s v="Slippery"/>
    <s v="50+"/>
    <n v="2"/>
    <s v="Low"/>
    <s v="Expired"/>
    <b v="1"/>
    <n v="86"/>
    <s v="Delhi"/>
    <n v="4"/>
    <n v="1"/>
    <n v="1750"/>
    <s v="Paid"/>
    <s v="Not an Outliers"/>
    <x v="1"/>
  </r>
  <r>
    <d v="2024-10-06T00:00:00"/>
    <s v="Sector 56"/>
    <s v="Auto-rickshaw"/>
    <x v="1"/>
    <n v="1000"/>
    <b v="0"/>
    <x v="2"/>
    <s v="Evening"/>
    <s v="Under Construction"/>
    <s v="50+"/>
    <n v="2"/>
    <s v="Medium"/>
    <s v="Learner"/>
    <b v="0"/>
    <n v="101"/>
    <s v="Punjab"/>
    <n v="6"/>
    <n v="3"/>
    <n v="559"/>
    <s v="Unpaid"/>
    <s v="Not an Outliers"/>
    <x v="1"/>
  </r>
  <r>
    <d v="2024-10-06T00:00:00"/>
    <s v="MG Road"/>
    <s v="Truck"/>
    <x v="1"/>
    <n v="1000"/>
    <b v="1"/>
    <x v="4"/>
    <s v="Evening"/>
    <s v="Under Construction"/>
    <s v="36-50"/>
    <n v="2"/>
    <s v="Medium"/>
    <s v="Expired"/>
    <b v="0"/>
    <n v="2"/>
    <s v="Haryana"/>
    <n v="7"/>
    <n v="1"/>
    <n v="756"/>
    <s v="Unpaid"/>
    <s v="Not an Outliers"/>
    <x v="1"/>
  </r>
  <r>
    <d v="2024-10-06T00:00:00"/>
    <s v="Huda City Center"/>
    <s v="Truck"/>
    <x v="1"/>
    <n v="1000"/>
    <b v="0"/>
    <x v="4"/>
    <s v="Night"/>
    <s v="Dry"/>
    <s v="18-25"/>
    <n v="2"/>
    <s v="High"/>
    <s v="Expired"/>
    <b v="0"/>
    <n v="57"/>
    <s v="Rajasthan"/>
    <n v="2"/>
    <n v="2"/>
    <n v="2967"/>
    <s v="Paid"/>
    <s v="Not an Outliers"/>
    <x v="1"/>
  </r>
  <r>
    <d v="2024-10-06T00:00:00"/>
    <s v="Sector 29"/>
    <s v="Bike"/>
    <x v="3"/>
    <n v="2895"/>
    <b v="0"/>
    <x v="1"/>
    <s v="Evening"/>
    <s v="Wet"/>
    <s v="36-50"/>
    <n v="2"/>
    <s v="High"/>
    <s v="Learner"/>
    <b v="1"/>
    <n v="60"/>
    <s v="Punjab"/>
    <n v="4"/>
    <n v="2"/>
    <n v="2829"/>
    <s v="Paid"/>
    <s v="Not an Outliers"/>
    <x v="1"/>
  </r>
  <r>
    <d v="2024-10-06T00:00:00"/>
    <s v="Rajiv Chowk"/>
    <s v="Car"/>
    <x v="1"/>
    <n v="1000"/>
    <b v="0"/>
    <x v="1"/>
    <s v="Afternoon"/>
    <s v="Under Construction"/>
    <s v="18-25"/>
    <n v="1"/>
    <s v="High"/>
    <s v="Valid"/>
    <b v="1"/>
    <n v="72"/>
    <s v="Punjab"/>
    <n v="3"/>
    <n v="3"/>
    <n v="4272"/>
    <s v="Paid"/>
    <s v="Not an Outliers"/>
    <x v="1"/>
  </r>
  <r>
    <d v="2024-10-07T00:00:00"/>
    <s v="IFFCO Chowk"/>
    <s v="Bike"/>
    <x v="4"/>
    <n v="8239"/>
    <b v="1"/>
    <x v="2"/>
    <s v="Afternoon"/>
    <s v="Wet"/>
    <s v="36-50"/>
    <n v="3"/>
    <s v="High"/>
    <s v="Expired"/>
    <b v="1"/>
    <n v="118"/>
    <s v="Haryana"/>
    <n v="5"/>
    <n v="2"/>
    <n v="518"/>
    <s v="Paid"/>
    <s v="Not an Outliers"/>
    <x v="0"/>
  </r>
  <r>
    <d v="2024-10-08T00:00:00"/>
    <s v="Sector 29"/>
    <s v="Truck"/>
    <x v="1"/>
    <n v="1000"/>
    <b v="1"/>
    <x v="1"/>
    <s v="Night"/>
    <s v="Slippery"/>
    <s v="50+"/>
    <n v="1"/>
    <s v="Medium"/>
    <s v="Valid"/>
    <b v="1"/>
    <n v="5"/>
    <s v="Uttar Pradesh"/>
    <n v="6"/>
    <n v="1"/>
    <n v="3057"/>
    <s v="Unpaid"/>
    <s v="Not an Outliers"/>
    <x v="0"/>
  </r>
  <r>
    <d v="2024-10-08T00:00:00"/>
    <s v="Manesar Toll"/>
    <s v="Auto-rickshaw"/>
    <x v="5"/>
    <n v="4337"/>
    <b v="1"/>
    <x v="2"/>
    <s v="Afternoon"/>
    <s v="Under Construction"/>
    <s v="18-25"/>
    <n v="3"/>
    <s v="High"/>
    <s v="Valid"/>
    <b v="0"/>
    <n v="111"/>
    <s v="Rajasthan"/>
    <n v="6"/>
    <n v="3"/>
    <n v="4851"/>
    <s v="Unpaid"/>
    <s v="Not an Outliers"/>
    <x v="0"/>
  </r>
  <r>
    <d v="2024-10-09T00:00:00"/>
    <s v="Sikanderpur"/>
    <s v="Auto-rickshaw"/>
    <x v="1"/>
    <n v="1000"/>
    <b v="0"/>
    <x v="4"/>
    <s v="Evening"/>
    <s v="Slippery"/>
    <s v="26-35"/>
    <n v="2"/>
    <s v="Medium"/>
    <s v="Valid"/>
    <b v="1"/>
    <n v="24"/>
    <s v="Delhi"/>
    <n v="6"/>
    <n v="1"/>
    <n v="4600"/>
    <s v="Unpaid"/>
    <s v="Not an Outliers"/>
    <x v="0"/>
  </r>
  <r>
    <d v="2024-10-09T00:00:00"/>
    <s v="Rajiv Chowk"/>
    <s v="Car"/>
    <x v="2"/>
    <n v="3516"/>
    <b v="1"/>
    <x v="4"/>
    <s v="Night"/>
    <s v="Under Construction"/>
    <s v="26-35"/>
    <n v="2"/>
    <s v="Medium"/>
    <s v="Suspended"/>
    <b v="1"/>
    <n v="10"/>
    <s v="Haryana"/>
    <n v="6"/>
    <n v="3"/>
    <n v="1623"/>
    <s v="Paid"/>
    <s v="Not an Outliers"/>
    <x v="0"/>
  </r>
  <r>
    <d v="2024-10-11T00:00:00"/>
    <s v="Cyber City"/>
    <s v="Bus"/>
    <x v="3"/>
    <n v="2260"/>
    <b v="0"/>
    <x v="1"/>
    <s v="Evening"/>
    <s v="Wet"/>
    <s v="36-50"/>
    <n v="3"/>
    <s v="Medium"/>
    <s v="Valid"/>
    <b v="0"/>
    <n v="30"/>
    <s v="Haryana"/>
    <n v="3"/>
    <n v="2"/>
    <n v="2793"/>
    <s v="Unpaid"/>
    <s v="Not an Outliers"/>
    <x v="0"/>
  </r>
  <r>
    <d v="2024-10-11T00:00:00"/>
    <s v="NH-8"/>
    <s v="Car"/>
    <x v="3"/>
    <n v="1849"/>
    <b v="1"/>
    <x v="1"/>
    <s v="Night"/>
    <s v="Slippery"/>
    <s v="18-25"/>
    <n v="1"/>
    <s v="Low"/>
    <s v="Expired"/>
    <b v="1"/>
    <n v="32"/>
    <s v="Haryana"/>
    <n v="9"/>
    <n v="2"/>
    <n v="1231"/>
    <s v="Disputed"/>
    <s v="Not an Outliers"/>
    <x v="0"/>
  </r>
  <r>
    <d v="2024-10-11T00:00:00"/>
    <s v="Cyber City"/>
    <s v="Bike"/>
    <x v="5"/>
    <n v="2752"/>
    <b v="0"/>
    <x v="0"/>
    <s v="Evening"/>
    <s v="Slippery"/>
    <s v="18-25"/>
    <n v="2"/>
    <s v="Low"/>
    <s v="Suspended"/>
    <b v="1"/>
    <n v="9"/>
    <s v="Rajasthan"/>
    <n v="7"/>
    <n v="3"/>
    <n v="3604"/>
    <s v="Paid"/>
    <s v="Not an Outliers"/>
    <x v="0"/>
  </r>
  <r>
    <d v="2024-10-11T00:00:00"/>
    <s v="IFFCO Chowk"/>
    <s v="Bus"/>
    <x v="5"/>
    <n v="7304"/>
    <b v="1"/>
    <x v="4"/>
    <s v="Night"/>
    <s v="Dry"/>
    <s v="18-25"/>
    <n v="2"/>
    <s v="High"/>
    <s v="Expired"/>
    <b v="0"/>
    <n v="60"/>
    <s v="Uttar Pradesh"/>
    <n v="7"/>
    <n v="3"/>
    <n v="2651"/>
    <s v="Unpaid"/>
    <s v="Not an Outliers"/>
    <x v="0"/>
  </r>
  <r>
    <d v="2024-10-12T00:00:00"/>
    <s v="Rajiv Chowk"/>
    <s v="Bus"/>
    <x v="1"/>
    <n v="1000"/>
    <b v="0"/>
    <x v="2"/>
    <s v="Morning"/>
    <s v="Wet"/>
    <s v="36-50"/>
    <n v="5"/>
    <s v="Low"/>
    <s v="Valid"/>
    <b v="0"/>
    <n v="117"/>
    <s v="Haryana"/>
    <n v="9"/>
    <n v="2"/>
    <n v="2924"/>
    <s v="Disputed"/>
    <s v="Not an Outliers"/>
    <x v="1"/>
  </r>
  <r>
    <d v="2024-10-12T00:00:00"/>
    <s v="Sikanderpur"/>
    <s v="Bus"/>
    <x v="5"/>
    <n v="7488"/>
    <b v="0"/>
    <x v="0"/>
    <s v="Morning"/>
    <s v="Slippery"/>
    <s v="50+"/>
    <n v="4"/>
    <s v="Low"/>
    <s v="Expired"/>
    <b v="1"/>
    <n v="56"/>
    <s v="Punjab"/>
    <n v="2"/>
    <n v="3"/>
    <n v="3838"/>
    <s v="Unpaid"/>
    <s v="Not an Outliers"/>
    <x v="1"/>
  </r>
  <r>
    <d v="2024-10-12T00:00:00"/>
    <s v="Udyog Vihar"/>
    <s v="Auto-rickshaw"/>
    <x v="4"/>
    <n v="7704"/>
    <b v="0"/>
    <x v="1"/>
    <s v="Night"/>
    <s v="Under Construction"/>
    <s v="50+"/>
    <n v="4"/>
    <s v="High"/>
    <s v="Learner"/>
    <b v="0"/>
    <n v="86"/>
    <s v="Uttar Pradesh"/>
    <n v="1"/>
    <n v="2"/>
    <n v="4082"/>
    <s v="Paid"/>
    <s v="Not an Outliers"/>
    <x v="1"/>
  </r>
  <r>
    <d v="2024-10-13T00:00:00"/>
    <s v="Golf Course Road"/>
    <s v="Truck"/>
    <x v="1"/>
    <n v="1000"/>
    <b v="0"/>
    <x v="1"/>
    <s v="Morning"/>
    <s v="Under Construction"/>
    <s v="36-50"/>
    <n v="0"/>
    <s v="Low"/>
    <s v="Suspended"/>
    <b v="0"/>
    <n v="43"/>
    <s v="Haryana"/>
    <n v="2"/>
    <n v="1"/>
    <n v="3371"/>
    <s v="Paid"/>
    <s v="Not an Outliers"/>
    <x v="1"/>
  </r>
  <r>
    <d v="2024-10-13T00:00:00"/>
    <s v="MG Road"/>
    <s v="Car"/>
    <x v="1"/>
    <n v="1000"/>
    <b v="1"/>
    <x v="2"/>
    <s v="Night"/>
    <s v="Dry"/>
    <s v="50+"/>
    <n v="0"/>
    <s v="Low"/>
    <s v="Valid"/>
    <b v="0"/>
    <n v="0"/>
    <s v="Rajasthan"/>
    <n v="3"/>
    <n v="2"/>
    <n v="3554"/>
    <s v="Unpaid"/>
    <s v="Not an Outliers"/>
    <x v="1"/>
  </r>
  <r>
    <d v="2024-10-13T00:00:00"/>
    <s v="Cyber City"/>
    <s v="Bike"/>
    <x v="3"/>
    <n v="3982"/>
    <b v="0"/>
    <x v="1"/>
    <s v="Night"/>
    <s v="Slippery"/>
    <s v="50+"/>
    <n v="0"/>
    <s v="Low"/>
    <s v="Learner"/>
    <b v="1"/>
    <n v="37"/>
    <s v="Haryana"/>
    <n v="5"/>
    <n v="1"/>
    <n v="3224"/>
    <s v="Disputed"/>
    <s v="Not an Outliers"/>
    <x v="1"/>
  </r>
  <r>
    <d v="2024-10-13T00:00:00"/>
    <s v="Manesar Toll"/>
    <s v="Bus"/>
    <x v="4"/>
    <n v="8150"/>
    <b v="0"/>
    <x v="0"/>
    <s v="Night"/>
    <s v="Wet"/>
    <s v="36-50"/>
    <n v="0"/>
    <s v="Medium"/>
    <s v="Suspended"/>
    <b v="1"/>
    <n v="29"/>
    <s v="Delhi"/>
    <n v="5"/>
    <n v="1"/>
    <n v="3596"/>
    <s v="Paid"/>
    <s v="Not an Outliers"/>
    <x v="1"/>
  </r>
  <r>
    <d v="2024-10-13T00:00:00"/>
    <s v="Sector 56"/>
    <s v="Car"/>
    <x v="2"/>
    <n v="1417"/>
    <b v="0"/>
    <x v="1"/>
    <s v="Night"/>
    <s v="Dry"/>
    <s v="36-50"/>
    <n v="2"/>
    <s v="High"/>
    <s v="Learner"/>
    <b v="0"/>
    <n v="14"/>
    <s v="Rajasthan"/>
    <n v="4"/>
    <n v="2"/>
    <n v="1817"/>
    <s v="Unpaid"/>
    <s v="Not an Outliers"/>
    <x v="1"/>
  </r>
  <r>
    <d v="2024-10-14T00:00:00"/>
    <s v="Rajiv Chowk"/>
    <s v="Bike"/>
    <x v="4"/>
    <n v="7993"/>
    <b v="0"/>
    <x v="3"/>
    <s v="Night"/>
    <s v="Under Construction"/>
    <s v="36-50"/>
    <n v="0"/>
    <s v="High"/>
    <s v="Learner"/>
    <b v="0"/>
    <n v="88"/>
    <s v="Rajasthan"/>
    <n v="3"/>
    <n v="1"/>
    <n v="2626"/>
    <s v="Unpaid"/>
    <s v="Not an Outliers"/>
    <x v="0"/>
  </r>
  <r>
    <d v="2024-10-15T00:00:00"/>
    <s v="Sohna Road near Iris Tech Park"/>
    <s v="Bike"/>
    <x v="3"/>
    <n v="3342"/>
    <b v="1"/>
    <x v="2"/>
    <s v="Evening"/>
    <s v="Wet"/>
    <s v="26-35"/>
    <n v="3"/>
    <s v="High"/>
    <s v="Valid"/>
    <b v="0"/>
    <n v="95"/>
    <s v="Rajasthan"/>
    <n v="7"/>
    <n v="2"/>
    <n v="4857"/>
    <s v="Paid"/>
    <s v="Not an Outliers"/>
    <x v="0"/>
  </r>
  <r>
    <d v="2024-10-15T00:00:00"/>
    <s v="Udyog Vihar"/>
    <s v="Truck"/>
    <x v="2"/>
    <n v="2283"/>
    <b v="0"/>
    <x v="2"/>
    <s v="Afternoon"/>
    <s v="Wet"/>
    <s v="50+"/>
    <n v="1"/>
    <s v="Low"/>
    <s v="Suspended"/>
    <b v="0"/>
    <n v="79"/>
    <s v="Haryana"/>
    <n v="3"/>
    <n v="2"/>
    <n v="3849"/>
    <s v="Disputed"/>
    <s v="Not an Outliers"/>
    <x v="0"/>
  </r>
  <r>
    <d v="2024-10-15T00:00:00"/>
    <s v="Udyog Vihar"/>
    <s v="Truck"/>
    <x v="3"/>
    <n v="1929"/>
    <b v="0"/>
    <x v="0"/>
    <s v="Afternoon"/>
    <s v="Slippery"/>
    <s v="36-50"/>
    <n v="1"/>
    <s v="Medium"/>
    <s v="Expired"/>
    <b v="0"/>
    <n v="8"/>
    <s v="Haryana"/>
    <n v="1"/>
    <n v="1"/>
    <n v="4354"/>
    <s v="Disputed"/>
    <s v="Not an Outliers"/>
    <x v="0"/>
  </r>
  <r>
    <d v="2024-10-15T00:00:00"/>
    <s v="NH-8"/>
    <s v="Bus"/>
    <x v="5"/>
    <n v="4136"/>
    <b v="0"/>
    <x v="4"/>
    <s v="Night"/>
    <s v="Slippery"/>
    <s v="18-25"/>
    <n v="0"/>
    <s v="High"/>
    <s v="Suspended"/>
    <b v="0"/>
    <n v="68"/>
    <s v="Delhi"/>
    <n v="8"/>
    <n v="3"/>
    <n v="3531"/>
    <s v="Disputed"/>
    <s v="Not an Outliers"/>
    <x v="0"/>
  </r>
  <r>
    <d v="2024-10-16T00:00:00"/>
    <s v="Manesar Toll"/>
    <s v="Car"/>
    <x v="1"/>
    <n v="1000"/>
    <b v="0"/>
    <x v="1"/>
    <s v="Afternoon"/>
    <s v="Wet"/>
    <s v="18-25"/>
    <n v="2"/>
    <s v="Low"/>
    <s v="Learner"/>
    <b v="1"/>
    <n v="70"/>
    <s v="Rajasthan"/>
    <n v="9"/>
    <n v="2"/>
    <n v="4947"/>
    <s v="Disputed"/>
    <s v="Not an Outliers"/>
    <x v="0"/>
  </r>
  <r>
    <d v="2024-10-16T00:00:00"/>
    <s v="Udyog Vihar"/>
    <s v="Auto-rickshaw"/>
    <x v="3"/>
    <n v="2950"/>
    <b v="0"/>
    <x v="1"/>
    <s v="Morning"/>
    <s v="Dry"/>
    <s v="26-35"/>
    <n v="2"/>
    <s v="Medium"/>
    <s v="Suspended"/>
    <b v="0"/>
    <n v="77"/>
    <s v="Punjab"/>
    <n v="9"/>
    <n v="3"/>
    <n v="1835"/>
    <s v="Paid"/>
    <s v="Not an Outliers"/>
    <x v="0"/>
  </r>
  <r>
    <d v="2024-10-16T00:00:00"/>
    <s v="NH-8"/>
    <s v="Car"/>
    <x v="1"/>
    <n v="1000"/>
    <b v="0"/>
    <x v="0"/>
    <s v="Morning"/>
    <s v="Dry"/>
    <s v="18-25"/>
    <n v="0"/>
    <s v="Medium"/>
    <s v="Learner"/>
    <b v="1"/>
    <n v="19"/>
    <s v="Delhi"/>
    <n v="10"/>
    <n v="1"/>
    <n v="4795"/>
    <s v="Paid"/>
    <s v="Not an Outliers"/>
    <x v="0"/>
  </r>
  <r>
    <d v="2024-10-16T00:00:00"/>
    <s v="Golf Course Road"/>
    <s v="Bus"/>
    <x v="5"/>
    <n v="2039"/>
    <b v="0"/>
    <x v="2"/>
    <s v="Morning"/>
    <s v="Under Construction"/>
    <s v="26-35"/>
    <n v="25"/>
    <s v="Medium"/>
    <s v="Suspended"/>
    <b v="0"/>
    <n v="36"/>
    <s v="Haryana"/>
    <n v="7"/>
    <n v="2"/>
    <n v="1636"/>
    <s v="Paid"/>
    <s v="Not an Outliers"/>
    <x v="0"/>
  </r>
  <r>
    <d v="2024-10-16T00:00:00"/>
    <s v="IFFCO Chowk"/>
    <s v="Bike"/>
    <x v="4"/>
    <n v="5980"/>
    <b v="0"/>
    <x v="3"/>
    <s v="Afternoon"/>
    <s v="Under Construction"/>
    <s v="36-50"/>
    <n v="1"/>
    <s v="Low"/>
    <s v="Expired"/>
    <b v="0"/>
    <n v="95"/>
    <s v="Delhi"/>
    <n v="9"/>
    <n v="3"/>
    <n v="2472"/>
    <s v="Paid"/>
    <s v="Not an Outliers"/>
    <x v="0"/>
  </r>
  <r>
    <d v="2024-10-17T00:00:00"/>
    <s v="Huda City Center"/>
    <s v="Bike"/>
    <x v="4"/>
    <n v="6392"/>
    <b v="0"/>
    <x v="1"/>
    <s v="Afternoon"/>
    <s v="Slippery"/>
    <s v="36-50"/>
    <n v="2"/>
    <s v="Medium"/>
    <s v="Expired"/>
    <b v="0"/>
    <n v="58"/>
    <s v="Punjab"/>
    <n v="6"/>
    <n v="2"/>
    <n v="4968"/>
    <s v="Disputed"/>
    <s v="Not an Outliers"/>
    <x v="0"/>
  </r>
  <r>
    <d v="2024-10-18T00:00:00"/>
    <s v="Manesar Toll"/>
    <s v="Bike"/>
    <x v="2"/>
    <n v="1193"/>
    <b v="0"/>
    <x v="3"/>
    <s v="Evening"/>
    <s v="Dry"/>
    <s v="26-35"/>
    <n v="0"/>
    <s v="Low"/>
    <s v="Suspended"/>
    <b v="0"/>
    <n v="43"/>
    <s v="Delhi"/>
    <n v="5"/>
    <n v="1"/>
    <n v="2063"/>
    <s v="Unpaid"/>
    <s v="Not an Outliers"/>
    <x v="0"/>
  </r>
  <r>
    <d v="2024-10-18T00:00:00"/>
    <s v="Sikanderpur"/>
    <s v="Bus"/>
    <x v="5"/>
    <n v="7471"/>
    <b v="0"/>
    <x v="2"/>
    <s v="Night"/>
    <s v="Slippery"/>
    <s v="18-25"/>
    <n v="24"/>
    <s v="Low"/>
    <s v="Expired"/>
    <b v="1"/>
    <n v="70"/>
    <s v="Delhi"/>
    <n v="9"/>
    <n v="1"/>
    <n v="1329"/>
    <s v="Paid"/>
    <s v="Not an Outliers"/>
    <x v="0"/>
  </r>
  <r>
    <d v="2024-10-18T00:00:00"/>
    <s v="Cyber City"/>
    <s v="Auto-rickshaw"/>
    <x v="4"/>
    <n v="5054"/>
    <b v="1"/>
    <x v="3"/>
    <s v="Afternoon"/>
    <s v="Dry"/>
    <s v="36-50"/>
    <n v="3"/>
    <s v="High"/>
    <s v="Expired"/>
    <b v="1"/>
    <n v="26"/>
    <s v="Haryana"/>
    <n v="2"/>
    <n v="1"/>
    <n v="4817"/>
    <s v="Paid"/>
    <s v="Not an Outliers"/>
    <x v="0"/>
  </r>
  <r>
    <d v="2024-10-18T00:00:00"/>
    <s v="Sector 29"/>
    <s v="Car"/>
    <x v="2"/>
    <n v="4309"/>
    <b v="0"/>
    <x v="2"/>
    <s v="Afternoon"/>
    <s v="Under Construction"/>
    <s v="36-50"/>
    <n v="2"/>
    <s v="Low"/>
    <s v="Valid"/>
    <b v="1"/>
    <n v="14"/>
    <s v="Haryana"/>
    <n v="1"/>
    <n v="1"/>
    <n v="4586"/>
    <s v="Paid"/>
    <s v="Not an Outliers"/>
    <x v="0"/>
  </r>
  <r>
    <d v="2024-10-18T00:00:00"/>
    <s v="Manesar Toll"/>
    <s v="Truck"/>
    <x v="2"/>
    <n v="1192"/>
    <b v="0"/>
    <x v="2"/>
    <s v="Afternoon"/>
    <s v="Slippery"/>
    <s v="26-35"/>
    <n v="1"/>
    <s v="Medium"/>
    <s v="Expired"/>
    <b v="1"/>
    <n v="72"/>
    <s v="Rajasthan"/>
    <n v="2"/>
    <n v="2"/>
    <n v="2897"/>
    <s v="Unpaid"/>
    <s v="Not an Outliers"/>
    <x v="0"/>
  </r>
  <r>
    <d v="2024-10-19T00:00:00"/>
    <s v="Udyog Vihar"/>
    <s v="Truck"/>
    <x v="4"/>
    <n v="5558"/>
    <b v="1"/>
    <x v="1"/>
    <s v="Afternoon"/>
    <s v="Dry"/>
    <s v="50+"/>
    <n v="3"/>
    <s v="Low"/>
    <s v="Learner"/>
    <b v="1"/>
    <n v="97"/>
    <s v="Punjab"/>
    <n v="1"/>
    <n v="3"/>
    <n v="2770"/>
    <s v="Disputed"/>
    <s v="Not an Outliers"/>
    <x v="1"/>
  </r>
  <r>
    <d v="2024-10-20T00:00:00"/>
    <s v="Signature Tower Chowk"/>
    <s v="Car"/>
    <x v="5"/>
    <n v="2284"/>
    <b v="0"/>
    <x v="2"/>
    <s v="Night"/>
    <s v="Wet"/>
    <s v="26-35"/>
    <n v="5"/>
    <s v="Medium"/>
    <s v="Valid"/>
    <b v="1"/>
    <n v="110"/>
    <s v="Rajasthan"/>
    <n v="2"/>
    <n v="1"/>
    <n v="2145"/>
    <s v="Paid"/>
    <s v="Not an Outliers"/>
    <x v="1"/>
  </r>
  <r>
    <d v="2024-10-21T00:00:00"/>
    <s v="Manesar Toll"/>
    <s v="Bike"/>
    <x v="3"/>
    <n v="4854"/>
    <b v="0"/>
    <x v="4"/>
    <s v="Morning"/>
    <s v="Slippery"/>
    <s v="18-25"/>
    <n v="3"/>
    <s v="Low"/>
    <s v="Expired"/>
    <b v="0"/>
    <n v="62"/>
    <s v="Haryana"/>
    <n v="4"/>
    <n v="2"/>
    <n v="1219"/>
    <s v="Paid"/>
    <s v="Not an Outliers"/>
    <x v="0"/>
  </r>
  <r>
    <d v="2024-10-21T00:00:00"/>
    <s v="Huda City Center"/>
    <s v="Auto-rickshaw"/>
    <x v="3"/>
    <n v="3504"/>
    <b v="0"/>
    <x v="0"/>
    <s v="Afternoon"/>
    <s v="Slippery"/>
    <s v="36-50"/>
    <n v="5"/>
    <s v="High"/>
    <s v="Learner"/>
    <b v="0"/>
    <n v="28"/>
    <s v="Punjab"/>
    <n v="5"/>
    <n v="2"/>
    <n v="2470"/>
    <s v="Paid"/>
    <s v="Not an Outliers"/>
    <x v="0"/>
  </r>
  <r>
    <d v="2024-10-21T00:00:00"/>
    <s v="Sohna Road near Iris Tech Park"/>
    <s v="Auto-rickshaw"/>
    <x v="4"/>
    <n v="5357"/>
    <b v="0"/>
    <x v="4"/>
    <s v="Afternoon"/>
    <s v="Wet"/>
    <s v="26-35"/>
    <n v="3"/>
    <s v="High"/>
    <s v="Valid"/>
    <b v="0"/>
    <n v="56"/>
    <s v="Haryana"/>
    <n v="2"/>
    <n v="2"/>
    <n v="889"/>
    <s v="Paid"/>
    <s v="Not an Outliers"/>
    <x v="0"/>
  </r>
  <r>
    <d v="2024-10-22T00:00:00"/>
    <s v="Udyog Vihar"/>
    <s v="Car"/>
    <x v="5"/>
    <n v="4865"/>
    <b v="1"/>
    <x v="3"/>
    <s v="Morning"/>
    <s v="Dry"/>
    <s v="36-50"/>
    <n v="2"/>
    <s v="Medium"/>
    <s v="Suspended"/>
    <b v="1"/>
    <n v="80"/>
    <s v="Rajasthan"/>
    <n v="7"/>
    <n v="2"/>
    <n v="3601"/>
    <s v="Disputed"/>
    <s v="Not an Outliers"/>
    <x v="0"/>
  </r>
  <r>
    <d v="2024-10-22T00:00:00"/>
    <s v="Cyber City"/>
    <s v="Bus"/>
    <x v="2"/>
    <n v="2402"/>
    <b v="1"/>
    <x v="2"/>
    <s v="Morning"/>
    <s v="Slippery"/>
    <s v="50+"/>
    <n v="2"/>
    <s v="Medium"/>
    <s v="Valid"/>
    <b v="1"/>
    <n v="71"/>
    <s v="Uttar Pradesh"/>
    <n v="5"/>
    <n v="2"/>
    <n v="2027"/>
    <s v="Unpaid"/>
    <s v="Not an Outliers"/>
    <x v="0"/>
  </r>
  <r>
    <d v="2024-10-22T00:00:00"/>
    <s v="Rajiv Chowk"/>
    <s v="Bus"/>
    <x v="3"/>
    <n v="2720"/>
    <b v="0"/>
    <x v="3"/>
    <s v="Morning"/>
    <s v="Wet"/>
    <s v="26-35"/>
    <n v="5"/>
    <s v="High"/>
    <s v="Suspended"/>
    <b v="1"/>
    <n v="40"/>
    <s v="Haryana"/>
    <n v="5"/>
    <n v="2"/>
    <n v="2340"/>
    <s v="Disputed"/>
    <s v="Not an Outliers"/>
    <x v="0"/>
  </r>
  <r>
    <d v="2024-10-22T00:00:00"/>
    <s v="Huda City Center"/>
    <s v="Car"/>
    <x v="1"/>
    <n v="1000"/>
    <b v="1"/>
    <x v="0"/>
    <s v="Evening"/>
    <s v="Under Construction"/>
    <s v="18-25"/>
    <n v="4"/>
    <s v="Medium"/>
    <s v="Valid"/>
    <b v="1"/>
    <n v="44"/>
    <s v="Delhi"/>
    <n v="5"/>
    <n v="2"/>
    <n v="702"/>
    <s v="Disputed"/>
    <s v="Not an Outliers"/>
    <x v="0"/>
  </r>
  <r>
    <d v="2024-10-24T00:00:00"/>
    <s v="Cyber City"/>
    <s v="Bike"/>
    <x v="3"/>
    <n v="2479"/>
    <b v="0"/>
    <x v="2"/>
    <s v="Evening"/>
    <s v="Slippery"/>
    <s v="26-35"/>
    <n v="2"/>
    <s v="High"/>
    <s v="Expired"/>
    <b v="1"/>
    <n v="9"/>
    <s v="Punjab"/>
    <n v="7"/>
    <n v="3"/>
    <n v="3011"/>
    <s v="Disputed"/>
    <s v="Not an Outliers"/>
    <x v="0"/>
  </r>
  <r>
    <d v="2024-10-24T00:00:00"/>
    <s v="Manesar Toll"/>
    <s v="Auto-rickshaw"/>
    <x v="5"/>
    <n v="5605"/>
    <b v="1"/>
    <x v="3"/>
    <s v="Morning"/>
    <s v="Dry"/>
    <s v="18-25"/>
    <n v="2"/>
    <s v="Low"/>
    <s v="Learner"/>
    <b v="0"/>
    <n v="80"/>
    <s v="Delhi"/>
    <n v="2"/>
    <n v="3"/>
    <n v="4150"/>
    <s v="Paid"/>
    <s v="Not an Outliers"/>
    <x v="0"/>
  </r>
  <r>
    <d v="2024-10-25T00:00:00"/>
    <s v="MG Road"/>
    <s v="Auto-rickshaw"/>
    <x v="5"/>
    <n v="5904"/>
    <b v="1"/>
    <x v="2"/>
    <s v="Evening"/>
    <s v="Wet"/>
    <s v="26-35"/>
    <n v="1"/>
    <s v="High"/>
    <s v="Expired"/>
    <b v="0"/>
    <n v="17"/>
    <s v="Punjab"/>
    <n v="7"/>
    <n v="1"/>
    <n v="1259"/>
    <s v="Paid"/>
    <s v="Not an Outliers"/>
    <x v="0"/>
  </r>
  <r>
    <d v="2024-10-26T00:00:00"/>
    <s v="Sikanderpur"/>
    <s v="Bike"/>
    <x v="0"/>
    <n v="1000"/>
    <b v="1"/>
    <x v="2"/>
    <s v="Afternoon"/>
    <s v="Under Construction"/>
    <s v="50+"/>
    <n v="2"/>
    <s v="Medium"/>
    <s v="Suspended"/>
    <b v="0"/>
    <n v="21"/>
    <s v="Haryana"/>
    <n v="5"/>
    <n v="2"/>
    <n v="1806"/>
    <s v="Unpaid"/>
    <s v="Not an Outliers"/>
    <x v="1"/>
  </r>
  <r>
    <d v="2024-10-27T00:00:00"/>
    <s v="Udyog Vihar"/>
    <s v="Bike"/>
    <x v="0"/>
    <n v="1000"/>
    <b v="1"/>
    <x v="4"/>
    <s v="Evening"/>
    <s v="Dry"/>
    <s v="18-25"/>
    <n v="2"/>
    <s v="High"/>
    <s v="Expired"/>
    <b v="1"/>
    <n v="43"/>
    <s v="Haryana"/>
    <n v="10"/>
    <n v="2"/>
    <n v="1396"/>
    <s v="Unpaid"/>
    <s v="Not an Outliers"/>
    <x v="1"/>
  </r>
  <r>
    <d v="2024-10-27T00:00:00"/>
    <s v="Sohna Road near Iris Tech Park"/>
    <s v="Bike"/>
    <x v="0"/>
    <n v="1000"/>
    <b v="1"/>
    <x v="1"/>
    <s v="Morning"/>
    <s v="Dry"/>
    <s v="26-35"/>
    <n v="1"/>
    <s v="Low"/>
    <s v="Suspended"/>
    <b v="0"/>
    <n v="62"/>
    <s v="Delhi"/>
    <n v="5"/>
    <n v="3"/>
    <n v="4693"/>
    <s v="Unpaid"/>
    <s v="Not an Outliers"/>
    <x v="1"/>
  </r>
  <r>
    <d v="2024-10-27T00:00:00"/>
    <s v="Sheetala Mata Road"/>
    <s v="Truck"/>
    <x v="3"/>
    <n v="3699"/>
    <b v="0"/>
    <x v="1"/>
    <s v="Night"/>
    <s v="Under Construction"/>
    <s v="26-35"/>
    <n v="3"/>
    <s v="Low"/>
    <s v="Valid"/>
    <b v="1"/>
    <n v="93"/>
    <s v="Uttar Pradesh"/>
    <n v="4"/>
    <n v="1"/>
    <n v="3301"/>
    <s v="Disputed"/>
    <s v="Not an Outliers"/>
    <x v="1"/>
  </r>
  <r>
    <d v="2024-10-27T00:00:00"/>
    <s v="Sector 29"/>
    <s v="Auto-rickshaw"/>
    <x v="5"/>
    <n v="3705"/>
    <b v="1"/>
    <x v="0"/>
    <s v="Evening"/>
    <s v="Under Construction"/>
    <s v="50+"/>
    <n v="1"/>
    <s v="Low"/>
    <s v="Learner"/>
    <b v="0"/>
    <n v="112"/>
    <s v="Punjab"/>
    <n v="4"/>
    <n v="2"/>
    <n v="4181"/>
    <s v="Paid"/>
    <s v="Not an Outliers"/>
    <x v="1"/>
  </r>
  <r>
    <d v="2024-10-28T00:00:00"/>
    <s v="Sheetala Mata Road"/>
    <s v="Bike"/>
    <x v="4"/>
    <n v="8997"/>
    <b v="1"/>
    <x v="2"/>
    <s v="Night"/>
    <s v="Slippery"/>
    <s v="50+"/>
    <n v="1"/>
    <s v="Low"/>
    <s v="Learner"/>
    <b v="1"/>
    <n v="23"/>
    <s v="Delhi"/>
    <n v="5"/>
    <n v="3"/>
    <n v="897"/>
    <s v="Unpaid"/>
    <s v="Not an Outliers"/>
    <x v="0"/>
  </r>
  <r>
    <d v="2024-10-28T00:00:00"/>
    <s v="Sohna Road near Iris Tech Park"/>
    <s v="Auto-rickshaw"/>
    <x v="1"/>
    <n v="1000"/>
    <b v="1"/>
    <x v="1"/>
    <s v="Afternoon"/>
    <s v="Slippery"/>
    <s v="18-25"/>
    <n v="0"/>
    <s v="High"/>
    <s v="Valid"/>
    <b v="1"/>
    <n v="113"/>
    <s v="Haryana"/>
    <n v="4"/>
    <n v="2"/>
    <n v="4324"/>
    <s v="Unpaid"/>
    <s v="Not an Outliers"/>
    <x v="0"/>
  </r>
  <r>
    <d v="2024-11-01T00:00:00"/>
    <s v="Sector 29"/>
    <s v="Car"/>
    <x v="5"/>
    <n v="7633"/>
    <b v="0"/>
    <x v="2"/>
    <s v="Morning"/>
    <s v="Dry"/>
    <s v="18-25"/>
    <n v="0"/>
    <s v="Medium"/>
    <s v="Expired"/>
    <b v="1"/>
    <n v="100"/>
    <s v="Rajasthan"/>
    <n v="3"/>
    <n v="2"/>
    <n v="3036"/>
    <s v="Disputed"/>
    <s v="Not an Outliers"/>
    <x v="0"/>
  </r>
  <r>
    <d v="2024-11-01T00:00:00"/>
    <s v="Sheetala Mata Road"/>
    <s v="Bus"/>
    <x v="5"/>
    <n v="7579"/>
    <b v="0"/>
    <x v="0"/>
    <s v="Night"/>
    <s v="Slippery"/>
    <s v="36-50"/>
    <n v="5"/>
    <s v="Low"/>
    <s v="Suspended"/>
    <b v="0"/>
    <n v="33"/>
    <s v="Haryana"/>
    <n v="1"/>
    <n v="1"/>
    <n v="724"/>
    <s v="Paid"/>
    <s v="Not an Outliers"/>
    <x v="0"/>
  </r>
  <r>
    <d v="2024-11-01T00:00:00"/>
    <s v="Manesar Toll"/>
    <s v="Bike"/>
    <x v="0"/>
    <n v="1000"/>
    <b v="0"/>
    <x v="2"/>
    <s v="Afternoon"/>
    <s v="Dry"/>
    <s v="50+"/>
    <n v="2"/>
    <s v="Low"/>
    <s v="Learner"/>
    <b v="0"/>
    <n v="79"/>
    <s v="Punjab"/>
    <n v="10"/>
    <n v="3"/>
    <n v="1992"/>
    <s v="Paid"/>
    <s v="Not an Outliers"/>
    <x v="0"/>
  </r>
  <r>
    <d v="2024-11-01T00:00:00"/>
    <s v="Manesar Toll"/>
    <s v="Bus"/>
    <x v="1"/>
    <n v="1000"/>
    <b v="0"/>
    <x v="3"/>
    <s v="Morning"/>
    <s v="Slippery"/>
    <s v="36-50"/>
    <n v="1"/>
    <s v="High"/>
    <s v="Valid"/>
    <b v="0"/>
    <n v="32"/>
    <s v="Uttar Pradesh"/>
    <n v="1"/>
    <n v="2"/>
    <n v="964"/>
    <s v="Disputed"/>
    <s v="Not an Outliers"/>
    <x v="0"/>
  </r>
  <r>
    <d v="2024-11-01T00:00:00"/>
    <s v="Golf Course Road"/>
    <s v="Bus"/>
    <x v="5"/>
    <n v="2319"/>
    <b v="0"/>
    <x v="0"/>
    <s v="Morning"/>
    <s v="Under Construction"/>
    <s v="18-25"/>
    <n v="4"/>
    <s v="Low"/>
    <s v="Learner"/>
    <b v="1"/>
    <n v="108"/>
    <s v="Uttar Pradesh"/>
    <n v="2"/>
    <n v="1"/>
    <n v="3970"/>
    <s v="Unpaid"/>
    <s v="Not an Outliers"/>
    <x v="0"/>
  </r>
  <r>
    <d v="2024-11-01T00:00:00"/>
    <s v="Sikanderpur"/>
    <s v="Truck"/>
    <x v="1"/>
    <n v="1000"/>
    <b v="1"/>
    <x v="3"/>
    <s v="Evening"/>
    <s v="Dry"/>
    <s v="26-35"/>
    <n v="2"/>
    <s v="Medium"/>
    <s v="Learner"/>
    <b v="0"/>
    <n v="112"/>
    <s v="Punjab"/>
    <n v="9"/>
    <n v="1"/>
    <n v="1107"/>
    <s v="Paid"/>
    <s v="Not an Outliers"/>
    <x v="0"/>
  </r>
  <r>
    <d v="2024-11-02T00:00:00"/>
    <s v="Golf Course Road"/>
    <s v="Bus"/>
    <x v="3"/>
    <n v="4396"/>
    <b v="0"/>
    <x v="3"/>
    <s v="Afternoon"/>
    <s v="Wet"/>
    <s v="26-35"/>
    <n v="5"/>
    <s v="Medium"/>
    <s v="Learner"/>
    <b v="1"/>
    <n v="103"/>
    <s v="Rajasthan"/>
    <n v="9"/>
    <n v="2"/>
    <n v="1597"/>
    <s v="Disputed"/>
    <s v="Not an Outliers"/>
    <x v="1"/>
  </r>
  <r>
    <d v="2024-11-02T00:00:00"/>
    <s v="Huda City Center"/>
    <s v="Car"/>
    <x v="2"/>
    <n v="4863"/>
    <b v="0"/>
    <x v="0"/>
    <s v="Evening"/>
    <s v="Slippery"/>
    <s v="26-35"/>
    <n v="4"/>
    <s v="Low"/>
    <s v="Learner"/>
    <b v="0"/>
    <n v="99"/>
    <s v="Haryana"/>
    <n v="10"/>
    <n v="1"/>
    <n v="2512"/>
    <s v="Disputed"/>
    <s v="Not an Outliers"/>
    <x v="1"/>
  </r>
  <r>
    <d v="2024-11-02T00:00:00"/>
    <s v="Sheetala Mata Road"/>
    <s v="Bike"/>
    <x v="3"/>
    <n v="7885"/>
    <b v="0"/>
    <x v="1"/>
    <s v="Evening"/>
    <s v="Under Construction"/>
    <s v="18-25"/>
    <n v="3"/>
    <s v="Low"/>
    <s v="Learner"/>
    <b v="1"/>
    <n v="9"/>
    <s v="Uttar Pradesh"/>
    <n v="3"/>
    <n v="1"/>
    <n v="3815"/>
    <s v="Disputed"/>
    <s v="Not an Outliers"/>
    <x v="1"/>
  </r>
  <r>
    <d v="2024-11-02T00:00:00"/>
    <s v="Golf Course Road"/>
    <s v="Auto-rickshaw"/>
    <x v="4"/>
    <n v="9440"/>
    <b v="0"/>
    <x v="2"/>
    <s v="Evening"/>
    <s v="Wet"/>
    <s v="50+"/>
    <n v="5"/>
    <s v="Medium"/>
    <s v="Suspended"/>
    <b v="1"/>
    <n v="8"/>
    <s v="Uttar Pradesh"/>
    <n v="2"/>
    <n v="3"/>
    <n v="2227"/>
    <s v="Paid"/>
    <s v="Not an Outliers"/>
    <x v="1"/>
  </r>
  <r>
    <d v="2024-11-02T00:00:00"/>
    <s v="Sikanderpur"/>
    <s v="Bus"/>
    <x v="1"/>
    <n v="1000"/>
    <b v="0"/>
    <x v="4"/>
    <s v="Evening"/>
    <s v="Slippery"/>
    <s v="36-50"/>
    <n v="5"/>
    <s v="Low"/>
    <s v="Suspended"/>
    <b v="0"/>
    <n v="88"/>
    <s v="Uttar Pradesh"/>
    <n v="5"/>
    <n v="2"/>
    <n v="3002"/>
    <s v="Disputed"/>
    <s v="Not an Outliers"/>
    <x v="1"/>
  </r>
  <r>
    <d v="2024-11-02T00:00:00"/>
    <s v="NH-8"/>
    <s v="Auto-rickshaw"/>
    <x v="5"/>
    <n v="7081"/>
    <b v="0"/>
    <x v="1"/>
    <s v="Morning"/>
    <s v="Under Construction"/>
    <s v="36-50"/>
    <n v="5"/>
    <s v="Low"/>
    <s v="Suspended"/>
    <b v="0"/>
    <n v="88"/>
    <s v="Haryana"/>
    <n v="4"/>
    <n v="2"/>
    <n v="4374"/>
    <s v="Disputed"/>
    <s v="Not an Outliers"/>
    <x v="1"/>
  </r>
  <r>
    <d v="2024-11-03T00:00:00"/>
    <s v="Sector 29"/>
    <s v="Bus"/>
    <x v="2"/>
    <n v="4235"/>
    <b v="1"/>
    <x v="0"/>
    <s v="Morning"/>
    <s v="Under Construction"/>
    <s v="50+"/>
    <n v="4"/>
    <s v="Medium"/>
    <s v="Learner"/>
    <b v="1"/>
    <n v="26"/>
    <s v="Uttar Pradesh"/>
    <n v="8"/>
    <n v="3"/>
    <n v="4687"/>
    <s v="Unpaid"/>
    <s v="Not an Outliers"/>
    <x v="1"/>
  </r>
  <r>
    <d v="2024-11-03T00:00:00"/>
    <s v="Sikanderpur"/>
    <s v="Truck"/>
    <x v="4"/>
    <n v="8375"/>
    <b v="0"/>
    <x v="2"/>
    <s v="Afternoon"/>
    <s v="Dry"/>
    <s v="26-35"/>
    <n v="3"/>
    <s v="Medium"/>
    <s v="Learner"/>
    <b v="1"/>
    <n v="101"/>
    <s v="Uttar Pradesh"/>
    <n v="2"/>
    <n v="1"/>
    <n v="4050"/>
    <s v="Disputed"/>
    <s v="Not an Outliers"/>
    <x v="1"/>
  </r>
  <r>
    <d v="2024-11-04T00:00:00"/>
    <s v="NH-8"/>
    <s v="Auto-rickshaw"/>
    <x v="5"/>
    <n v="4996"/>
    <b v="0"/>
    <x v="4"/>
    <s v="Afternoon"/>
    <s v="Dry"/>
    <s v="50+"/>
    <n v="0"/>
    <s v="Low"/>
    <s v="Learner"/>
    <b v="0"/>
    <n v="71"/>
    <s v="Delhi"/>
    <n v="1"/>
    <n v="1"/>
    <n v="2586"/>
    <s v="Disputed"/>
    <s v="Not an Outliers"/>
    <x v="0"/>
  </r>
  <r>
    <d v="2024-11-05T00:00:00"/>
    <s v="Cyber City"/>
    <s v="Truck"/>
    <x v="2"/>
    <n v="4908"/>
    <b v="0"/>
    <x v="3"/>
    <s v="Evening"/>
    <s v="Wet"/>
    <s v="26-35"/>
    <n v="0"/>
    <s v="Low"/>
    <s v="Learner"/>
    <b v="1"/>
    <n v="81"/>
    <s v="Uttar Pradesh"/>
    <n v="1"/>
    <n v="2"/>
    <n v="1123"/>
    <s v="Disputed"/>
    <s v="Not an Outliers"/>
    <x v="0"/>
  </r>
  <r>
    <d v="2024-11-05T00:00:00"/>
    <s v="Signature Tower Chowk"/>
    <s v="Truck"/>
    <x v="5"/>
    <n v="4547"/>
    <b v="0"/>
    <x v="4"/>
    <s v="Night"/>
    <s v="Under Construction"/>
    <s v="26-35"/>
    <n v="2"/>
    <s v="High"/>
    <s v="Valid"/>
    <b v="1"/>
    <n v="103"/>
    <s v="Uttar Pradesh"/>
    <n v="5"/>
    <n v="3"/>
    <n v="4024"/>
    <s v="Unpaid"/>
    <s v="Not an Outliers"/>
    <x v="0"/>
  </r>
  <r>
    <d v="2024-11-05T00:00:00"/>
    <s v="MG Road"/>
    <s v="Bike"/>
    <x v="0"/>
    <n v="1000"/>
    <b v="0"/>
    <x v="0"/>
    <s v="Afternoon"/>
    <s v="Slippery"/>
    <s v="26-35"/>
    <n v="3"/>
    <s v="Low"/>
    <s v="Learner"/>
    <b v="0"/>
    <n v="108"/>
    <s v="Delhi"/>
    <n v="3"/>
    <n v="3"/>
    <n v="4827"/>
    <s v="Disputed"/>
    <s v="Not an Outliers"/>
    <x v="0"/>
  </r>
  <r>
    <d v="2024-11-06T00:00:00"/>
    <s v="Sheetala Mata Road"/>
    <s v="Bus"/>
    <x v="4"/>
    <n v="9801"/>
    <b v="0"/>
    <x v="0"/>
    <s v="Afternoon"/>
    <s v="Wet"/>
    <s v="18-25"/>
    <n v="1"/>
    <s v="High"/>
    <s v="Valid"/>
    <b v="0"/>
    <n v="83"/>
    <s v="Uttar Pradesh"/>
    <n v="6"/>
    <n v="1"/>
    <n v="972"/>
    <s v="Paid"/>
    <s v="Not an Outliers"/>
    <x v="0"/>
  </r>
  <r>
    <d v="2024-11-06T00:00:00"/>
    <s v="Sector 56"/>
    <s v="Truck"/>
    <x v="5"/>
    <n v="4134"/>
    <b v="1"/>
    <x v="4"/>
    <s v="Evening"/>
    <s v="Under Construction"/>
    <s v="50+"/>
    <n v="0"/>
    <s v="Low"/>
    <s v="Learner"/>
    <b v="1"/>
    <n v="57"/>
    <s v="Rajasthan"/>
    <n v="3"/>
    <n v="3"/>
    <n v="3923"/>
    <s v="Disputed"/>
    <s v="Not an Outliers"/>
    <x v="0"/>
  </r>
  <r>
    <d v="2024-11-06T00:00:00"/>
    <s v="MG Road"/>
    <s v="Car"/>
    <x v="4"/>
    <n v="6574"/>
    <b v="0"/>
    <x v="2"/>
    <s v="Night"/>
    <s v="Under Construction"/>
    <s v="50+"/>
    <n v="1"/>
    <s v="Low"/>
    <s v="Learner"/>
    <b v="1"/>
    <n v="23"/>
    <s v="Rajasthan"/>
    <n v="6"/>
    <n v="2"/>
    <n v="3078"/>
    <s v="Unpaid"/>
    <s v="Not an Outliers"/>
    <x v="0"/>
  </r>
  <r>
    <d v="2024-11-07T00:00:00"/>
    <s v="Sheetala Mata Road"/>
    <s v="Bus"/>
    <x v="5"/>
    <n v="2935"/>
    <b v="1"/>
    <x v="2"/>
    <s v="Afternoon"/>
    <s v="Dry"/>
    <s v="26-35"/>
    <n v="3"/>
    <s v="High"/>
    <s v="Valid"/>
    <b v="0"/>
    <n v="44"/>
    <s v="Uttar Pradesh"/>
    <n v="6"/>
    <n v="2"/>
    <n v="4946"/>
    <s v="Unpaid"/>
    <s v="Not an Outliers"/>
    <x v="0"/>
  </r>
  <r>
    <d v="2024-11-07T00:00:00"/>
    <s v="Rajiv Chowk"/>
    <s v="Bike"/>
    <x v="3"/>
    <n v="4733"/>
    <b v="0"/>
    <x v="0"/>
    <s v="Afternoon"/>
    <s v="Slippery"/>
    <s v="36-50"/>
    <n v="3"/>
    <s v="High"/>
    <s v="Suspended"/>
    <b v="0"/>
    <n v="68"/>
    <s v="Rajasthan"/>
    <n v="10"/>
    <n v="1"/>
    <n v="4449"/>
    <s v="Disputed"/>
    <s v="Not an Outliers"/>
    <x v="0"/>
  </r>
  <r>
    <d v="2024-11-08T00:00:00"/>
    <s v="Huda City Center"/>
    <s v="Truck"/>
    <x v="1"/>
    <n v="1000"/>
    <b v="1"/>
    <x v="3"/>
    <s v="Evening"/>
    <s v="Slippery"/>
    <s v="26-35"/>
    <n v="5"/>
    <s v="Low"/>
    <s v="Valid"/>
    <b v="0"/>
    <n v="1"/>
    <s v="Uttar Pradesh"/>
    <n v="8"/>
    <n v="3"/>
    <n v="1990"/>
    <s v="Paid"/>
    <s v="Not an Outliers"/>
    <x v="0"/>
  </r>
  <r>
    <d v="2024-11-09T00:00:00"/>
    <s v="Udyog Vihar"/>
    <s v="Car"/>
    <x v="1"/>
    <n v="1000"/>
    <b v="1"/>
    <x v="0"/>
    <s v="Night"/>
    <s v="Wet"/>
    <s v="18-25"/>
    <n v="5"/>
    <s v="Medium"/>
    <s v="Expired"/>
    <b v="1"/>
    <n v="53"/>
    <s v="Uttar Pradesh"/>
    <n v="3"/>
    <n v="1"/>
    <n v="3680"/>
    <s v="Disputed"/>
    <s v="Not an Outliers"/>
    <x v="1"/>
  </r>
  <r>
    <d v="2024-11-09T00:00:00"/>
    <s v="Rajiv Chowk"/>
    <s v="Car"/>
    <x v="4"/>
    <n v="8665"/>
    <b v="0"/>
    <x v="1"/>
    <s v="Night"/>
    <s v="Under Construction"/>
    <s v="36-50"/>
    <n v="0"/>
    <s v="High"/>
    <s v="Suspended"/>
    <b v="0"/>
    <n v="77"/>
    <s v="Uttar Pradesh"/>
    <n v="9"/>
    <n v="2"/>
    <n v="2751"/>
    <s v="Disputed"/>
    <s v="Not an Outliers"/>
    <x v="1"/>
  </r>
  <r>
    <d v="2024-11-09T00:00:00"/>
    <s v="Sector 29"/>
    <s v="Bike"/>
    <x v="3"/>
    <n v="4658"/>
    <b v="0"/>
    <x v="4"/>
    <s v="Afternoon"/>
    <s v="Under Construction"/>
    <s v="50+"/>
    <n v="2"/>
    <s v="Low"/>
    <s v="Expired"/>
    <b v="1"/>
    <n v="99"/>
    <s v="Rajasthan"/>
    <n v="10"/>
    <n v="3"/>
    <n v="4072"/>
    <s v="Paid"/>
    <s v="Not an Outliers"/>
    <x v="1"/>
  </r>
  <r>
    <d v="2024-11-09T00:00:00"/>
    <s v="Sector 56"/>
    <s v="Truck"/>
    <x v="1"/>
    <n v="1000"/>
    <b v="1"/>
    <x v="0"/>
    <s v="Afternoon"/>
    <s v="Wet"/>
    <s v="18-25"/>
    <n v="5"/>
    <s v="Low"/>
    <s v="Learner"/>
    <b v="0"/>
    <n v="29"/>
    <s v="Delhi"/>
    <n v="3"/>
    <n v="3"/>
    <n v="828"/>
    <s v="Unpaid"/>
    <s v="Not an Outliers"/>
    <x v="1"/>
  </r>
  <r>
    <d v="2024-11-09T00:00:00"/>
    <s v="Rajiv Chowk"/>
    <s v="Auto-rickshaw"/>
    <x v="1"/>
    <n v="1000"/>
    <b v="0"/>
    <x v="3"/>
    <s v="Night"/>
    <s v="Dry"/>
    <s v="36-50"/>
    <n v="2"/>
    <s v="High"/>
    <s v="Suspended"/>
    <b v="0"/>
    <n v="104"/>
    <s v="Punjab"/>
    <n v="9"/>
    <n v="3"/>
    <n v="2667"/>
    <s v="Paid"/>
    <s v="Not an Outliers"/>
    <x v="1"/>
  </r>
  <r>
    <d v="2024-11-09T00:00:00"/>
    <s v="Sheetala Mata Road"/>
    <s v="Bus"/>
    <x v="3"/>
    <n v="1597"/>
    <b v="0"/>
    <x v="0"/>
    <s v="Afternoon"/>
    <s v="Slippery"/>
    <s v="50+"/>
    <n v="4"/>
    <s v="Medium"/>
    <s v="Learner"/>
    <b v="0"/>
    <n v="113"/>
    <s v="Rajasthan"/>
    <n v="6"/>
    <n v="3"/>
    <n v="2710"/>
    <s v="Paid"/>
    <s v="Not an Outliers"/>
    <x v="1"/>
  </r>
  <r>
    <d v="2024-11-10T00:00:00"/>
    <s v="MG Road"/>
    <s v="Bus"/>
    <x v="5"/>
    <n v="2695"/>
    <b v="0"/>
    <x v="1"/>
    <s v="Evening"/>
    <s v="Slippery"/>
    <s v="36-50"/>
    <n v="5"/>
    <s v="High"/>
    <s v="Learner"/>
    <b v="1"/>
    <n v="38"/>
    <s v="Punjab"/>
    <n v="2"/>
    <n v="3"/>
    <n v="3305"/>
    <s v="Disputed"/>
    <s v="Not an Outliers"/>
    <x v="1"/>
  </r>
  <r>
    <d v="2024-11-10T00:00:00"/>
    <s v="Sheetala Mata Road"/>
    <s v="Bus"/>
    <x v="3"/>
    <n v="1596"/>
    <b v="1"/>
    <x v="4"/>
    <s v="Afternoon"/>
    <s v="Under Construction"/>
    <s v="50+"/>
    <n v="5"/>
    <s v="Medium"/>
    <s v="Suspended"/>
    <b v="1"/>
    <n v="9"/>
    <s v="Rajasthan"/>
    <n v="8"/>
    <n v="3"/>
    <n v="610"/>
    <s v="Disputed"/>
    <s v="Not an Outliers"/>
    <x v="1"/>
  </r>
  <r>
    <d v="2024-11-10T00:00:00"/>
    <s v="Rajiv Chowk"/>
    <s v="Truck"/>
    <x v="1"/>
    <n v="1000"/>
    <b v="1"/>
    <x v="2"/>
    <s v="Evening"/>
    <s v="Slippery"/>
    <s v="26-35"/>
    <n v="4"/>
    <s v="Low"/>
    <s v="Expired"/>
    <b v="1"/>
    <n v="69"/>
    <s v="Uttar Pradesh"/>
    <n v="3"/>
    <n v="2"/>
    <n v="4337"/>
    <s v="Disputed"/>
    <s v="Not an Outliers"/>
    <x v="1"/>
  </r>
  <r>
    <d v="2024-11-10T00:00:00"/>
    <s v="Huda City Center"/>
    <s v="Car"/>
    <x v="3"/>
    <n v="3645"/>
    <b v="0"/>
    <x v="2"/>
    <s v="Afternoon"/>
    <s v="Dry"/>
    <s v="26-35"/>
    <n v="4"/>
    <s v="Low"/>
    <s v="Learner"/>
    <b v="0"/>
    <n v="118"/>
    <s v="Rajasthan"/>
    <n v="4"/>
    <n v="3"/>
    <n v="4577"/>
    <s v="Unpaid"/>
    <s v="Not an Outliers"/>
    <x v="1"/>
  </r>
  <r>
    <d v="2024-11-10T00:00:00"/>
    <s v="MG Road"/>
    <s v="Car"/>
    <x v="1"/>
    <n v="1000"/>
    <b v="0"/>
    <x v="0"/>
    <s v="Morning"/>
    <s v="Dry"/>
    <s v="18-25"/>
    <n v="4"/>
    <s v="Low"/>
    <s v="Valid"/>
    <b v="1"/>
    <n v="90"/>
    <s v="Rajasthan"/>
    <n v="3"/>
    <n v="1"/>
    <n v="2886"/>
    <s v="Disputed"/>
    <s v="Not an Outliers"/>
    <x v="1"/>
  </r>
  <r>
    <d v="2024-11-11T00:00:00"/>
    <s v="Manesar Toll"/>
    <s v="Truck"/>
    <x v="3"/>
    <n v="2493"/>
    <b v="0"/>
    <x v="4"/>
    <s v="Evening"/>
    <s v="Dry"/>
    <s v="36-50"/>
    <n v="3"/>
    <s v="Low"/>
    <s v="Valid"/>
    <b v="1"/>
    <n v="22"/>
    <s v="Haryana"/>
    <n v="9"/>
    <n v="3"/>
    <n v="2517"/>
    <s v="Paid"/>
    <s v="Not an Outliers"/>
    <x v="0"/>
  </r>
  <r>
    <d v="2024-11-11T00:00:00"/>
    <s v="Manesar Toll"/>
    <s v="Auto-rickshaw"/>
    <x v="4"/>
    <n v="7463"/>
    <b v="1"/>
    <x v="2"/>
    <s v="Night"/>
    <s v="Wet"/>
    <s v="50+"/>
    <n v="5"/>
    <s v="High"/>
    <s v="Learner"/>
    <b v="0"/>
    <n v="120"/>
    <s v="Haryana"/>
    <n v="2"/>
    <n v="3"/>
    <n v="1633"/>
    <s v="Paid"/>
    <s v="Not an Outliers"/>
    <x v="0"/>
  </r>
  <r>
    <d v="2024-11-11T00:00:00"/>
    <s v="Rajiv Chowk"/>
    <s v="Car"/>
    <x v="5"/>
    <n v="6843"/>
    <b v="1"/>
    <x v="4"/>
    <s v="Night"/>
    <s v="Under Construction"/>
    <s v="36-50"/>
    <n v="4"/>
    <s v="High"/>
    <s v="Expired"/>
    <b v="1"/>
    <n v="57"/>
    <s v="Uttar Pradesh"/>
    <n v="10"/>
    <n v="2"/>
    <n v="2865"/>
    <s v="Paid"/>
    <s v="Not an Outliers"/>
    <x v="0"/>
  </r>
  <r>
    <d v="2024-11-11T00:00:00"/>
    <s v="Udyog Vihar"/>
    <s v="Truck"/>
    <x v="2"/>
    <n v="4152"/>
    <b v="0"/>
    <x v="4"/>
    <s v="Night"/>
    <s v="Under Construction"/>
    <s v="36-50"/>
    <n v="3"/>
    <s v="Low"/>
    <s v="Valid"/>
    <b v="1"/>
    <n v="70"/>
    <s v="Uttar Pradesh"/>
    <n v="2"/>
    <n v="1"/>
    <n v="4509"/>
    <s v="Paid"/>
    <s v="Not an Outliers"/>
    <x v="0"/>
  </r>
  <r>
    <d v="2024-11-11T00:00:00"/>
    <s v="NH-8"/>
    <s v="Bike"/>
    <x v="0"/>
    <n v="1000"/>
    <b v="1"/>
    <x v="1"/>
    <s v="Evening"/>
    <s v="Under Construction"/>
    <s v="36-50"/>
    <n v="1"/>
    <s v="Medium"/>
    <s v="Suspended"/>
    <b v="0"/>
    <n v="40"/>
    <s v="Haryana"/>
    <n v="5"/>
    <n v="3"/>
    <n v="2416"/>
    <s v="Paid"/>
    <s v="Not an Outliers"/>
    <x v="0"/>
  </r>
  <r>
    <d v="2024-11-12T00:00:00"/>
    <s v="Sohna Road near Iris Tech Park"/>
    <s v="Car"/>
    <x v="1"/>
    <n v="1000"/>
    <b v="0"/>
    <x v="2"/>
    <s v="Night"/>
    <s v="Under Construction"/>
    <s v="36-50"/>
    <n v="3"/>
    <s v="High"/>
    <s v="Suspended"/>
    <b v="1"/>
    <n v="92"/>
    <s v="Punjab"/>
    <n v="4"/>
    <n v="3"/>
    <n v="1902"/>
    <s v="Disputed"/>
    <s v="Not an Outliers"/>
    <x v="0"/>
  </r>
  <r>
    <d v="2024-11-13T00:00:00"/>
    <s v="Signature Tower Chowk"/>
    <s v="Car"/>
    <x v="3"/>
    <n v="4380"/>
    <b v="0"/>
    <x v="2"/>
    <s v="Evening"/>
    <s v="Wet"/>
    <s v="26-35"/>
    <n v="3"/>
    <s v="Medium"/>
    <s v="Valid"/>
    <b v="0"/>
    <n v="4"/>
    <s v="Haryana"/>
    <n v="2"/>
    <n v="3"/>
    <n v="2013"/>
    <s v="Paid"/>
    <s v="Not an Outliers"/>
    <x v="0"/>
  </r>
  <r>
    <d v="2024-11-13T00:00:00"/>
    <s v="Sheetala Mata Road"/>
    <s v="Auto-rickshaw"/>
    <x v="3"/>
    <n v="3647"/>
    <b v="1"/>
    <x v="3"/>
    <s v="Morning"/>
    <s v="Dry"/>
    <s v="18-25"/>
    <n v="3"/>
    <s v="High"/>
    <s v="Expired"/>
    <b v="0"/>
    <n v="64"/>
    <s v="Delhi"/>
    <n v="7"/>
    <n v="1"/>
    <n v="1072"/>
    <s v="Paid"/>
    <s v="Not an Outliers"/>
    <x v="0"/>
  </r>
  <r>
    <d v="2024-11-13T00:00:00"/>
    <s v="Manesar Toll"/>
    <s v="Bus"/>
    <x v="4"/>
    <n v="8691"/>
    <b v="1"/>
    <x v="0"/>
    <s v="Night"/>
    <s v="Wet"/>
    <s v="50+"/>
    <n v="5"/>
    <s v="High"/>
    <s v="Learner"/>
    <b v="1"/>
    <n v="35"/>
    <s v="Delhi"/>
    <n v="6"/>
    <n v="2"/>
    <n v="2976"/>
    <s v="Paid"/>
    <s v="Not an Outliers"/>
    <x v="0"/>
  </r>
  <r>
    <d v="2024-11-13T00:00:00"/>
    <s v="Golf Course Road"/>
    <s v="Bike"/>
    <x v="2"/>
    <n v="3130"/>
    <b v="0"/>
    <x v="1"/>
    <s v="Afternoon"/>
    <s v="Under Construction"/>
    <s v="18-25"/>
    <n v="0"/>
    <s v="Medium"/>
    <s v="Learner"/>
    <b v="1"/>
    <n v="105"/>
    <s v="Delhi"/>
    <n v="10"/>
    <n v="1"/>
    <n v="681"/>
    <s v="Paid"/>
    <s v="Not an Outliers"/>
    <x v="0"/>
  </r>
  <r>
    <d v="2024-11-13T00:00:00"/>
    <s v="Sheetala Mata Road"/>
    <s v="Bike"/>
    <x v="4"/>
    <n v="5589"/>
    <b v="1"/>
    <x v="0"/>
    <s v="Evening"/>
    <s v="Slippery"/>
    <s v="50+"/>
    <n v="0"/>
    <s v="High"/>
    <s v="Suspended"/>
    <b v="1"/>
    <n v="18"/>
    <s v="Haryana"/>
    <n v="9"/>
    <n v="1"/>
    <n v="1341"/>
    <s v="Paid"/>
    <s v="Not an Outliers"/>
    <x v="0"/>
  </r>
  <r>
    <d v="2024-11-13T00:00:00"/>
    <s v="Manesar Toll"/>
    <s v="Truck"/>
    <x v="5"/>
    <n v="5996"/>
    <b v="1"/>
    <x v="1"/>
    <s v="Afternoon"/>
    <s v="Slippery"/>
    <s v="36-50"/>
    <n v="5"/>
    <s v="Low"/>
    <s v="Suspended"/>
    <b v="0"/>
    <n v="36"/>
    <s v="Haryana"/>
    <n v="10"/>
    <n v="1"/>
    <n v="3192"/>
    <s v="Disputed"/>
    <s v="Not an Outliers"/>
    <x v="0"/>
  </r>
  <r>
    <d v="2024-11-14T00:00:00"/>
    <s v="Sheetala Mata Road"/>
    <s v="Bus"/>
    <x v="1"/>
    <n v="1000"/>
    <b v="0"/>
    <x v="1"/>
    <s v="Afternoon"/>
    <s v="Slippery"/>
    <s v="50+"/>
    <n v="1"/>
    <s v="High"/>
    <s v="Learner"/>
    <b v="1"/>
    <n v="20"/>
    <s v="Uttar Pradesh"/>
    <n v="9"/>
    <n v="1"/>
    <n v="2046"/>
    <s v="Paid"/>
    <s v="Not an Outliers"/>
    <x v="0"/>
  </r>
  <r>
    <d v="2024-11-14T00:00:00"/>
    <s v="Cyber City"/>
    <s v="Car"/>
    <x v="5"/>
    <n v="5718"/>
    <b v="0"/>
    <x v="0"/>
    <s v="Afternoon"/>
    <s v="Under Construction"/>
    <s v="36-50"/>
    <n v="4"/>
    <s v="High"/>
    <s v="Valid"/>
    <b v="1"/>
    <n v="35"/>
    <s v="Delhi"/>
    <n v="10"/>
    <n v="2"/>
    <n v="3013"/>
    <s v="Unpaid"/>
    <s v="Not an Outliers"/>
    <x v="0"/>
  </r>
  <r>
    <d v="2024-11-14T00:00:00"/>
    <s v="MG Road"/>
    <s v="Bus"/>
    <x v="4"/>
    <n v="5353"/>
    <b v="0"/>
    <x v="1"/>
    <s v="Evening"/>
    <s v="Under Construction"/>
    <s v="26-35"/>
    <n v="9"/>
    <s v="Low"/>
    <s v="Suspended"/>
    <b v="1"/>
    <n v="46"/>
    <s v="Haryana"/>
    <n v="8"/>
    <n v="3"/>
    <n v="2210"/>
    <s v="Disputed"/>
    <s v="Not an Outliers"/>
    <x v="0"/>
  </r>
  <r>
    <d v="2024-11-15T00:00:00"/>
    <s v="Signature Tower Chowk"/>
    <s v="Truck"/>
    <x v="5"/>
    <n v="6405"/>
    <b v="0"/>
    <x v="1"/>
    <s v="Evening"/>
    <s v="Slippery"/>
    <s v="26-35"/>
    <n v="5"/>
    <s v="High"/>
    <s v="Expired"/>
    <b v="1"/>
    <n v="92"/>
    <s v="Delhi"/>
    <n v="2"/>
    <n v="1"/>
    <n v="3865"/>
    <s v="Disputed"/>
    <s v="Not an Outliers"/>
    <x v="0"/>
  </r>
  <r>
    <d v="2024-11-15T00:00:00"/>
    <s v="Huda City Center"/>
    <s v="Bike"/>
    <x v="4"/>
    <n v="8363"/>
    <b v="0"/>
    <x v="1"/>
    <s v="Night"/>
    <s v="Wet"/>
    <s v="36-50"/>
    <n v="1"/>
    <s v="High"/>
    <s v="Suspended"/>
    <b v="0"/>
    <n v="70"/>
    <s v="Delhi"/>
    <n v="7"/>
    <n v="3"/>
    <n v="1381"/>
    <s v="Paid"/>
    <s v="Not an Outliers"/>
    <x v="0"/>
  </r>
  <r>
    <d v="2024-11-16T00:00:00"/>
    <s v="Sector 29"/>
    <s v="Car"/>
    <x v="2"/>
    <n v="4872"/>
    <b v="0"/>
    <x v="2"/>
    <s v="Morning"/>
    <s v="Wet"/>
    <s v="18-25"/>
    <n v="1"/>
    <s v="Low"/>
    <s v="Valid"/>
    <b v="0"/>
    <n v="19"/>
    <s v="Uttar Pradesh"/>
    <n v="5"/>
    <n v="1"/>
    <n v="4258"/>
    <s v="Paid"/>
    <s v="Not an Outliers"/>
    <x v="1"/>
  </r>
  <r>
    <d v="2024-11-16T00:00:00"/>
    <s v="Sector 29"/>
    <s v="Bus"/>
    <x v="3"/>
    <n v="4488"/>
    <b v="0"/>
    <x v="1"/>
    <s v="Morning"/>
    <s v="Dry"/>
    <s v="18-25"/>
    <n v="4"/>
    <s v="High"/>
    <s v="Expired"/>
    <b v="1"/>
    <n v="92"/>
    <s v="Delhi"/>
    <n v="1"/>
    <n v="1"/>
    <n v="2315"/>
    <s v="Unpaid"/>
    <s v="Not an Outliers"/>
    <x v="1"/>
  </r>
  <r>
    <d v="2024-11-16T00:00:00"/>
    <s v="Signature Tower Chowk"/>
    <s v="Car"/>
    <x v="4"/>
    <n v="6036"/>
    <b v="0"/>
    <x v="2"/>
    <s v="Night"/>
    <s v="Dry"/>
    <s v="18-25"/>
    <n v="5"/>
    <s v="Low"/>
    <s v="Valid"/>
    <b v="0"/>
    <n v="34"/>
    <s v="Uttar Pradesh"/>
    <n v="6"/>
    <n v="3"/>
    <n v="4248"/>
    <s v="Unpaid"/>
    <s v="Not an Outliers"/>
    <x v="1"/>
  </r>
  <r>
    <d v="2024-11-16T00:00:00"/>
    <s v="Golf Course Road"/>
    <s v="Car"/>
    <x v="2"/>
    <n v="2227"/>
    <b v="1"/>
    <x v="0"/>
    <s v="Afternoon"/>
    <s v="Wet"/>
    <s v="36-50"/>
    <n v="2"/>
    <s v="Low"/>
    <s v="Expired"/>
    <b v="0"/>
    <n v="97"/>
    <s v="Punjab"/>
    <n v="2"/>
    <n v="3"/>
    <n v="1620"/>
    <s v="Unpaid"/>
    <s v="Not an Outliers"/>
    <x v="1"/>
  </r>
  <r>
    <d v="2024-11-17T00:00:00"/>
    <s v="Sheetala Mata Road"/>
    <s v="Bike"/>
    <x v="3"/>
    <n v="3096"/>
    <b v="0"/>
    <x v="3"/>
    <s v="Night"/>
    <s v="Wet"/>
    <s v="26-35"/>
    <n v="1"/>
    <s v="Low"/>
    <s v="Learner"/>
    <b v="1"/>
    <n v="95"/>
    <s v="Punjab"/>
    <n v="8"/>
    <n v="2"/>
    <n v="2341"/>
    <s v="Unpaid"/>
    <s v="Not an Outliers"/>
    <x v="1"/>
  </r>
  <r>
    <d v="2024-11-17T00:00:00"/>
    <s v="Manesar Toll"/>
    <s v="Truck"/>
    <x v="4"/>
    <n v="8321"/>
    <b v="1"/>
    <x v="0"/>
    <s v="Evening"/>
    <s v="Wet"/>
    <s v="26-35"/>
    <n v="4"/>
    <s v="Medium"/>
    <s v="Learner"/>
    <b v="1"/>
    <n v="22"/>
    <s v="Rajasthan"/>
    <n v="4"/>
    <n v="3"/>
    <n v="1889"/>
    <s v="Disputed"/>
    <s v="Not an Outliers"/>
    <x v="1"/>
  </r>
  <r>
    <d v="2024-11-17T00:00:00"/>
    <s v="Cyber City"/>
    <s v="Truck"/>
    <x v="3"/>
    <n v="2220"/>
    <b v="1"/>
    <x v="4"/>
    <s v="Evening"/>
    <s v="Dry"/>
    <s v="36-50"/>
    <n v="1"/>
    <s v="Medium"/>
    <s v="Suspended"/>
    <b v="0"/>
    <n v="91"/>
    <s v="Haryana"/>
    <n v="5"/>
    <n v="3"/>
    <n v="2753"/>
    <s v="Disputed"/>
    <s v="Not an Outliers"/>
    <x v="1"/>
  </r>
  <r>
    <d v="2024-11-18T00:00:00"/>
    <s v="NH-8"/>
    <s v="Bus"/>
    <x v="3"/>
    <n v="4018"/>
    <b v="1"/>
    <x v="1"/>
    <s v="Night"/>
    <s v="Wet"/>
    <s v="18-25"/>
    <n v="11"/>
    <s v="Medium"/>
    <s v="Expired"/>
    <b v="0"/>
    <n v="102"/>
    <s v="Haryana"/>
    <n v="5"/>
    <n v="1"/>
    <n v="865"/>
    <s v="Disputed"/>
    <s v="Not an Outliers"/>
    <x v="0"/>
  </r>
  <r>
    <d v="2024-11-18T00:00:00"/>
    <s v="Sector 56"/>
    <s v="Bike"/>
    <x v="2"/>
    <n v="2914"/>
    <b v="0"/>
    <x v="2"/>
    <s v="Evening"/>
    <s v="Dry"/>
    <s v="36-50"/>
    <n v="0"/>
    <s v="High"/>
    <s v="Valid"/>
    <b v="1"/>
    <n v="113"/>
    <s v="Haryana"/>
    <n v="4"/>
    <n v="1"/>
    <n v="3495"/>
    <s v="Paid"/>
    <s v="Not an Outliers"/>
    <x v="0"/>
  </r>
  <r>
    <d v="2024-11-18T00:00:00"/>
    <s v="Sikanderpur"/>
    <s v="Truck"/>
    <x v="5"/>
    <n v="5674"/>
    <b v="1"/>
    <x v="3"/>
    <s v="Evening"/>
    <s v="Dry"/>
    <s v="18-25"/>
    <n v="4"/>
    <s v="Medium"/>
    <s v="Learner"/>
    <b v="0"/>
    <n v="95"/>
    <s v="Rajasthan"/>
    <n v="7"/>
    <n v="2"/>
    <n v="2143"/>
    <s v="Disputed"/>
    <s v="Not an Outliers"/>
    <x v="0"/>
  </r>
  <r>
    <d v="2024-11-18T00:00:00"/>
    <s v="Huda City Center"/>
    <s v="Truck"/>
    <x v="1"/>
    <n v="1000"/>
    <b v="1"/>
    <x v="3"/>
    <s v="Afternoon"/>
    <s v="Slippery"/>
    <s v="50+"/>
    <n v="3"/>
    <s v="High"/>
    <s v="Learner"/>
    <b v="1"/>
    <n v="63"/>
    <s v="Rajasthan"/>
    <n v="5"/>
    <n v="1"/>
    <n v="4415"/>
    <s v="Paid"/>
    <s v="Not an Outliers"/>
    <x v="0"/>
  </r>
  <r>
    <d v="2024-11-19T00:00:00"/>
    <s v="Sikanderpur"/>
    <s v="Auto-rickshaw"/>
    <x v="2"/>
    <n v="1206"/>
    <b v="0"/>
    <x v="2"/>
    <s v="Afternoon"/>
    <s v="Under Construction"/>
    <s v="18-25"/>
    <n v="2"/>
    <s v="Medium"/>
    <s v="Valid"/>
    <b v="1"/>
    <n v="115"/>
    <s v="Punjab"/>
    <n v="5"/>
    <n v="3"/>
    <n v="3071"/>
    <s v="Unpaid"/>
    <s v="Not an Outliers"/>
    <x v="0"/>
  </r>
  <r>
    <d v="2024-11-19T00:00:00"/>
    <s v="Sohna Road near Iris Tech Park"/>
    <s v="Car"/>
    <x v="5"/>
    <n v="5191"/>
    <b v="1"/>
    <x v="4"/>
    <s v="Evening"/>
    <s v="Dry"/>
    <s v="50+"/>
    <n v="0"/>
    <s v="Low"/>
    <s v="Expired"/>
    <b v="0"/>
    <n v="99"/>
    <s v="Rajasthan"/>
    <n v="2"/>
    <n v="1"/>
    <n v="2629"/>
    <s v="Disputed"/>
    <s v="Not an Outliers"/>
    <x v="0"/>
  </r>
  <r>
    <d v="2024-11-20T00:00:00"/>
    <s v="Sector 56"/>
    <s v="Truck"/>
    <x v="4"/>
    <n v="6050"/>
    <b v="0"/>
    <x v="3"/>
    <s v="Night"/>
    <s v="Dry"/>
    <s v="26-35"/>
    <n v="4"/>
    <s v="Medium"/>
    <s v="Expired"/>
    <b v="0"/>
    <n v="28"/>
    <s v="Punjab"/>
    <n v="3"/>
    <n v="3"/>
    <n v="1774"/>
    <s v="Disputed"/>
    <s v="Not an Outliers"/>
    <x v="0"/>
  </r>
  <r>
    <d v="2024-11-20T00:00:00"/>
    <s v="Signature Tower Chowk"/>
    <s v="Bike"/>
    <x v="5"/>
    <n v="5652"/>
    <b v="0"/>
    <x v="2"/>
    <s v="Evening"/>
    <s v="Dry"/>
    <s v="36-50"/>
    <n v="2"/>
    <s v="High"/>
    <s v="Learner"/>
    <b v="1"/>
    <n v="43"/>
    <s v="Punjab"/>
    <n v="10"/>
    <n v="3"/>
    <n v="4820"/>
    <s v="Disputed"/>
    <s v="Not an Outliers"/>
    <x v="0"/>
  </r>
  <r>
    <d v="2024-11-21T00:00:00"/>
    <s v="Manesar Toll"/>
    <s v="Bike"/>
    <x v="0"/>
    <n v="1000"/>
    <b v="1"/>
    <x v="4"/>
    <s v="Evening"/>
    <s v="Dry"/>
    <s v="50+"/>
    <n v="0"/>
    <s v="High"/>
    <s v="Expired"/>
    <b v="1"/>
    <n v="41"/>
    <s v="Rajasthan"/>
    <n v="5"/>
    <n v="3"/>
    <n v="3941"/>
    <s v="Paid"/>
    <s v="Not an Outliers"/>
    <x v="0"/>
  </r>
  <r>
    <d v="2024-11-22T00:00:00"/>
    <s v="Udyog Vihar"/>
    <s v="Auto-rickshaw"/>
    <x v="3"/>
    <n v="2288"/>
    <b v="0"/>
    <x v="1"/>
    <s v="Afternoon"/>
    <s v="Dry"/>
    <s v="50+"/>
    <n v="4"/>
    <s v="Low"/>
    <s v="Valid"/>
    <b v="0"/>
    <n v="8"/>
    <s v="Rajasthan"/>
    <n v="4"/>
    <n v="2"/>
    <n v="4452"/>
    <s v="Disputed"/>
    <s v="Not an Outliers"/>
    <x v="0"/>
  </r>
  <r>
    <d v="2024-11-22T00:00:00"/>
    <s v="Signature Tower Chowk"/>
    <s v="Truck"/>
    <x v="4"/>
    <n v="7672"/>
    <b v="0"/>
    <x v="4"/>
    <s v="Evening"/>
    <s v="Under Construction"/>
    <s v="50+"/>
    <n v="5"/>
    <s v="Medium"/>
    <s v="Learner"/>
    <b v="0"/>
    <n v="99"/>
    <s v="Rajasthan"/>
    <n v="10"/>
    <n v="3"/>
    <n v="4053"/>
    <s v="Unpaid"/>
    <s v="Not an Outliers"/>
    <x v="0"/>
  </r>
  <r>
    <d v="2024-11-22T00:00:00"/>
    <s v="Sector 29"/>
    <s v="Bus"/>
    <x v="5"/>
    <n v="4245"/>
    <b v="0"/>
    <x v="1"/>
    <s v="Night"/>
    <s v="Wet"/>
    <s v="36-50"/>
    <n v="2"/>
    <s v="Low"/>
    <s v="Suspended"/>
    <b v="1"/>
    <n v="33"/>
    <s v="Haryana"/>
    <n v="3"/>
    <n v="2"/>
    <n v="3377"/>
    <s v="Unpaid"/>
    <s v="Not an Outliers"/>
    <x v="0"/>
  </r>
  <r>
    <d v="2024-11-23T00:00:00"/>
    <s v="Golf Course Road"/>
    <s v="Auto-rickshaw"/>
    <x v="2"/>
    <n v="2478"/>
    <b v="1"/>
    <x v="2"/>
    <s v="Afternoon"/>
    <s v="Slippery"/>
    <s v="36-50"/>
    <n v="5"/>
    <s v="High"/>
    <s v="Valid"/>
    <b v="0"/>
    <n v="111"/>
    <s v="Haryana"/>
    <n v="10"/>
    <n v="3"/>
    <n v="3168"/>
    <s v="Unpaid"/>
    <s v="Not an Outliers"/>
    <x v="1"/>
  </r>
  <r>
    <d v="2024-11-23T00:00:00"/>
    <s v="Signature Tower Chowk"/>
    <s v="Truck"/>
    <x v="2"/>
    <n v="4287"/>
    <b v="0"/>
    <x v="3"/>
    <s v="Afternoon"/>
    <s v="Under Construction"/>
    <s v="50+"/>
    <n v="3"/>
    <s v="High"/>
    <s v="Expired"/>
    <b v="0"/>
    <n v="61"/>
    <s v="Delhi"/>
    <n v="8"/>
    <n v="1"/>
    <n v="3860"/>
    <s v="Paid"/>
    <s v="Not an Outliers"/>
    <x v="1"/>
  </r>
  <r>
    <d v="2024-11-23T00:00:00"/>
    <s v="NH-8"/>
    <s v="Car"/>
    <x v="5"/>
    <n v="4822"/>
    <b v="0"/>
    <x v="2"/>
    <s v="Afternoon"/>
    <s v="Wet"/>
    <s v="26-35"/>
    <n v="2"/>
    <s v="Low"/>
    <s v="Valid"/>
    <b v="1"/>
    <n v="52"/>
    <s v="Uttar Pradesh"/>
    <n v="6"/>
    <n v="2"/>
    <n v="4469"/>
    <s v="Paid"/>
    <s v="Not an Outliers"/>
    <x v="1"/>
  </r>
  <r>
    <d v="2024-11-24T00:00:00"/>
    <s v="Signature Tower Chowk"/>
    <s v="Bike"/>
    <x v="0"/>
    <n v="1000"/>
    <b v="0"/>
    <x v="1"/>
    <s v="Night"/>
    <s v="Under Construction"/>
    <s v="50+"/>
    <n v="3"/>
    <s v="Low"/>
    <s v="Valid"/>
    <b v="1"/>
    <n v="54"/>
    <s v="Rajasthan"/>
    <n v="4"/>
    <n v="1"/>
    <n v="1855"/>
    <s v="Unpaid"/>
    <s v="Not an Outliers"/>
    <x v="1"/>
  </r>
  <r>
    <d v="2024-11-24T00:00:00"/>
    <s v="Sohna Road near Iris Tech Park"/>
    <s v="Car"/>
    <x v="1"/>
    <n v="1000"/>
    <b v="0"/>
    <x v="1"/>
    <s v="Afternoon"/>
    <s v="Wet"/>
    <s v="26-35"/>
    <n v="5"/>
    <s v="Medium"/>
    <s v="Valid"/>
    <b v="1"/>
    <n v="20"/>
    <s v="Rajasthan"/>
    <n v="9"/>
    <n v="2"/>
    <n v="1856"/>
    <s v="Unpaid"/>
    <s v="Not an Outliers"/>
    <x v="1"/>
  </r>
  <r>
    <d v="2024-11-24T00:00:00"/>
    <s v="Sohna Road near Iris Tech Park"/>
    <s v="Bike"/>
    <x v="0"/>
    <n v="1000"/>
    <b v="0"/>
    <x v="2"/>
    <s v="Afternoon"/>
    <s v="Dry"/>
    <s v="18-25"/>
    <n v="2"/>
    <s v="Medium"/>
    <s v="Learner"/>
    <b v="0"/>
    <n v="52"/>
    <s v="Rajasthan"/>
    <n v="6"/>
    <n v="1"/>
    <n v="1152"/>
    <s v="Disputed"/>
    <s v="Not an Outliers"/>
    <x v="1"/>
  </r>
  <r>
    <d v="2024-11-24T00:00:00"/>
    <s v="Signature Tower Chowk"/>
    <s v="Bike"/>
    <x v="4"/>
    <n v="8096"/>
    <b v="0"/>
    <x v="4"/>
    <s v="Morning"/>
    <s v="Under Construction"/>
    <s v="36-50"/>
    <n v="2"/>
    <s v="High"/>
    <s v="Suspended"/>
    <b v="1"/>
    <n v="77"/>
    <s v="Delhi"/>
    <n v="8"/>
    <n v="3"/>
    <n v="879"/>
    <s v="Paid"/>
    <s v="Not an Outliers"/>
    <x v="1"/>
  </r>
  <r>
    <d v="2024-11-25T00:00:00"/>
    <s v="Huda City Center"/>
    <s v="Car"/>
    <x v="5"/>
    <n v="3362"/>
    <b v="0"/>
    <x v="2"/>
    <s v="Morning"/>
    <s v="Slippery"/>
    <s v="50+"/>
    <n v="4"/>
    <s v="Medium"/>
    <s v="Expired"/>
    <b v="0"/>
    <n v="119"/>
    <s v="Uttar Pradesh"/>
    <n v="3"/>
    <n v="3"/>
    <n v="4043"/>
    <s v="Unpaid"/>
    <s v="Not an Outliers"/>
    <x v="0"/>
  </r>
  <r>
    <d v="2024-11-25T00:00:00"/>
    <s v="Huda City Center"/>
    <s v="Auto-rickshaw"/>
    <x v="5"/>
    <n v="6423"/>
    <b v="0"/>
    <x v="2"/>
    <s v="Afternoon"/>
    <s v="Slippery"/>
    <s v="26-35"/>
    <n v="5"/>
    <s v="Low"/>
    <s v="Suspended"/>
    <b v="0"/>
    <n v="40"/>
    <s v="Punjab"/>
    <n v="10"/>
    <n v="2"/>
    <n v="4407"/>
    <s v="Paid"/>
    <s v="Not an Outliers"/>
    <x v="0"/>
  </r>
  <r>
    <d v="2024-11-25T00:00:00"/>
    <s v="Sector 56"/>
    <s v="Truck"/>
    <x v="3"/>
    <n v="3624"/>
    <b v="1"/>
    <x v="2"/>
    <s v="Morning"/>
    <s v="Under Construction"/>
    <s v="18-25"/>
    <n v="5"/>
    <s v="Low"/>
    <s v="Expired"/>
    <b v="1"/>
    <n v="57"/>
    <s v="Uttar Pradesh"/>
    <n v="8"/>
    <n v="1"/>
    <n v="3802"/>
    <s v="Unpaid"/>
    <s v="Not an Outliers"/>
    <x v="0"/>
  </r>
  <r>
    <d v="2024-11-25T00:00:00"/>
    <s v="Udyog Vihar"/>
    <s v="Truck"/>
    <x v="2"/>
    <n v="1962"/>
    <b v="1"/>
    <x v="1"/>
    <s v="Afternoon"/>
    <s v="Under Construction"/>
    <s v="50+"/>
    <n v="3"/>
    <s v="High"/>
    <s v="Valid"/>
    <b v="1"/>
    <n v="77"/>
    <s v="Delhi"/>
    <n v="8"/>
    <n v="1"/>
    <n v="1825"/>
    <s v="Unpaid"/>
    <s v="Not an Outliers"/>
    <x v="0"/>
  </r>
  <r>
    <d v="2024-11-27T00:00:00"/>
    <s v="Sector 29"/>
    <s v="Bus"/>
    <x v="3"/>
    <n v="2202"/>
    <b v="0"/>
    <x v="4"/>
    <s v="Morning"/>
    <s v="Wet"/>
    <s v="36-50"/>
    <n v="5"/>
    <s v="Low"/>
    <s v="Valid"/>
    <b v="1"/>
    <n v="26"/>
    <s v="Uttar Pradesh"/>
    <n v="6"/>
    <n v="2"/>
    <n v="2456"/>
    <s v="Paid"/>
    <s v="Not an Outliers"/>
    <x v="0"/>
  </r>
  <r>
    <d v="2024-11-27T00:00:00"/>
    <s v="Huda City Center"/>
    <s v="Bike"/>
    <x v="4"/>
    <n v="8717"/>
    <b v="0"/>
    <x v="3"/>
    <s v="Night"/>
    <s v="Wet"/>
    <s v="50+"/>
    <n v="4"/>
    <s v="Medium"/>
    <s v="Learner"/>
    <b v="1"/>
    <n v="3"/>
    <s v="Rajasthan"/>
    <n v="3"/>
    <n v="2"/>
    <n v="1803"/>
    <s v="Unpaid"/>
    <s v="Not an Outliers"/>
    <x v="0"/>
  </r>
  <r>
    <d v="2024-11-28T00:00:00"/>
    <s v="Sector 56"/>
    <s v="Car"/>
    <x v="1"/>
    <n v="1000"/>
    <b v="0"/>
    <x v="3"/>
    <s v="Night"/>
    <s v="Wet"/>
    <s v="26-35"/>
    <n v="4"/>
    <s v="Low"/>
    <s v="Suspended"/>
    <b v="1"/>
    <n v="71"/>
    <s v="Delhi"/>
    <n v="9"/>
    <n v="3"/>
    <n v="2025"/>
    <s v="Paid"/>
    <s v="Not an Outliers"/>
    <x v="0"/>
  </r>
  <r>
    <d v="2024-11-28T00:00:00"/>
    <s v="Sector 56"/>
    <s v="Auto-rickshaw"/>
    <x v="3"/>
    <n v="3077"/>
    <b v="1"/>
    <x v="1"/>
    <s v="Afternoon"/>
    <s v="Slippery"/>
    <s v="26-35"/>
    <n v="1"/>
    <s v="High"/>
    <s v="Learner"/>
    <b v="1"/>
    <n v="105"/>
    <s v="Punjab"/>
    <n v="3"/>
    <n v="2"/>
    <n v="3961"/>
    <s v="Unpaid"/>
    <s v="Not an Outliers"/>
    <x v="0"/>
  </r>
  <r>
    <d v="2024-12-01T00:00:00"/>
    <s v="Cyber City"/>
    <s v="Bike"/>
    <x v="2"/>
    <n v="1111"/>
    <b v="1"/>
    <x v="2"/>
    <s v="Night"/>
    <s v="Dry"/>
    <s v="18-25"/>
    <n v="0"/>
    <s v="High"/>
    <s v="Learner"/>
    <b v="0"/>
    <n v="10"/>
    <s v="Punjab"/>
    <n v="1"/>
    <n v="1"/>
    <n v="1384"/>
    <s v="Paid"/>
    <s v="Not an Outliers"/>
    <x v="1"/>
  </r>
  <r>
    <d v="2024-12-01T00:00:00"/>
    <s v="Huda City Center"/>
    <s v="Bike"/>
    <x v="0"/>
    <n v="1000"/>
    <b v="0"/>
    <x v="2"/>
    <s v="Afternoon"/>
    <s v="Wet"/>
    <s v="50+"/>
    <n v="1"/>
    <s v="Medium"/>
    <s v="Expired"/>
    <b v="1"/>
    <n v="106"/>
    <s v="Delhi"/>
    <n v="7"/>
    <n v="2"/>
    <n v="4496"/>
    <s v="Paid"/>
    <s v="Not an Outliers"/>
    <x v="1"/>
  </r>
  <r>
    <d v="2024-12-01T00:00:00"/>
    <s v="Signature Tower Chowk"/>
    <s v="Truck"/>
    <x v="1"/>
    <n v="1000"/>
    <b v="1"/>
    <x v="1"/>
    <s v="Afternoon"/>
    <s v="Dry"/>
    <s v="18-25"/>
    <n v="3"/>
    <s v="Low"/>
    <s v="Expired"/>
    <b v="1"/>
    <n v="36"/>
    <s v="Uttar Pradesh"/>
    <n v="6"/>
    <n v="1"/>
    <n v="579"/>
    <s v="Paid"/>
    <s v="Not an Outliers"/>
    <x v="1"/>
  </r>
  <r>
    <d v="2024-12-01T00:00:00"/>
    <s v="Sohna Road near Iris Tech Park"/>
    <s v="Car"/>
    <x v="5"/>
    <n v="2592"/>
    <b v="0"/>
    <x v="0"/>
    <s v="Afternoon"/>
    <s v="Under Construction"/>
    <s v="18-25"/>
    <n v="1"/>
    <s v="High"/>
    <s v="Learner"/>
    <b v="0"/>
    <n v="59"/>
    <s v="Punjab"/>
    <n v="8"/>
    <n v="3"/>
    <n v="2059"/>
    <s v="Paid"/>
    <s v="Not an Outliers"/>
    <x v="1"/>
  </r>
  <r>
    <d v="2024-12-01T00:00:00"/>
    <s v="Sikanderpur"/>
    <s v="Auto-rickshaw"/>
    <x v="1"/>
    <n v="1000"/>
    <b v="0"/>
    <x v="4"/>
    <s v="Evening"/>
    <s v="Slippery"/>
    <s v="50+"/>
    <n v="4"/>
    <s v="Medium"/>
    <s v="Valid"/>
    <b v="0"/>
    <n v="96"/>
    <s v="Uttar Pradesh"/>
    <n v="4"/>
    <n v="3"/>
    <n v="1261"/>
    <s v="Disputed"/>
    <s v="Not an Outliers"/>
    <x v="1"/>
  </r>
  <r>
    <d v="2024-12-01T00:00:00"/>
    <s v="Sheetala Mata Road"/>
    <s v="Bus"/>
    <x v="1"/>
    <n v="1000"/>
    <b v="0"/>
    <x v="0"/>
    <s v="Night"/>
    <s v="Under Construction"/>
    <s v="26-35"/>
    <n v="1"/>
    <s v="Medium"/>
    <s v="Suspended"/>
    <b v="1"/>
    <n v="39"/>
    <s v="Punjab"/>
    <n v="2"/>
    <n v="3"/>
    <n v="1441"/>
    <s v="Unpaid"/>
    <s v="Not an Outliers"/>
    <x v="1"/>
  </r>
  <r>
    <d v="2024-12-02T00:00:00"/>
    <s v="MG Road"/>
    <s v="Bus"/>
    <x v="1"/>
    <n v="1000"/>
    <b v="1"/>
    <x v="1"/>
    <s v="Afternoon"/>
    <s v="Dry"/>
    <s v="18-25"/>
    <n v="2"/>
    <s v="Medium"/>
    <s v="Suspended"/>
    <b v="1"/>
    <n v="44"/>
    <s v="Rajasthan"/>
    <n v="3"/>
    <n v="2"/>
    <n v="3250"/>
    <s v="Paid"/>
    <s v="Not an Outliers"/>
    <x v="0"/>
  </r>
  <r>
    <d v="2024-12-02T00:00:00"/>
    <s v="Rajiv Chowk"/>
    <s v="Auto-rickshaw"/>
    <x v="2"/>
    <n v="3365"/>
    <b v="1"/>
    <x v="2"/>
    <s v="Afternoon"/>
    <s v="Slippery"/>
    <s v="18-25"/>
    <n v="4"/>
    <s v="Medium"/>
    <s v="Valid"/>
    <b v="1"/>
    <n v="66"/>
    <s v="Rajasthan"/>
    <n v="4"/>
    <n v="2"/>
    <n v="2088"/>
    <s v="Paid"/>
    <s v="Not an Outliers"/>
    <x v="0"/>
  </r>
  <r>
    <d v="2024-12-03T00:00:00"/>
    <s v="Sector 29"/>
    <s v="Bike"/>
    <x v="5"/>
    <n v="2138"/>
    <b v="1"/>
    <x v="0"/>
    <s v="Morning"/>
    <s v="Dry"/>
    <s v="50+"/>
    <n v="3"/>
    <s v="Medium"/>
    <s v="Expired"/>
    <b v="1"/>
    <n v="98"/>
    <s v="Haryana"/>
    <n v="3"/>
    <n v="1"/>
    <n v="4493"/>
    <s v="Disputed"/>
    <s v="Not an Outliers"/>
    <x v="0"/>
  </r>
  <r>
    <d v="2024-12-03T00:00:00"/>
    <s v="Golf Course Road"/>
    <s v="Car"/>
    <x v="1"/>
    <n v="1000"/>
    <b v="0"/>
    <x v="2"/>
    <s v="Evening"/>
    <s v="Slippery"/>
    <s v="18-25"/>
    <n v="2"/>
    <s v="High"/>
    <s v="Suspended"/>
    <b v="1"/>
    <n v="88"/>
    <s v="Uttar Pradesh"/>
    <n v="1"/>
    <n v="2"/>
    <n v="781"/>
    <s v="Unpaid"/>
    <s v="Not an Outliers"/>
    <x v="0"/>
  </r>
  <r>
    <d v="2024-12-04T00:00:00"/>
    <s v="Sector 29"/>
    <s v="Car"/>
    <x v="3"/>
    <n v="1506"/>
    <b v="0"/>
    <x v="3"/>
    <s v="Morning"/>
    <s v="Under Construction"/>
    <s v="26-35"/>
    <n v="2"/>
    <s v="Low"/>
    <s v="Suspended"/>
    <b v="1"/>
    <n v="3"/>
    <s v="Haryana"/>
    <n v="9"/>
    <n v="1"/>
    <n v="2808"/>
    <s v="Unpaid"/>
    <s v="Not an Outliers"/>
    <x v="0"/>
  </r>
  <r>
    <d v="2024-12-04T00:00:00"/>
    <s v="Sector 29"/>
    <s v="Bike"/>
    <x v="0"/>
    <n v="1000"/>
    <b v="1"/>
    <x v="3"/>
    <s v="Afternoon"/>
    <s v="Under Construction"/>
    <s v="18-25"/>
    <n v="1"/>
    <s v="Low"/>
    <s v="Valid"/>
    <b v="1"/>
    <n v="111"/>
    <s v="Haryana"/>
    <n v="6"/>
    <n v="2"/>
    <n v="2377"/>
    <s v="Paid"/>
    <s v="Not an Outliers"/>
    <x v="0"/>
  </r>
  <r>
    <d v="2024-12-05T00:00:00"/>
    <s v="Signature Tower Chowk"/>
    <s v="Bike"/>
    <x v="4"/>
    <n v="5318"/>
    <b v="1"/>
    <x v="4"/>
    <s v="Night"/>
    <s v="Dry"/>
    <s v="26-35"/>
    <n v="3"/>
    <s v="Low"/>
    <s v="Learner"/>
    <b v="1"/>
    <n v="94"/>
    <s v="Rajasthan"/>
    <n v="9"/>
    <n v="3"/>
    <n v="2268"/>
    <s v="Unpaid"/>
    <s v="Not an Outliers"/>
    <x v="0"/>
  </r>
  <r>
    <d v="2024-12-06T00:00:00"/>
    <s v="Rajiv Chowk"/>
    <s v="Bike"/>
    <x v="4"/>
    <n v="7929"/>
    <b v="0"/>
    <x v="0"/>
    <s v="Night"/>
    <s v="Slippery"/>
    <s v="18-25"/>
    <n v="3"/>
    <s v="Medium"/>
    <s v="Expired"/>
    <b v="0"/>
    <n v="79"/>
    <s v="Rajasthan"/>
    <n v="4"/>
    <n v="1"/>
    <n v="1114"/>
    <s v="Unpaid"/>
    <s v="Not an Outliers"/>
    <x v="0"/>
  </r>
  <r>
    <d v="2024-12-06T00:00:00"/>
    <s v="Sector 29"/>
    <s v="Bus"/>
    <x v="2"/>
    <n v="1701"/>
    <b v="1"/>
    <x v="0"/>
    <s v="Evening"/>
    <s v="Wet"/>
    <s v="26-35"/>
    <n v="2"/>
    <s v="High"/>
    <s v="Valid"/>
    <b v="1"/>
    <n v="73"/>
    <s v="Rajasthan"/>
    <n v="8"/>
    <n v="1"/>
    <n v="1523"/>
    <s v="Unpaid"/>
    <s v="Not an Outliers"/>
    <x v="0"/>
  </r>
  <r>
    <d v="2024-12-07T00:00:00"/>
    <s v="Sikanderpur"/>
    <s v="Car"/>
    <x v="1"/>
    <n v="1000"/>
    <b v="0"/>
    <x v="3"/>
    <s v="Night"/>
    <s v="Slippery"/>
    <s v="50+"/>
    <n v="3"/>
    <s v="Medium"/>
    <s v="Suspended"/>
    <b v="1"/>
    <n v="79"/>
    <s v="Uttar Pradesh"/>
    <n v="8"/>
    <n v="1"/>
    <n v="1619"/>
    <s v="Disputed"/>
    <s v="Not an Outliers"/>
    <x v="1"/>
  </r>
  <r>
    <d v="2024-12-07T00:00:00"/>
    <s v="Udyog Vihar"/>
    <s v="Bus"/>
    <x v="2"/>
    <n v="2548"/>
    <b v="1"/>
    <x v="2"/>
    <s v="Afternoon"/>
    <s v="Slippery"/>
    <s v="36-50"/>
    <n v="4"/>
    <s v="High"/>
    <s v="Expired"/>
    <b v="0"/>
    <n v="52"/>
    <s v="Delhi"/>
    <n v="7"/>
    <n v="2"/>
    <n v="4141"/>
    <s v="Unpaid"/>
    <s v="Not an Outliers"/>
    <x v="1"/>
  </r>
  <r>
    <d v="2024-12-07T00:00:00"/>
    <s v="Sector 29"/>
    <s v="Truck"/>
    <x v="1"/>
    <n v="1000"/>
    <b v="0"/>
    <x v="4"/>
    <s v="Morning"/>
    <s v="Dry"/>
    <s v="50+"/>
    <n v="2"/>
    <s v="High"/>
    <s v="Expired"/>
    <b v="1"/>
    <n v="33"/>
    <s v="Delhi"/>
    <n v="3"/>
    <n v="1"/>
    <n v="1477"/>
    <s v="Paid"/>
    <s v="Not an Outliers"/>
    <x v="1"/>
  </r>
  <r>
    <d v="2024-12-07T00:00:00"/>
    <s v="Sheetala Mata Road"/>
    <s v="Car"/>
    <x v="2"/>
    <n v="1295"/>
    <b v="0"/>
    <x v="2"/>
    <s v="Morning"/>
    <s v="Slippery"/>
    <s v="36-50"/>
    <n v="2"/>
    <s v="Medium"/>
    <s v="Learner"/>
    <b v="0"/>
    <n v="51"/>
    <s v="Uttar Pradesh"/>
    <n v="6"/>
    <n v="2"/>
    <n v="3416"/>
    <s v="Paid"/>
    <s v="Not an Outliers"/>
    <x v="1"/>
  </r>
  <r>
    <d v="2024-12-07T00:00:00"/>
    <s v="MG Road"/>
    <s v="Truck"/>
    <x v="3"/>
    <n v="4381"/>
    <b v="0"/>
    <x v="2"/>
    <s v="Afternoon"/>
    <s v="Dry"/>
    <s v="18-25"/>
    <n v="2"/>
    <s v="Medium"/>
    <s v="Suspended"/>
    <b v="1"/>
    <n v="7"/>
    <s v="Uttar Pradesh"/>
    <n v="9"/>
    <n v="2"/>
    <n v="2920"/>
    <s v="Paid"/>
    <s v="Not an Outliers"/>
    <x v="1"/>
  </r>
  <r>
    <d v="2024-12-08T00:00:00"/>
    <s v="Sohna Road near Iris Tech Park"/>
    <s v="Car"/>
    <x v="3"/>
    <n v="4179"/>
    <b v="0"/>
    <x v="2"/>
    <s v="Afternoon"/>
    <s v="Slippery"/>
    <s v="18-25"/>
    <n v="5"/>
    <s v="High"/>
    <s v="Learner"/>
    <b v="1"/>
    <n v="82"/>
    <s v="Delhi"/>
    <n v="9"/>
    <n v="3"/>
    <n v="3407"/>
    <s v="Disputed"/>
    <s v="Not an Outliers"/>
    <x v="1"/>
  </r>
  <r>
    <d v="2024-12-08T00:00:00"/>
    <s v="Sikanderpur"/>
    <s v="Bus"/>
    <x v="4"/>
    <n v="7285"/>
    <b v="0"/>
    <x v="1"/>
    <s v="Night"/>
    <s v="Dry"/>
    <s v="18-25"/>
    <n v="0"/>
    <s v="Low"/>
    <s v="Expired"/>
    <b v="0"/>
    <n v="36"/>
    <s v="Haryana"/>
    <n v="6"/>
    <n v="2"/>
    <n v="1130"/>
    <s v="Paid"/>
    <s v="Not an Outliers"/>
    <x v="1"/>
  </r>
  <r>
    <d v="2024-12-09T00:00:00"/>
    <s v="Udyog Vihar"/>
    <s v="Bus"/>
    <x v="3"/>
    <n v="3870"/>
    <b v="1"/>
    <x v="1"/>
    <s v="Morning"/>
    <s v="Slippery"/>
    <s v="50+"/>
    <n v="1"/>
    <s v="Low"/>
    <s v="Suspended"/>
    <b v="1"/>
    <n v="8"/>
    <s v="Delhi"/>
    <n v="1"/>
    <n v="2"/>
    <n v="1043"/>
    <s v="Disputed"/>
    <s v="Not an Outliers"/>
    <x v="0"/>
  </r>
  <r>
    <d v="2024-12-09T00:00:00"/>
    <s v="Golf Course Road"/>
    <s v="Car"/>
    <x v="2"/>
    <n v="2618"/>
    <b v="0"/>
    <x v="1"/>
    <s v="Evening"/>
    <s v="Slippery"/>
    <s v="26-35"/>
    <n v="4"/>
    <s v="Low"/>
    <s v="Suspended"/>
    <b v="1"/>
    <n v="59"/>
    <s v="Delhi"/>
    <n v="1"/>
    <n v="1"/>
    <n v="2453"/>
    <s v="Paid"/>
    <s v="Not an Outliers"/>
    <x v="0"/>
  </r>
  <r>
    <d v="2024-12-10T00:00:00"/>
    <s v="Sector 56"/>
    <s v="Bus"/>
    <x v="2"/>
    <n v="3054"/>
    <b v="0"/>
    <x v="4"/>
    <s v="Evening"/>
    <s v="Wet"/>
    <s v="26-35"/>
    <n v="1"/>
    <s v="High"/>
    <s v="Expired"/>
    <b v="0"/>
    <n v="94"/>
    <s v="Delhi"/>
    <n v="8"/>
    <n v="3"/>
    <n v="3060"/>
    <s v="Disputed"/>
    <s v="Not an Outliers"/>
    <x v="0"/>
  </r>
  <r>
    <d v="2024-12-10T00:00:00"/>
    <s v="NH-8"/>
    <s v="Car"/>
    <x v="3"/>
    <n v="4549"/>
    <b v="0"/>
    <x v="1"/>
    <s v="Afternoon"/>
    <s v="Slippery"/>
    <s v="26-35"/>
    <n v="0"/>
    <s v="Low"/>
    <s v="Suspended"/>
    <b v="1"/>
    <n v="2"/>
    <s v="Punjab"/>
    <n v="9"/>
    <n v="1"/>
    <n v="2918"/>
    <s v="Disputed"/>
    <s v="Not an Outliers"/>
    <x v="0"/>
  </r>
  <r>
    <d v="2024-12-11T00:00:00"/>
    <s v="Rajiv Chowk"/>
    <s v="Truck"/>
    <x v="1"/>
    <n v="1000"/>
    <b v="0"/>
    <x v="3"/>
    <s v="Afternoon"/>
    <s v="Wet"/>
    <s v="18-25"/>
    <n v="0"/>
    <s v="Low"/>
    <s v="Expired"/>
    <b v="0"/>
    <n v="89"/>
    <s v="Punjab"/>
    <n v="5"/>
    <n v="2"/>
    <n v="4749"/>
    <s v="Unpaid"/>
    <s v="Not an Outliers"/>
    <x v="0"/>
  </r>
  <r>
    <d v="2024-12-11T00:00:00"/>
    <s v="Manesar Toll"/>
    <s v="Car"/>
    <x v="2"/>
    <n v="3172"/>
    <b v="0"/>
    <x v="2"/>
    <s v="Evening"/>
    <s v="Wet"/>
    <s v="26-35"/>
    <n v="5"/>
    <s v="Low"/>
    <s v="Valid"/>
    <b v="0"/>
    <n v="19"/>
    <s v="Delhi"/>
    <n v="3"/>
    <n v="2"/>
    <n v="2519"/>
    <s v="Disputed"/>
    <s v="Not an Outliers"/>
    <x v="0"/>
  </r>
  <r>
    <d v="2024-12-12T00:00:00"/>
    <s v="Cyber City"/>
    <s v="Truck"/>
    <x v="2"/>
    <n v="3645"/>
    <b v="0"/>
    <x v="4"/>
    <s v="Morning"/>
    <s v="Under Construction"/>
    <s v="50+"/>
    <n v="1"/>
    <s v="High"/>
    <s v="Valid"/>
    <b v="0"/>
    <n v="109"/>
    <s v="Uttar Pradesh"/>
    <n v="1"/>
    <n v="1"/>
    <n v="933"/>
    <s v="Unpaid"/>
    <s v="Not an Outliers"/>
    <x v="0"/>
  </r>
  <r>
    <d v="2024-12-12T00:00:00"/>
    <s v="Manesar Toll"/>
    <s v="Truck"/>
    <x v="4"/>
    <n v="8918"/>
    <b v="0"/>
    <x v="2"/>
    <s v="Evening"/>
    <s v="Under Construction"/>
    <s v="18-25"/>
    <n v="5"/>
    <s v="Medium"/>
    <s v="Suspended"/>
    <b v="0"/>
    <n v="55"/>
    <s v="Haryana"/>
    <n v="2"/>
    <n v="3"/>
    <n v="4562"/>
    <s v="Disputed"/>
    <s v="Not an Outliers"/>
    <x v="0"/>
  </r>
  <r>
    <d v="2024-12-12T00:00:00"/>
    <s v="Sikanderpur"/>
    <s v="Car"/>
    <x v="1"/>
    <n v="1000"/>
    <b v="1"/>
    <x v="0"/>
    <s v="Afternoon"/>
    <s v="Slippery"/>
    <s v="50+"/>
    <n v="4"/>
    <s v="Medium"/>
    <s v="Suspended"/>
    <b v="1"/>
    <n v="108"/>
    <s v="Punjab"/>
    <n v="7"/>
    <n v="3"/>
    <n v="2271"/>
    <s v="Paid"/>
    <s v="Not an Outliers"/>
    <x v="0"/>
  </r>
  <r>
    <d v="2024-12-13T00:00:00"/>
    <s v="Signature Tower Chowk"/>
    <s v="Car"/>
    <x v="3"/>
    <n v="3508"/>
    <b v="0"/>
    <x v="0"/>
    <s v="Night"/>
    <s v="Slippery"/>
    <s v="26-35"/>
    <n v="3"/>
    <s v="Medium"/>
    <s v="Suspended"/>
    <b v="0"/>
    <n v="1"/>
    <s v="Punjab"/>
    <n v="8"/>
    <n v="2"/>
    <n v="3733"/>
    <s v="Disputed"/>
    <s v="Not an Outliers"/>
    <x v="0"/>
  </r>
  <r>
    <d v="2024-12-14T00:00:00"/>
    <s v="NH-8"/>
    <s v="Bus"/>
    <x v="5"/>
    <n v="4311"/>
    <b v="1"/>
    <x v="1"/>
    <s v="Morning"/>
    <s v="Wet"/>
    <s v="26-35"/>
    <n v="4"/>
    <s v="Medium"/>
    <s v="Expired"/>
    <b v="1"/>
    <n v="83"/>
    <s v="Haryana"/>
    <n v="3"/>
    <n v="2"/>
    <n v="1138"/>
    <s v="Unpaid"/>
    <s v="Not an Outliers"/>
    <x v="1"/>
  </r>
  <r>
    <d v="2024-12-14T00:00:00"/>
    <s v="Sector 56"/>
    <s v="Car"/>
    <x v="2"/>
    <n v="4776"/>
    <b v="0"/>
    <x v="3"/>
    <s v="Morning"/>
    <s v="Dry"/>
    <s v="50+"/>
    <n v="4"/>
    <s v="Medium"/>
    <s v="Suspended"/>
    <b v="0"/>
    <n v="64"/>
    <s v="Delhi"/>
    <n v="10"/>
    <n v="1"/>
    <n v="4540"/>
    <s v="Unpaid"/>
    <s v="Not an Outliers"/>
    <x v="1"/>
  </r>
  <r>
    <d v="2024-12-14T00:00:00"/>
    <s v="Cyber City"/>
    <s v="Bike"/>
    <x v="0"/>
    <n v="1000"/>
    <b v="0"/>
    <x v="2"/>
    <s v="Afternoon"/>
    <s v="Dry"/>
    <s v="18-25"/>
    <n v="2"/>
    <s v="Medium"/>
    <s v="Learner"/>
    <b v="0"/>
    <n v="61"/>
    <s v="Haryana"/>
    <n v="1"/>
    <n v="1"/>
    <n v="2262"/>
    <s v="Paid"/>
    <s v="Not an Outliers"/>
    <x v="1"/>
  </r>
  <r>
    <d v="2024-12-14T00:00:00"/>
    <s v="Manesar Toll"/>
    <s v="Car"/>
    <x v="5"/>
    <n v="7612"/>
    <b v="0"/>
    <x v="0"/>
    <s v="Morning"/>
    <s v="Slippery"/>
    <s v="50+"/>
    <n v="4"/>
    <s v="Medium"/>
    <s v="Learner"/>
    <b v="1"/>
    <n v="105"/>
    <s v="Delhi"/>
    <n v="3"/>
    <n v="3"/>
    <n v="3517"/>
    <s v="Unpaid"/>
    <s v="Not an Outliers"/>
    <x v="1"/>
  </r>
  <r>
    <d v="2024-12-14T00:00:00"/>
    <s v="Manesar Toll"/>
    <s v="Bike"/>
    <x v="2"/>
    <n v="1509"/>
    <b v="0"/>
    <x v="3"/>
    <s v="Morning"/>
    <s v="Under Construction"/>
    <s v="50+"/>
    <n v="1"/>
    <s v="High"/>
    <s v="Suspended"/>
    <b v="0"/>
    <n v="78"/>
    <s v="Uttar Pradesh"/>
    <n v="7"/>
    <n v="3"/>
    <n v="2090"/>
    <s v="Disputed"/>
    <s v="Not an Outliers"/>
    <x v="1"/>
  </r>
  <r>
    <d v="2024-12-14T00:00:00"/>
    <s v="Rajiv Chowk"/>
    <s v="Bike"/>
    <x v="3"/>
    <n v="3166"/>
    <b v="0"/>
    <x v="2"/>
    <s v="Evening"/>
    <s v="Under Construction"/>
    <s v="26-35"/>
    <n v="2"/>
    <s v="Low"/>
    <s v="Learner"/>
    <b v="1"/>
    <n v="120"/>
    <s v="Haryana"/>
    <n v="8"/>
    <n v="2"/>
    <n v="4858"/>
    <s v="Unpaid"/>
    <s v="Not an Outliers"/>
    <x v="1"/>
  </r>
  <r>
    <d v="2024-12-14T00:00:00"/>
    <s v="MG Road"/>
    <s v="Auto-rickshaw"/>
    <x v="1"/>
    <n v="1000"/>
    <b v="0"/>
    <x v="2"/>
    <s v="Evening"/>
    <s v="Wet"/>
    <s v="18-25"/>
    <n v="4"/>
    <s v="Medium"/>
    <s v="Suspended"/>
    <b v="1"/>
    <n v="18"/>
    <s v="Punjab"/>
    <n v="2"/>
    <n v="3"/>
    <n v="1157"/>
    <s v="Unpaid"/>
    <s v="Not an Outliers"/>
    <x v="1"/>
  </r>
  <r>
    <d v="2024-12-14T00:00:00"/>
    <s v="Sohna Road near Iris Tech Park"/>
    <s v="Truck"/>
    <x v="3"/>
    <n v="2848"/>
    <b v="0"/>
    <x v="4"/>
    <s v="Afternoon"/>
    <s v="Slippery"/>
    <s v="18-25"/>
    <n v="0"/>
    <s v="Low"/>
    <s v="Expired"/>
    <b v="1"/>
    <n v="113"/>
    <s v="Punjab"/>
    <n v="8"/>
    <n v="2"/>
    <n v="2983"/>
    <s v="Unpaid"/>
    <s v="Not an Outliers"/>
    <x v="1"/>
  </r>
  <r>
    <d v="2024-12-15T00:00:00"/>
    <s v="Sector 56"/>
    <s v="Bus"/>
    <x v="4"/>
    <n v="9777"/>
    <b v="0"/>
    <x v="0"/>
    <s v="Night"/>
    <s v="Wet"/>
    <s v="18-25"/>
    <n v="5"/>
    <s v="Medium"/>
    <s v="Valid"/>
    <b v="1"/>
    <n v="99"/>
    <s v="Haryana"/>
    <n v="3"/>
    <n v="3"/>
    <n v="4191"/>
    <s v="Disputed"/>
    <s v="Not an Outliers"/>
    <x v="1"/>
  </r>
  <r>
    <d v="2024-12-16T00:00:00"/>
    <s v="Sikanderpur"/>
    <s v="Bike"/>
    <x v="0"/>
    <n v="1000"/>
    <b v="0"/>
    <x v="2"/>
    <s v="Afternoon"/>
    <s v="Wet"/>
    <s v="26-35"/>
    <n v="3"/>
    <s v="Low"/>
    <s v="Suspended"/>
    <b v="0"/>
    <n v="107"/>
    <s v="Delhi"/>
    <n v="7"/>
    <n v="3"/>
    <n v="2747"/>
    <s v="Unpaid"/>
    <s v="Not an Outliers"/>
    <x v="0"/>
  </r>
  <r>
    <d v="2024-12-16T00:00:00"/>
    <s v="Manesar Toll"/>
    <s v="Truck"/>
    <x v="2"/>
    <n v="2682"/>
    <b v="0"/>
    <x v="0"/>
    <s v="Evening"/>
    <s v="Wet"/>
    <s v="18-25"/>
    <n v="5"/>
    <s v="High"/>
    <s v="Valid"/>
    <b v="0"/>
    <n v="91"/>
    <s v="Uttar Pradesh"/>
    <n v="10"/>
    <n v="1"/>
    <n v="4847"/>
    <s v="Disputed"/>
    <s v="Not an Outliers"/>
    <x v="0"/>
  </r>
  <r>
    <d v="2024-12-16T00:00:00"/>
    <s v="Huda City Center"/>
    <s v="Car"/>
    <x v="4"/>
    <n v="7609"/>
    <b v="0"/>
    <x v="3"/>
    <s v="Morning"/>
    <s v="Dry"/>
    <s v="36-50"/>
    <n v="1"/>
    <s v="Low"/>
    <s v="Valid"/>
    <b v="0"/>
    <n v="83"/>
    <s v="Uttar Pradesh"/>
    <n v="5"/>
    <n v="1"/>
    <n v="4706"/>
    <s v="Paid"/>
    <s v="Not an Outliers"/>
    <x v="0"/>
  </r>
  <r>
    <d v="2024-12-16T00:00:00"/>
    <s v="Sheetala Mata Road"/>
    <s v="Bus"/>
    <x v="5"/>
    <n v="2386"/>
    <b v="0"/>
    <x v="3"/>
    <s v="Night"/>
    <s v="Wet"/>
    <s v="26-35"/>
    <n v="4"/>
    <s v="High"/>
    <s v="Suspended"/>
    <b v="1"/>
    <n v="120"/>
    <s v="Delhi"/>
    <n v="9"/>
    <n v="2"/>
    <n v="2520"/>
    <s v="Disputed"/>
    <s v="Not an Outliers"/>
    <x v="0"/>
  </r>
  <r>
    <d v="2024-12-16T00:00:00"/>
    <s v="Huda City Center"/>
    <s v="Car"/>
    <x v="2"/>
    <n v="1373"/>
    <b v="0"/>
    <x v="0"/>
    <s v="Evening"/>
    <s v="Under Construction"/>
    <s v="26-35"/>
    <n v="0"/>
    <s v="Medium"/>
    <s v="Suspended"/>
    <b v="0"/>
    <n v="21"/>
    <s v="Delhi"/>
    <n v="8"/>
    <n v="3"/>
    <n v="959"/>
    <s v="Disputed"/>
    <s v="Not an Outliers"/>
    <x v="0"/>
  </r>
  <r>
    <d v="2024-12-16T00:00:00"/>
    <s v="Golf Course Road"/>
    <s v="Truck"/>
    <x v="2"/>
    <n v="2252"/>
    <b v="1"/>
    <x v="4"/>
    <s v="Night"/>
    <s v="Wet"/>
    <s v="36-50"/>
    <n v="3"/>
    <s v="Medium"/>
    <s v="Valid"/>
    <b v="0"/>
    <n v="75"/>
    <s v="Delhi"/>
    <n v="5"/>
    <n v="1"/>
    <n v="2661"/>
    <s v="Disputed"/>
    <s v="Not an Outliers"/>
    <x v="0"/>
  </r>
  <r>
    <d v="2024-12-16T00:00:00"/>
    <s v="Sector 56"/>
    <s v="Car"/>
    <x v="1"/>
    <n v="1000"/>
    <b v="1"/>
    <x v="0"/>
    <s v="Afternoon"/>
    <s v="Under Construction"/>
    <s v="50+"/>
    <n v="4"/>
    <s v="High"/>
    <s v="Learner"/>
    <b v="1"/>
    <n v="48"/>
    <s v="Punjab"/>
    <n v="4"/>
    <n v="3"/>
    <n v="3818"/>
    <s v="Paid"/>
    <s v="Not an Outliers"/>
    <x v="0"/>
  </r>
  <r>
    <d v="2024-12-17T00:00:00"/>
    <s v="NH-8"/>
    <s v="Bus"/>
    <x v="1"/>
    <n v="1000"/>
    <b v="0"/>
    <x v="1"/>
    <s v="Night"/>
    <s v="Under Construction"/>
    <s v="18-25"/>
    <n v="1"/>
    <s v="High"/>
    <s v="Learner"/>
    <b v="0"/>
    <n v="57"/>
    <s v="Uttar Pradesh"/>
    <n v="5"/>
    <n v="2"/>
    <n v="4345"/>
    <s v="Unpaid"/>
    <s v="Not an Outliers"/>
    <x v="0"/>
  </r>
  <r>
    <d v="2024-12-17T00:00:00"/>
    <s v="NH-8"/>
    <s v="Bus"/>
    <x v="5"/>
    <n v="2658"/>
    <b v="0"/>
    <x v="4"/>
    <s v="Evening"/>
    <s v="Slippery"/>
    <s v="36-50"/>
    <n v="2"/>
    <s v="Low"/>
    <s v="Learner"/>
    <b v="1"/>
    <n v="11"/>
    <s v="Rajasthan"/>
    <n v="4"/>
    <n v="3"/>
    <n v="549"/>
    <s v="Paid"/>
    <s v="Not an Outliers"/>
    <x v="0"/>
  </r>
  <r>
    <d v="2024-12-17T00:00:00"/>
    <s v="MG Road"/>
    <s v="Auto-rickshaw"/>
    <x v="2"/>
    <n v="2927"/>
    <b v="1"/>
    <x v="4"/>
    <s v="Morning"/>
    <s v="Slippery"/>
    <s v="26-35"/>
    <n v="1"/>
    <s v="Low"/>
    <s v="Suspended"/>
    <b v="1"/>
    <n v="66"/>
    <s v="Haryana"/>
    <n v="4"/>
    <n v="1"/>
    <n v="3337"/>
    <s v="Disputed"/>
    <s v="Not an Outliers"/>
    <x v="0"/>
  </r>
  <r>
    <d v="2024-12-17T00:00:00"/>
    <s v="Udyog Vihar"/>
    <s v="Bus"/>
    <x v="1"/>
    <n v="1000"/>
    <b v="1"/>
    <x v="2"/>
    <s v="Afternoon"/>
    <s v="Wet"/>
    <s v="18-25"/>
    <n v="5"/>
    <s v="Medium"/>
    <s v="Expired"/>
    <b v="1"/>
    <n v="80"/>
    <s v="Delhi"/>
    <n v="1"/>
    <n v="1"/>
    <n v="4974"/>
    <s v="Unpaid"/>
    <s v="Not an Outliers"/>
    <x v="0"/>
  </r>
  <r>
    <d v="2024-12-18T00:00:00"/>
    <s v="NH-8"/>
    <s v="Auto-rickshaw"/>
    <x v="4"/>
    <n v="6565"/>
    <b v="0"/>
    <x v="2"/>
    <s v="Morning"/>
    <s v="Wet"/>
    <s v="26-35"/>
    <n v="1"/>
    <s v="Medium"/>
    <s v="Valid"/>
    <b v="0"/>
    <n v="33"/>
    <s v="Punjab"/>
    <n v="6"/>
    <n v="1"/>
    <n v="677"/>
    <s v="Paid"/>
    <s v="Not an Outliers"/>
    <x v="0"/>
  </r>
  <r>
    <d v="2024-12-19T00:00:00"/>
    <s v="Rajiv Chowk"/>
    <s v="Car"/>
    <x v="1"/>
    <n v="1000"/>
    <b v="0"/>
    <x v="3"/>
    <s v="Night"/>
    <s v="Wet"/>
    <s v="18-25"/>
    <n v="5"/>
    <s v="Low"/>
    <s v="Expired"/>
    <b v="0"/>
    <n v="85"/>
    <s v="Delhi"/>
    <n v="3"/>
    <n v="2"/>
    <n v="1543"/>
    <s v="Unpaid"/>
    <s v="Not an Outliers"/>
    <x v="0"/>
  </r>
  <r>
    <d v="2024-12-19T00:00:00"/>
    <s v="Manesar Toll"/>
    <s v="Car"/>
    <x v="5"/>
    <n v="5401"/>
    <b v="0"/>
    <x v="2"/>
    <s v="Morning"/>
    <s v="Wet"/>
    <s v="26-35"/>
    <n v="5"/>
    <s v="Low"/>
    <s v="Suspended"/>
    <b v="1"/>
    <n v="3"/>
    <s v="Haryana"/>
    <n v="6"/>
    <n v="3"/>
    <n v="4212"/>
    <s v="Disputed"/>
    <s v="Not an Outliers"/>
    <x v="0"/>
  </r>
  <r>
    <d v="2024-12-20T00:00:00"/>
    <s v="Sohna Road near Iris Tech Park"/>
    <s v="Auto-rickshaw"/>
    <x v="3"/>
    <n v="2751"/>
    <b v="0"/>
    <x v="0"/>
    <s v="Night"/>
    <s v="Under Construction"/>
    <s v="26-35"/>
    <n v="1"/>
    <s v="Medium"/>
    <s v="Valid"/>
    <b v="0"/>
    <n v="112"/>
    <s v="Punjab"/>
    <n v="7"/>
    <n v="2"/>
    <n v="4654"/>
    <s v="Disputed"/>
    <s v="Not an Outliers"/>
    <x v="0"/>
  </r>
  <r>
    <d v="2024-12-20T00:00:00"/>
    <s v="Sector 29"/>
    <s v="Bus"/>
    <x v="4"/>
    <n v="8532"/>
    <b v="1"/>
    <x v="4"/>
    <s v="Night"/>
    <s v="Under Construction"/>
    <s v="26-35"/>
    <n v="2"/>
    <s v="High"/>
    <s v="Expired"/>
    <b v="0"/>
    <n v="115"/>
    <s v="Haryana"/>
    <n v="10"/>
    <n v="2"/>
    <n v="3259"/>
    <s v="Unpaid"/>
    <s v="Not an Outliers"/>
    <x v="0"/>
  </r>
  <r>
    <d v="2024-12-20T00:00:00"/>
    <s v="Golf Course Road"/>
    <s v="Car"/>
    <x v="5"/>
    <n v="2415"/>
    <b v="0"/>
    <x v="3"/>
    <s v="Night"/>
    <s v="Slippery"/>
    <s v="50+"/>
    <n v="1"/>
    <s v="Medium"/>
    <s v="Learner"/>
    <b v="1"/>
    <n v="62"/>
    <s v="Punjab"/>
    <n v="1"/>
    <n v="3"/>
    <n v="1541"/>
    <s v="Disputed"/>
    <s v="Not an Outliers"/>
    <x v="0"/>
  </r>
  <r>
    <d v="2024-12-20T00:00:00"/>
    <s v="Manesar Toll"/>
    <s v="Car"/>
    <x v="5"/>
    <n v="3600"/>
    <b v="0"/>
    <x v="4"/>
    <s v="Morning"/>
    <s v="Wet"/>
    <s v="18-25"/>
    <n v="5"/>
    <s v="Low"/>
    <s v="Expired"/>
    <b v="0"/>
    <n v="1"/>
    <s v="Uttar Pradesh"/>
    <n v="4"/>
    <n v="3"/>
    <n v="4887"/>
    <s v="Unpaid"/>
    <s v="Not an Outliers"/>
    <x v="0"/>
  </r>
  <r>
    <d v="2024-12-21T00:00:00"/>
    <s v="MG Road"/>
    <s v="Bus"/>
    <x v="5"/>
    <n v="5038"/>
    <b v="0"/>
    <x v="2"/>
    <s v="Morning"/>
    <s v="Dry"/>
    <s v="50+"/>
    <n v="2"/>
    <s v="High"/>
    <s v="Expired"/>
    <b v="1"/>
    <n v="15"/>
    <s v="Punjab"/>
    <n v="1"/>
    <n v="1"/>
    <n v="1858"/>
    <s v="Disputed"/>
    <s v="Not an Outliers"/>
    <x v="1"/>
  </r>
  <r>
    <d v="2024-12-21T00:00:00"/>
    <s v="Huda City Center"/>
    <s v="Bike"/>
    <x v="4"/>
    <n v="5828"/>
    <b v="0"/>
    <x v="2"/>
    <s v="Morning"/>
    <s v="Under Construction"/>
    <s v="26-35"/>
    <n v="1"/>
    <s v="Medium"/>
    <s v="Expired"/>
    <b v="1"/>
    <n v="46"/>
    <s v="Rajasthan"/>
    <n v="9"/>
    <n v="1"/>
    <n v="4176"/>
    <s v="Unpaid"/>
    <s v="Not an Outliers"/>
    <x v="1"/>
  </r>
  <r>
    <d v="2024-12-21T00:00:00"/>
    <s v="NH-8"/>
    <s v="Auto-rickshaw"/>
    <x v="4"/>
    <n v="7858"/>
    <b v="1"/>
    <x v="4"/>
    <s v="Afternoon"/>
    <s v="Wet"/>
    <s v="26-35"/>
    <n v="0"/>
    <s v="Low"/>
    <s v="Expired"/>
    <b v="0"/>
    <n v="34"/>
    <s v="Haryana"/>
    <n v="2"/>
    <n v="1"/>
    <n v="3615"/>
    <s v="Disputed"/>
    <s v="Not an Outliers"/>
    <x v="1"/>
  </r>
  <r>
    <d v="2024-12-21T00:00:00"/>
    <s v="Sector 29"/>
    <s v="Bus"/>
    <x v="3"/>
    <n v="3051"/>
    <b v="0"/>
    <x v="3"/>
    <s v="Afternoon"/>
    <s v="Dry"/>
    <s v="26-35"/>
    <n v="5"/>
    <s v="Low"/>
    <s v="Valid"/>
    <b v="0"/>
    <n v="46"/>
    <s v="Haryana"/>
    <n v="3"/>
    <n v="2"/>
    <n v="3823"/>
    <s v="Paid"/>
    <s v="Not an Outliers"/>
    <x v="1"/>
  </r>
  <r>
    <d v="2024-12-22T00:00:00"/>
    <s v="Golf Course Road"/>
    <s v="Bike"/>
    <x v="3"/>
    <n v="3044"/>
    <b v="0"/>
    <x v="0"/>
    <s v="Morning"/>
    <s v="Under Construction"/>
    <s v="26-35"/>
    <n v="4"/>
    <s v="High"/>
    <s v="Learner"/>
    <b v="1"/>
    <n v="61"/>
    <s v="Haryana"/>
    <n v="4"/>
    <n v="1"/>
    <n v="1400"/>
    <s v="Disputed"/>
    <s v="Not an Outliers"/>
    <x v="1"/>
  </r>
  <r>
    <d v="2024-12-22T00:00:00"/>
    <s v="Sector 56"/>
    <s v="Bus"/>
    <x v="1"/>
    <n v="1000"/>
    <b v="0"/>
    <x v="2"/>
    <s v="Morning"/>
    <s v="Under Construction"/>
    <s v="26-35"/>
    <n v="0"/>
    <s v="Low"/>
    <s v="Suspended"/>
    <b v="1"/>
    <n v="84"/>
    <s v="Delhi"/>
    <n v="9"/>
    <n v="3"/>
    <n v="3382"/>
    <s v="Paid"/>
    <s v="Not an Outliers"/>
    <x v="1"/>
  </r>
  <r>
    <d v="2024-12-22T00:00:00"/>
    <s v="Sector 29"/>
    <s v="Car"/>
    <x v="2"/>
    <n v="4339"/>
    <b v="0"/>
    <x v="1"/>
    <s v="Evening"/>
    <s v="Dry"/>
    <s v="18-25"/>
    <n v="4"/>
    <s v="Medium"/>
    <s v="Suspended"/>
    <b v="1"/>
    <n v="37"/>
    <s v="Haryana"/>
    <n v="1"/>
    <n v="1"/>
    <n v="2038"/>
    <s v="Disputed"/>
    <s v="Not an Outliers"/>
    <x v="1"/>
  </r>
  <r>
    <d v="2024-12-23T00:00:00"/>
    <s v="Huda City Center"/>
    <s v="Truck"/>
    <x v="2"/>
    <n v="1441"/>
    <b v="0"/>
    <x v="0"/>
    <s v="Evening"/>
    <s v="Wet"/>
    <s v="26-35"/>
    <n v="1"/>
    <s v="Medium"/>
    <s v="Valid"/>
    <b v="0"/>
    <n v="78"/>
    <s v="Delhi"/>
    <n v="8"/>
    <n v="3"/>
    <n v="4371"/>
    <s v="Disputed"/>
    <s v="Not an Outliers"/>
    <x v="0"/>
  </r>
  <r>
    <d v="2024-12-23T00:00:00"/>
    <s v="Manesar Toll"/>
    <s v="Bus"/>
    <x v="4"/>
    <n v="7370"/>
    <b v="1"/>
    <x v="4"/>
    <s v="Afternoon"/>
    <s v="Dry"/>
    <s v="18-25"/>
    <n v="2"/>
    <s v="High"/>
    <s v="Valid"/>
    <b v="0"/>
    <n v="9"/>
    <s v="Haryana"/>
    <n v="2"/>
    <n v="2"/>
    <n v="3012"/>
    <s v="Paid"/>
    <s v="Not an Outliers"/>
    <x v="0"/>
  </r>
  <r>
    <d v="2024-12-23T00:00:00"/>
    <s v="Udyog Vihar"/>
    <s v="Truck"/>
    <x v="2"/>
    <n v="3435"/>
    <b v="0"/>
    <x v="3"/>
    <s v="Evening"/>
    <s v="Dry"/>
    <s v="36-50"/>
    <n v="1"/>
    <s v="Medium"/>
    <s v="Valid"/>
    <b v="1"/>
    <n v="21"/>
    <s v="Delhi"/>
    <n v="2"/>
    <n v="1"/>
    <n v="2559"/>
    <s v="Paid"/>
    <s v="Not an Outliers"/>
    <x v="0"/>
  </r>
  <r>
    <d v="2024-12-24T00:00:00"/>
    <s v="Huda City Center"/>
    <s v="Bike"/>
    <x v="2"/>
    <n v="3506"/>
    <b v="0"/>
    <x v="3"/>
    <s v="Evening"/>
    <s v="Wet"/>
    <s v="18-25"/>
    <n v="0"/>
    <s v="High"/>
    <s v="Expired"/>
    <b v="1"/>
    <n v="105"/>
    <s v="Haryana"/>
    <n v="7"/>
    <n v="3"/>
    <n v="564"/>
    <s v="Paid"/>
    <s v="Not an Outliers"/>
    <x v="0"/>
  </r>
  <r>
    <d v="2024-12-24T00:00:00"/>
    <s v="Sikanderpur"/>
    <s v="Bike"/>
    <x v="5"/>
    <n v="4632"/>
    <b v="0"/>
    <x v="0"/>
    <s v="Morning"/>
    <s v="Wet"/>
    <s v="36-50"/>
    <n v="4"/>
    <s v="High"/>
    <s v="Valid"/>
    <b v="1"/>
    <n v="11"/>
    <s v="Uttar Pradesh"/>
    <n v="4"/>
    <n v="2"/>
    <n v="2337"/>
    <s v="Paid"/>
    <s v="Not an Outliers"/>
    <x v="0"/>
  </r>
  <r>
    <d v="2024-12-24T00:00:00"/>
    <s v="Sheetala Mata Road"/>
    <s v="Bus"/>
    <x v="5"/>
    <n v="7986"/>
    <b v="0"/>
    <x v="2"/>
    <s v="Evening"/>
    <s v="Slippery"/>
    <s v="50+"/>
    <n v="5"/>
    <s v="Medium"/>
    <s v="Learner"/>
    <b v="0"/>
    <n v="90"/>
    <s v="Uttar Pradesh"/>
    <n v="7"/>
    <n v="2"/>
    <n v="3459"/>
    <s v="Disputed"/>
    <s v="Not an Outliers"/>
    <x v="0"/>
  </r>
  <r>
    <d v="2024-12-24T00:00:00"/>
    <s v="Golf Course Road"/>
    <s v="Auto-rickshaw"/>
    <x v="4"/>
    <n v="8866"/>
    <b v="0"/>
    <x v="1"/>
    <s v="Evening"/>
    <s v="Slippery"/>
    <s v="26-35"/>
    <n v="1"/>
    <s v="High"/>
    <s v="Suspended"/>
    <b v="0"/>
    <n v="90"/>
    <s v="Uttar Pradesh"/>
    <n v="9"/>
    <n v="1"/>
    <n v="903"/>
    <s v="Unpaid"/>
    <s v="Not an Outliers"/>
    <x v="0"/>
  </r>
  <r>
    <d v="2024-12-26T00:00:00"/>
    <s v="MG Road"/>
    <s v="Auto-rickshaw"/>
    <x v="2"/>
    <n v="1342"/>
    <b v="0"/>
    <x v="3"/>
    <s v="Afternoon"/>
    <s v="Under Construction"/>
    <s v="50+"/>
    <n v="5"/>
    <s v="High"/>
    <s v="Valid"/>
    <b v="1"/>
    <n v="117"/>
    <s v="Rajasthan"/>
    <n v="5"/>
    <n v="3"/>
    <n v="3186"/>
    <s v="Paid"/>
    <s v="Not an Outliers"/>
    <x v="0"/>
  </r>
  <r>
    <d v="2024-12-26T00:00:00"/>
    <s v="Manesar Toll"/>
    <s v="Bike"/>
    <x v="4"/>
    <n v="7507"/>
    <b v="0"/>
    <x v="3"/>
    <s v="Night"/>
    <s v="Dry"/>
    <s v="26-35"/>
    <n v="1"/>
    <s v="High"/>
    <s v="Expired"/>
    <b v="0"/>
    <n v="15"/>
    <s v="Uttar Pradesh"/>
    <n v="2"/>
    <n v="3"/>
    <n v="4940"/>
    <s v="Paid"/>
    <s v="Not an Outliers"/>
    <x v="0"/>
  </r>
  <r>
    <d v="2024-12-27T00:00:00"/>
    <s v="MG Road"/>
    <s v="Auto-rickshaw"/>
    <x v="4"/>
    <n v="6912"/>
    <b v="0"/>
    <x v="0"/>
    <s v="Night"/>
    <s v="Wet"/>
    <s v="36-50"/>
    <n v="0"/>
    <s v="Low"/>
    <s v="Valid"/>
    <b v="1"/>
    <n v="35"/>
    <s v="Punjab"/>
    <n v="1"/>
    <n v="2"/>
    <n v="3912"/>
    <s v="Disputed"/>
    <s v="Not an Outliers"/>
    <x v="0"/>
  </r>
  <r>
    <d v="2024-12-27T00:00:00"/>
    <s v="Sikanderpur"/>
    <s v="Auto-rickshaw"/>
    <x v="3"/>
    <n v="2151"/>
    <b v="1"/>
    <x v="0"/>
    <s v="Afternoon"/>
    <s v="Dry"/>
    <s v="18-25"/>
    <n v="3"/>
    <s v="High"/>
    <s v="Expired"/>
    <b v="0"/>
    <n v="106"/>
    <s v="Punjab"/>
    <n v="1"/>
    <n v="2"/>
    <n v="4389"/>
    <s v="Disputed"/>
    <s v="Not an Outliers"/>
    <x v="0"/>
  </r>
  <r>
    <d v="2024-12-27T00:00:00"/>
    <s v="Golf Course Road"/>
    <s v="Bus"/>
    <x v="5"/>
    <n v="4843"/>
    <b v="0"/>
    <x v="3"/>
    <s v="Afternoon"/>
    <s v="Dry"/>
    <s v="36-50"/>
    <n v="4"/>
    <s v="High"/>
    <s v="Suspended"/>
    <b v="1"/>
    <n v="115"/>
    <s v="Rajasthan"/>
    <n v="4"/>
    <n v="3"/>
    <n v="3842"/>
    <s v="Disputed"/>
    <s v="Not an Outliers"/>
    <x v="0"/>
  </r>
  <r>
    <d v="2024-12-27T00:00:00"/>
    <s v="Sector 56"/>
    <s v="Auto-rickshaw"/>
    <x v="1"/>
    <n v="1000"/>
    <b v="0"/>
    <x v="4"/>
    <s v="Afternoon"/>
    <s v="Slippery"/>
    <s v="26-35"/>
    <n v="4"/>
    <s v="High"/>
    <s v="Expired"/>
    <b v="0"/>
    <n v="24"/>
    <s v="Punjab"/>
    <n v="2"/>
    <n v="1"/>
    <n v="1886"/>
    <s v="Unpaid"/>
    <s v="Not an Outliers"/>
    <x v="0"/>
  </r>
  <r>
    <d v="2024-12-28T00:00:00"/>
    <s v="Sector 29"/>
    <s v="Truck"/>
    <x v="3"/>
    <n v="2362"/>
    <b v="1"/>
    <x v="1"/>
    <s v="Night"/>
    <s v="Slippery"/>
    <s v="36-50"/>
    <n v="0"/>
    <s v="High"/>
    <s v="Learner"/>
    <b v="0"/>
    <n v="29"/>
    <s v="Delhi"/>
    <n v="6"/>
    <n v="3"/>
    <n v="1460"/>
    <s v="Paid"/>
    <s v="Not an Outliers"/>
    <x v="1"/>
  </r>
  <r>
    <d v="2024-12-28T00:00:00"/>
    <s v="Sikanderpur"/>
    <s v="Car"/>
    <x v="2"/>
    <n v="2353"/>
    <b v="0"/>
    <x v="3"/>
    <s v="Night"/>
    <s v="Dry"/>
    <s v="26-35"/>
    <n v="2"/>
    <s v="Medium"/>
    <s v="Expired"/>
    <b v="0"/>
    <n v="24"/>
    <s v="Haryana"/>
    <n v="1"/>
    <n v="3"/>
    <n v="1803"/>
    <s v="Paid"/>
    <s v="Not an Outliers"/>
    <x v="1"/>
  </r>
  <r>
    <d v="2024-12-28T00:00:00"/>
    <s v="Sector 56"/>
    <s v="Auto-rickshaw"/>
    <x v="1"/>
    <n v="1000"/>
    <b v="0"/>
    <x v="2"/>
    <s v="Morning"/>
    <s v="Slippery"/>
    <s v="36-50"/>
    <n v="2"/>
    <s v="Low"/>
    <s v="Suspended"/>
    <b v="1"/>
    <n v="3"/>
    <s v="Delhi"/>
    <n v="3"/>
    <n v="2"/>
    <n v="2834"/>
    <s v="Paid"/>
    <s v="Not an Outliers"/>
    <x v="1"/>
  </r>
  <r>
    <d v="2024-12-28T00:00:00"/>
    <s v="Sector 56"/>
    <s v="Car"/>
    <x v="3"/>
    <n v="3218"/>
    <b v="0"/>
    <x v="3"/>
    <s v="Afternoon"/>
    <s v="Dry"/>
    <s v="26-35"/>
    <n v="3"/>
    <s v="High"/>
    <s v="Expired"/>
    <b v="0"/>
    <n v="55"/>
    <s v="Haryana"/>
    <n v="2"/>
    <n v="1"/>
    <n v="3937"/>
    <s v="Disputed"/>
    <s v="Not an Outlier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C477BC-CE4C-42B9-BB81-FA6434789793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9" firstHeaderRow="0" firstDataRow="1" firstDataCol="1"/>
  <pivotFields count="20">
    <pivotField numFmtId="14" showAll="0"/>
    <pivotField axis="axisRow" showAll="0" sortType="descending">
      <items count="16">
        <item x="11"/>
        <item x="14"/>
        <item x="5"/>
        <item x="6"/>
        <item x="7"/>
        <item x="9"/>
        <item x="3"/>
        <item x="4"/>
        <item x="2"/>
        <item x="0"/>
        <item x="13"/>
        <item x="10"/>
        <item x="1"/>
        <item x="8"/>
        <item x="1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>
      <items count="7">
        <item x="4"/>
        <item x="0"/>
        <item x="1"/>
        <item x="3"/>
        <item x="2"/>
        <item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6">
    <i>
      <x v="6"/>
    </i>
    <i>
      <x v="14"/>
    </i>
    <i>
      <x v="11"/>
    </i>
    <i>
      <x v="4"/>
    </i>
    <i>
      <x v="10"/>
    </i>
    <i>
      <x v="3"/>
    </i>
    <i>
      <x v="1"/>
    </i>
    <i>
      <x/>
    </i>
    <i>
      <x v="2"/>
    </i>
    <i>
      <x v="12"/>
    </i>
    <i>
      <x v="8"/>
    </i>
    <i>
      <x v="7"/>
    </i>
    <i>
      <x v="13"/>
    </i>
    <i>
      <x v="9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iolation_Type" fld="3" subtotal="count" baseField="0" baseItem="0"/>
    <dataField name="Average of Fine_Amount (₹)" fld="4" subtotal="average" baseField="1" baseItem="12"/>
  </dataFields>
  <formats count="1">
    <format dxfId="43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CE109D-39F8-4EF4-AAD1-BD9D887C99B1}" name="PivotTable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0" firstDataRow="1" firstDataCol="1"/>
  <pivotFields count="21">
    <pivotField numFmtId="14" showAll="0"/>
    <pivotField dataField="1" showAll="0">
      <items count="16">
        <item x="11"/>
        <item x="14"/>
        <item x="5"/>
        <item x="6"/>
        <item x="7"/>
        <item x="9"/>
        <item x="3"/>
        <item x="4"/>
        <item x="2"/>
        <item x="0"/>
        <item x="13"/>
        <item x="10"/>
        <item x="1"/>
        <item x="8"/>
        <item x="12"/>
        <item t="default"/>
      </items>
    </pivotField>
    <pivotField showAll="0">
      <items count="6">
        <item x="3"/>
        <item x="0"/>
        <item x="2"/>
        <item x="4"/>
        <item x="1"/>
        <item t="default"/>
      </items>
    </pivotField>
    <pivotField axis="axisRow" dataField="1" showAll="0" sortType="descending">
      <items count="7">
        <item x="4"/>
        <item x="0"/>
        <item x="1"/>
        <item x="3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5"/>
    </i>
    <i>
      <x v="3"/>
    </i>
    <i>
      <x v="4"/>
    </i>
    <i>
      <x v="2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Location" fld="1" subtotal="count" baseField="0" baseItem="0"/>
    <dataField name="Count of Violation_Type" fld="3" subtotal="count" baseField="0" baseItem="0"/>
    <dataField name="Average of Fine_Amount (₹)" fld="4" subtotal="average" baseField="3" baseItem="0" numFmtId="2"/>
  </dataFields>
  <formats count="3">
    <format dxfId="4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1">
      <pivotArea collapsedLevelsAreSubtotals="1" fieldPosition="0">
        <references count="1">
          <reference field="3" count="1">
            <x v="0"/>
          </reference>
        </references>
      </pivotArea>
    </format>
    <format dxfId="40">
      <pivotArea dataOnly="0" labelOnly="1" fieldPosition="0">
        <references count="1">
          <reference field="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0D50A4-55D1-44A6-99F9-5D5E39A066BF}" name="PivotTable6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G32" firstHeaderRow="1" firstDataRow="2" firstDataCol="1"/>
  <pivotFields count="21">
    <pivotField numFmtId="14" showAll="0"/>
    <pivotField axis="axisRow" showAll="0" sortType="descending">
      <items count="16">
        <item x="11"/>
        <item x="14"/>
        <item x="5"/>
        <item x="6"/>
        <item x="7"/>
        <item x="9"/>
        <item x="3"/>
        <item x="4"/>
        <item x="2"/>
        <item x="0"/>
        <item x="13"/>
        <item x="10"/>
        <item x="1"/>
        <item x="8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6">
        <item x="3"/>
        <item x="0"/>
        <item x="2"/>
        <item x="4"/>
        <item x="1"/>
        <item t="default"/>
      </items>
    </pivotField>
    <pivotField showAll="0">
      <items count="7">
        <item x="4"/>
        <item x="0"/>
        <item x="1"/>
        <item x="3"/>
        <item x="2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6">
    <i>
      <x v="12"/>
    </i>
    <i>
      <x v="8"/>
    </i>
    <i>
      <x v="13"/>
    </i>
    <i>
      <x/>
    </i>
    <i>
      <x v="6"/>
    </i>
    <i>
      <x v="14"/>
    </i>
    <i>
      <x v="4"/>
    </i>
    <i>
      <x v="2"/>
    </i>
    <i>
      <x v="9"/>
    </i>
    <i>
      <x v="5"/>
    </i>
    <i>
      <x v="10"/>
    </i>
    <i>
      <x v="1"/>
    </i>
    <i>
      <x v="3"/>
    </i>
    <i>
      <x v="7"/>
    </i>
    <i>
      <x v="11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Repeat_Offender" fld="5" subtotal="count" baseField="0" baseItem="0"/>
  </dataFields>
  <formats count="2">
    <format dxfId="36">
      <pivotArea collapsedLevelsAreSubtotals="1" fieldPosition="0">
        <references count="2">
          <reference field="1" count="1">
            <x v="12"/>
          </reference>
          <reference field="2" count="1" selected="0">
            <x v="1"/>
          </reference>
        </references>
      </pivotArea>
    </format>
    <format dxfId="35">
      <pivotArea dataOnly="0" labelOnly="1" fieldPosition="0">
        <references count="1">
          <reference field="1" count="1"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9A2A3D-23B9-4AB6-A582-CD1E83BB145E}" name="PivotTable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21">
    <pivotField numFmtId="14" showAll="0"/>
    <pivotField showAll="0"/>
    <pivotField showAll="0"/>
    <pivotField axis="axisRow" showAll="0" sortType="descending">
      <items count="7">
        <item x="4"/>
        <item x="0"/>
        <item x="1"/>
        <item x="3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 v="5"/>
    </i>
    <i>
      <x v="2"/>
    </i>
    <i>
      <x v="3"/>
    </i>
    <i>
      <x/>
    </i>
    <i>
      <x v="4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epeat_Offender" fld="5" subtotal="count" baseField="0" baseItem="0"/>
    <dataField name="Count of Repeat_Offender2" fld="5" subtotal="count" showDataAs="percentOfCol" baseField="3" baseItem="5" numFmtId="10"/>
  </dataFields>
  <formats count="3">
    <format dxfId="39">
      <pivotArea collapsedLevelsAreSubtotals="1" fieldPosition="0">
        <references count="2">
          <reference field="4294967294" count="1" selected="0">
            <x v="1"/>
          </reference>
          <reference field="3" count="1">
            <x v="5"/>
          </reference>
        </references>
      </pivotArea>
    </format>
    <format dxfId="38">
      <pivotArea collapsedLevelsAreSubtotals="1" fieldPosition="0">
        <references count="1">
          <reference field="3" count="1">
            <x v="5"/>
          </reference>
        </references>
      </pivotArea>
    </format>
    <format dxfId="37">
      <pivotArea dataOnly="0" labelOnly="1" fieldPosition="0">
        <references count="1">
          <reference field="3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DA4373-CE0D-470E-828D-964378B237EA}" name="PivotTable10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8:C54" firstHeaderRow="0" firstDataRow="1" firstDataCol="1"/>
  <pivotFields count="21">
    <pivotField numFmtId="14" showAll="0"/>
    <pivotField axis="axisRow" showAll="0" sortType="descending">
      <items count="16">
        <item x="11"/>
        <item x="14"/>
        <item x="5"/>
        <item x="6"/>
        <item x="7"/>
        <item x="9"/>
        <item x="3"/>
        <item x="4"/>
        <item x="2"/>
        <item x="0"/>
        <item x="13"/>
        <item x="10"/>
        <item x="1"/>
        <item x="8"/>
        <item x="1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>
      <items count="7">
        <item x="4"/>
        <item x="0"/>
        <item x="1"/>
        <item x="3"/>
        <item x="2"/>
        <item x="5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</pivotFields>
  <rowFields count="1">
    <field x="1"/>
  </rowFields>
  <rowItems count="16">
    <i>
      <x v="6"/>
    </i>
    <i>
      <x v="12"/>
    </i>
    <i>
      <x v="14"/>
    </i>
    <i>
      <x v="4"/>
    </i>
    <i>
      <x/>
    </i>
    <i>
      <x v="2"/>
    </i>
    <i>
      <x v="10"/>
    </i>
    <i>
      <x v="8"/>
    </i>
    <i>
      <x v="13"/>
    </i>
    <i>
      <x v="3"/>
    </i>
    <i>
      <x v="1"/>
    </i>
    <i>
      <x v="11"/>
    </i>
    <i>
      <x v="9"/>
    </i>
    <i>
      <x v="5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epeat_Offender" fld="5" subtotal="count" baseField="0" baseItem="0"/>
    <dataField name="Sum of Fine_Amount (₹)" fld="4" baseField="0" baseItem="0"/>
  </dataFields>
  <formats count="2">
    <format dxfId="29">
      <pivotArea collapsedLevelsAreSubtotals="1" fieldPosition="0">
        <references count="1">
          <reference field="1" count="1">
            <x v="6"/>
          </reference>
        </references>
      </pivotArea>
    </format>
    <format dxfId="28">
      <pivotArea dataOnly="0" labelOnly="1" fieldPosition="0">
        <references count="1">
          <reference field="1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23019-415D-4083-ACF4-8678E540CFD2}" name="PivotTable9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E35" firstHeaderRow="1" firstDataRow="2" firstDataCol="1"/>
  <pivotFields count="21">
    <pivotField numFmtId="14" showAll="0"/>
    <pivotField showAll="0" sortType="descending">
      <items count="16">
        <item x="11"/>
        <item x="14"/>
        <item x="5"/>
        <item x="6"/>
        <item x="7"/>
        <item x="9"/>
        <item x="3"/>
        <item x="4"/>
        <item x="2"/>
        <item x="0"/>
        <item x="13"/>
        <item x="10"/>
        <item x="1"/>
        <item x="8"/>
        <item x="1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9" count="1" selected="0">
              <x v="1"/>
            </reference>
          </references>
        </pivotArea>
      </autoSortScope>
    </pivotField>
    <pivotField showAll="0"/>
    <pivotField axis="axisRow" showAll="0" sortType="descending">
      <items count="7">
        <item x="4"/>
        <item x="0"/>
        <item x="1"/>
        <item x="3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</pivotFields>
  <rowFields count="1">
    <field x="3"/>
  </rowFields>
  <rowItems count="7">
    <i>
      <x/>
    </i>
    <i>
      <x v="5"/>
    </i>
    <i>
      <x v="3"/>
    </i>
    <i>
      <x v="4"/>
    </i>
    <i>
      <x v="2"/>
    </i>
    <i>
      <x v="1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Sum of Fine_Amount (₹)" fld="4" baseField="0" baseItem="0"/>
  </dataFields>
  <formats count="1">
    <format dxfId="32">
      <pivotArea dataOnly="0" fieldPosition="0">
        <references count="1">
          <reference field="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FC4362-282C-4868-928C-D7496D818BB9}" name="PivotTable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0" firstHeaderRow="1" firstDataRow="2" firstDataCol="1"/>
  <pivotFields count="21">
    <pivotField numFmtId="14" showAll="0"/>
    <pivotField axis="axisRow" showAll="0" sortType="descending">
      <items count="16">
        <item x="11"/>
        <item x="14"/>
        <item x="5"/>
        <item x="6"/>
        <item x="7"/>
        <item x="9"/>
        <item x="3"/>
        <item x="4"/>
        <item x="2"/>
        <item x="0"/>
        <item x="13"/>
        <item x="10"/>
        <item x="1"/>
        <item x="8"/>
        <item x="1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9" count="1" selected="0">
              <x v="1"/>
            </reference>
          </references>
        </pivotArea>
      </autoSortScope>
    </pivotField>
    <pivotField showAll="0"/>
    <pivotField showAll="0">
      <items count="7">
        <item x="4"/>
        <item x="0"/>
        <item x="1"/>
        <item x="3"/>
        <item x="2"/>
        <item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</pivotFields>
  <rowFields count="1">
    <field x="1"/>
  </rowFields>
  <rowItems count="16">
    <i>
      <x v="6"/>
    </i>
    <i>
      <x v="14"/>
    </i>
    <i>
      <x v="4"/>
    </i>
    <i>
      <x v="11"/>
    </i>
    <i>
      <x v="2"/>
    </i>
    <i>
      <x v="13"/>
    </i>
    <i>
      <x v="8"/>
    </i>
    <i>
      <x v="10"/>
    </i>
    <i>
      <x v="3"/>
    </i>
    <i>
      <x v="12"/>
    </i>
    <i>
      <x v="9"/>
    </i>
    <i>
      <x/>
    </i>
    <i>
      <x v="1"/>
    </i>
    <i>
      <x v="7"/>
    </i>
    <i>
      <x v="5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Sum of Fine_Amount (₹)" fld="4" baseField="0" baseItem="0"/>
  </dataFields>
  <formats count="2">
    <format dxfId="34">
      <pivotArea collapsedLevelsAreSubtotals="1" fieldPosition="0">
        <references count="1">
          <reference field="1" count="1">
            <x v="6"/>
          </reference>
        </references>
      </pivotArea>
    </format>
    <format dxfId="33">
      <pivotArea dataOnly="0" labelOnly="1" fieldPosition="0">
        <references count="1">
          <reference field="1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1E320A-A486-40DD-A8C9-1A76F2BEF9E0}" name="PivotTable13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G36" firstHeaderRow="1" firstDataRow="2" firstDataCol="1"/>
  <pivotFields count="22">
    <pivotField numFmtId="14" showAll="0"/>
    <pivotField showAll="0"/>
    <pivotField showAll="0"/>
    <pivotField axis="axisRow" dataField="1" showAll="0" sortType="descending">
      <items count="7">
        <item x="4"/>
        <item x="0"/>
        <item x="1"/>
        <item x="3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3"/>
  </rowFields>
  <rowItems count="7">
    <i>
      <x v="5"/>
    </i>
    <i>
      <x v="2"/>
    </i>
    <i>
      <x v="3"/>
    </i>
    <i>
      <x/>
    </i>
    <i>
      <x v="4"/>
    </i>
    <i>
      <x v="1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Violation_Type" fld="3" subtotal="count" baseField="0" baseItem="0"/>
  </dataFields>
  <formats count="1">
    <format dxfId="0">
      <pivotArea dataOnly="0" fieldPosition="0">
        <references count="1">
          <reference field="3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A8275-8DA6-4B14-A07D-39E930229BCE}" name="PivotTable1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D24" firstHeaderRow="1" firstDataRow="2" firstDataCol="1"/>
  <pivotFields count="22">
    <pivotField numFmtId="14" showAll="0"/>
    <pivotField showAll="0"/>
    <pivotField showAll="0"/>
    <pivotField axis="axisRow" dataField="1" showAll="0" sortType="descending">
      <items count="7">
        <item x="4"/>
        <item x="0"/>
        <item x="1"/>
        <item x="3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3"/>
  </rowFields>
  <rowItems count="7">
    <i>
      <x v="5"/>
    </i>
    <i>
      <x v="2"/>
    </i>
    <i>
      <x v="3"/>
    </i>
    <i>
      <x/>
    </i>
    <i>
      <x v="4"/>
    </i>
    <i>
      <x v="1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Violation_Type" fld="3" subtotal="count" baseField="0" baseItem="0"/>
  </dataFields>
  <formats count="1">
    <format dxfId="3">
      <pivotArea collapsedLevelsAreSubtotals="1" fieldPosition="0">
        <references count="2">
          <reference field="3" count="1">
            <x v="0"/>
          </reference>
          <reference field="21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E79906-368D-46C5-B5B7-25325369626E}" name="PivotTable1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1" firstHeaderRow="1" firstDataRow="2" firstDataCol="1"/>
  <pivotFields count="21">
    <pivotField numFmtId="14" showAll="0"/>
    <pivotField showAll="0"/>
    <pivotField showAll="0"/>
    <pivotField axis="axisRow" dataField="1" showAll="0" sortType="descending">
      <items count="7">
        <item x="4"/>
        <item x="0"/>
        <item x="1"/>
        <item x="3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 v="5"/>
    </i>
    <i>
      <x v="2"/>
    </i>
    <i>
      <x v="3"/>
    </i>
    <i>
      <x/>
    </i>
    <i>
      <x v="4"/>
    </i>
    <i>
      <x v="1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Count of Violation_Type" fld="3" subtotal="count" baseField="0" baseItem="0"/>
  </dataFields>
  <formats count="2">
    <format dxfId="27">
      <pivotArea dataOnly="0" outline="0" fieldPosition="0">
        <references count="1">
          <reference field="7" count="1">
            <x v="1"/>
          </reference>
        </references>
      </pivotArea>
    </format>
    <format dxfId="26">
      <pivotArea dataOnly="0" fieldPosition="0">
        <references count="1">
          <reference field="3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893F37-BFA3-4F87-AC62-6472F53A1F10}" autoFormatId="16" applyNumberFormats="0" applyBorderFormats="0" applyFontFormats="0" applyPatternFormats="0" applyAlignmentFormats="0" applyWidthHeightFormats="0">
  <queryTableRefresh nextId="21">
    <queryTableFields count="20">
      <queryTableField id="1" name="Date" tableColumnId="1"/>
      <queryTableField id="2" name="Location" tableColumnId="2"/>
      <queryTableField id="3" name="Vehicle_Type" tableColumnId="3"/>
      <queryTableField id="4" name="Violation_Type" tableColumnId="4"/>
      <queryTableField id="5" name="Fine_Amount (₹)" tableColumnId="5"/>
      <queryTableField id="6" name="Repeat_Offender" tableColumnId="6"/>
      <queryTableField id="7" name="Weather_Condition" tableColumnId="7"/>
      <queryTableField id="8" name="Time_of_Day" tableColumnId="8"/>
      <queryTableField id="9" name="Road_Condition" tableColumnId="9"/>
      <queryTableField id="10" name="Driver_Age_Group" tableColumnId="10"/>
      <queryTableField id="11" name="Passengers_Count" tableColumnId="11"/>
      <queryTableField id="12" name="Traffic_Density" tableColumnId="12"/>
      <queryTableField id="13" name="License_Status" tableColumnId="13"/>
      <queryTableField id="14" name="Accident_Involved" tableColumnId="14"/>
      <queryTableField id="15" name="Speed_Recorded (km/h)" tableColumnId="15"/>
      <queryTableField id="16" name="Vehicle_Registration_State" tableColumnId="16"/>
      <queryTableField id="17" name="Officer_ID" tableColumnId="17"/>
      <queryTableField id="18" name="Previous_Violations" tableColumnId="18"/>
      <queryTableField id="19" name="Insurance_Penalty (₹)" tableColumnId="19"/>
      <queryTableField id="20" name="Fine_Payment_Statu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B16010-F9D3-46A2-98B1-6A63AC4EC39B}" name="Gurgaon_Traffic_violation_data" displayName="Gurgaon_Traffic_violation_data" ref="A1:T949" tableType="queryTable" totalsRowShown="0">
  <autoFilter ref="A1:T949" xr:uid="{B6B16010-F9D3-46A2-98B1-6A63AC4EC39B}"/>
  <sortState xmlns:xlrd2="http://schemas.microsoft.com/office/spreadsheetml/2017/richdata2" ref="A2:T949">
    <sortCondition ref="A1:A951"/>
  </sortState>
  <tableColumns count="20">
    <tableColumn id="1" xr3:uid="{08154629-6900-41E1-B0D5-3F8ABFE7AD60}" uniqueName="1" name="Date" queryTableFieldId="1" dataDxfId="55"/>
    <tableColumn id="2" xr3:uid="{E871A42A-7608-4454-BF7E-4B4D44C4CB95}" uniqueName="2" name="Location" queryTableFieldId="2" dataDxfId="54"/>
    <tableColumn id="3" xr3:uid="{21681EF6-440E-48B1-98C3-E944D6B90A9D}" uniqueName="3" name="Vehicle_Type" queryTableFieldId="3" dataDxfId="53"/>
    <tableColumn id="4" xr3:uid="{09A78AE4-E9F6-4DD2-B00C-1CC6EE0CD4C0}" uniqueName="4" name="Violation_Type" queryTableFieldId="4" dataDxfId="52"/>
    <tableColumn id="5" xr3:uid="{C13A1204-3D80-4F62-AFFF-1D43261141C6}" uniqueName="5" name="Fine_Amount (₹)" queryTableFieldId="5"/>
    <tableColumn id="6" xr3:uid="{0EE9B37A-B76F-4DDD-A980-BA4F3DCCA39F}" uniqueName="6" name="Repeat_Offender" queryTableFieldId="6"/>
    <tableColumn id="7" xr3:uid="{4BEC3A84-E981-4191-BA59-7A8D97B68EB5}" uniqueName="7" name="Weather_Condition" queryTableFieldId="7" dataDxfId="51"/>
    <tableColumn id="8" xr3:uid="{E6C78403-9D4B-47BB-8A10-2A2BD6BFAE99}" uniqueName="8" name="Time_of_Day" queryTableFieldId="8" dataDxfId="50"/>
    <tableColumn id="9" xr3:uid="{3AB6F89F-0480-4229-97D8-8153FCFBFCE0}" uniqueName="9" name="Road_Condition" queryTableFieldId="9" dataDxfId="49"/>
    <tableColumn id="10" xr3:uid="{FC81695F-5510-43DE-A472-037E400E464A}" uniqueName="10" name="Driver_Age_Group" queryTableFieldId="10" dataDxfId="48"/>
    <tableColumn id="11" xr3:uid="{660F6B15-2B45-428F-AE12-48E4297A79C1}" uniqueName="11" name="Passengers_Count" queryTableFieldId="11"/>
    <tableColumn id="12" xr3:uid="{F418CED1-989B-4930-BFEE-D2BA81DFCD90}" uniqueName="12" name="Traffic_Density" queryTableFieldId="12" dataDxfId="47"/>
    <tableColumn id="13" xr3:uid="{CB4EA4E7-2D3F-42F9-937B-77AC27E4E50F}" uniqueName="13" name="License_Status" queryTableFieldId="13" dataDxfId="46"/>
    <tableColumn id="14" xr3:uid="{B10D1041-2CD8-4A1A-9EE8-69EB90AB7A7E}" uniqueName="14" name="Accident_Involved" queryTableFieldId="14"/>
    <tableColumn id="15" xr3:uid="{8F218693-9CAB-4721-B615-9CB35B443FDB}" uniqueName="15" name="Speed_Recorded (km/h)" queryTableFieldId="15"/>
    <tableColumn id="16" xr3:uid="{0A72102B-A185-47E9-BDDC-A79289578568}" uniqueName="16" name="Vehicle_Registration_State" queryTableFieldId="16" dataDxfId="45"/>
    <tableColumn id="17" xr3:uid="{4E8D00A5-41D5-474F-869C-175101830B70}" uniqueName="17" name="Officer_ID" queryTableFieldId="17"/>
    <tableColumn id="18" xr3:uid="{F39BFE31-3667-447B-A1C5-B0A65FE0189F}" uniqueName="18" name="Previous_Violations" queryTableFieldId="18"/>
    <tableColumn id="19" xr3:uid="{7B7B170D-0228-4108-BE0F-0EC8E27867F3}" uniqueName="19" name="Insurance_Penalty (₹)" queryTableFieldId="19"/>
    <tableColumn id="20" xr3:uid="{95D6E7C1-7940-433C-8EE2-1D63105335C1}" uniqueName="20" name="Fine_Payment_Status" queryTableFieldId="20" dataDxfId="4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5751B1-E564-4AB0-9478-0447E852D8A2}" name="Table2" displayName="Table2" ref="A1:V949" totalsRowShown="0" headerRowDxfId="4" tableBorderDxfId="25">
  <autoFilter ref="A1:V949" xr:uid="{55F7A2CA-526E-4D98-B4F2-F120EA9BB8F0}"/>
  <tableColumns count="22">
    <tableColumn id="1" xr3:uid="{7BF53474-3C4B-4E2E-95A8-0F2D08E44DCC}" name="Date" dataDxfId="24"/>
    <tableColumn id="2" xr3:uid="{8AE9DA8E-D854-4FF6-88B0-DD1B6100D1B3}" name="Location" dataDxfId="23"/>
    <tableColumn id="3" xr3:uid="{C18A5960-7006-4D71-9BE0-ADD8185DD7BF}" name="Vehicle_Type" dataDxfId="22"/>
    <tableColumn id="4" xr3:uid="{9B24C55C-EECF-43AC-B8AB-9BD1F10FF1BC}" name="Violation_Type" dataDxfId="21"/>
    <tableColumn id="5" xr3:uid="{D29242E4-F593-4CE0-A436-171B6731E2BC}" name="Fine_Amount (₹)" dataDxfId="20"/>
    <tableColumn id="6" xr3:uid="{F9C59A02-1797-405A-B96C-811996658099}" name="Repeat_Offender" dataDxfId="19"/>
    <tableColumn id="7" xr3:uid="{AB22A396-F3D2-485B-B402-9715C1F2713D}" name="Weather_Condition" dataDxfId="18"/>
    <tableColumn id="8" xr3:uid="{A9F621C7-4A86-49C4-BF8B-DB405C871036}" name="Time_of_Day" dataDxfId="17"/>
    <tableColumn id="9" xr3:uid="{F9B25DFA-E96A-490C-86E1-4F3509E70ACB}" name="Road_Condition" dataDxfId="16"/>
    <tableColumn id="10" xr3:uid="{B204E960-AC7E-4AFE-B128-2C960345EEE8}" name="Driver_Age_Group" dataDxfId="15"/>
    <tableColumn id="11" xr3:uid="{87586572-0EC9-4444-8BAE-15694AEE9E6A}" name="Passengers_Count" dataDxfId="14"/>
    <tableColumn id="12" xr3:uid="{E9FCFC19-DFDE-43DC-B62E-42C9A85CCF9E}" name="Traffic_Density" dataDxfId="13"/>
    <tableColumn id="13" xr3:uid="{8E97D629-34C8-4D19-9128-2E8898929CC9}" name="License_Status" dataDxfId="12"/>
    <tableColumn id="14" xr3:uid="{2AC66A83-CFFB-424C-9F56-159936A6D119}" name="Accident_Involved" dataDxfId="11"/>
    <tableColumn id="15" xr3:uid="{5929EA40-08C0-4750-91E6-A7E8DFCDBE34}" name="Speed_Recorded (km/h)" dataDxfId="10"/>
    <tableColumn id="16" xr3:uid="{4A0D4D39-B04B-4454-B893-871DE6DDA0DF}" name="Vehicle_Registration_State" dataDxfId="9"/>
    <tableColumn id="17" xr3:uid="{EF17C4C8-5B80-40EC-96D6-5FC8A99F3D4A}" name="Officer_ID" dataDxfId="8"/>
    <tableColumn id="18" xr3:uid="{9885D86C-D673-4323-A9B4-1EC83D57BEC5}" name="Previous_Violations" dataDxfId="7"/>
    <tableColumn id="19" xr3:uid="{BE647BC0-29AD-4C7F-A19D-4D50F895D980}" name="Insurance_Penalty (₹)" dataDxfId="6"/>
    <tableColumn id="20" xr3:uid="{ED04109E-117A-40D7-8869-DF6FFBD063E0}" name="Fine_Payment_Status" dataDxfId="5"/>
    <tableColumn id="21" xr3:uid="{03D31BE1-D210-45A3-845B-D872E6ACCFBA}" name="Identify Outliers">
      <calculatedColumnFormula>IF(OR(E2&lt;'Q1'!$E$13,E2&gt;'Q1'!$E$14),"Outliers","Not an Outliers")</calculatedColumnFormula>
    </tableColumn>
    <tableColumn id="22" xr3:uid="{FC55BA4A-8AF5-4C8B-8006-DBB3D371568F}" name="WeekDay">
      <calculatedColumnFormula>IF(WEEKDAY(A2,2)&gt;5,"Weekend","Weekday")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ACBFF-E850-477A-9167-389C960BEA2E}">
  <dimension ref="A1:T949"/>
  <sheetViews>
    <sheetView workbookViewId="0">
      <selection activeCell="P17" sqref="P17"/>
    </sheetView>
  </sheetViews>
  <sheetFormatPr defaultRowHeight="14.4" x14ac:dyDescent="0.3"/>
  <cols>
    <col min="1" max="1" width="10.33203125" bestFit="1" customWidth="1"/>
    <col min="2" max="2" width="25.88671875" bestFit="1" customWidth="1"/>
    <col min="3" max="3" width="14.109375" bestFit="1" customWidth="1"/>
    <col min="4" max="4" width="16.21875" bestFit="1" customWidth="1"/>
    <col min="5" max="5" width="16.77734375" bestFit="1" customWidth="1"/>
    <col min="6" max="6" width="17.21875" bestFit="1" customWidth="1"/>
    <col min="7" max="7" width="19.21875" bestFit="1" customWidth="1"/>
    <col min="8" max="8" width="13.5546875" bestFit="1" customWidth="1"/>
    <col min="9" max="9" width="16.6640625" bestFit="1" customWidth="1"/>
    <col min="10" max="10" width="18" bestFit="1" customWidth="1"/>
    <col min="11" max="11" width="18.33203125" bestFit="1" customWidth="1"/>
    <col min="12" max="12" width="15.5546875" bestFit="1" customWidth="1"/>
    <col min="13" max="13" width="15.77734375" bestFit="1" customWidth="1"/>
    <col min="14" max="14" width="18.5546875" bestFit="1" customWidth="1"/>
    <col min="15" max="15" width="23.6640625" bestFit="1" customWidth="1"/>
    <col min="16" max="16" width="25.77734375" bestFit="1" customWidth="1"/>
    <col min="17" max="17" width="11.44140625" bestFit="1" customWidth="1"/>
    <col min="18" max="18" width="19.6640625" bestFit="1" customWidth="1"/>
    <col min="19" max="20" width="21.2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s="1">
        <v>45292</v>
      </c>
      <c r="B2" s="2" t="s">
        <v>75</v>
      </c>
      <c r="C2" s="2" t="s">
        <v>60</v>
      </c>
      <c r="D2" s="2" t="s">
        <v>61</v>
      </c>
      <c r="E2">
        <v>1000</v>
      </c>
      <c r="F2" t="b">
        <v>0</v>
      </c>
      <c r="G2" s="2" t="s">
        <v>65</v>
      </c>
      <c r="H2" s="2" t="s">
        <v>24</v>
      </c>
      <c r="I2" s="2" t="s">
        <v>47</v>
      </c>
      <c r="J2" s="2" t="s">
        <v>26</v>
      </c>
      <c r="K2">
        <v>0</v>
      </c>
      <c r="L2" s="2" t="s">
        <v>36</v>
      </c>
      <c r="M2" s="2" t="s">
        <v>66</v>
      </c>
      <c r="N2" t="b">
        <v>0</v>
      </c>
      <c r="O2">
        <v>103</v>
      </c>
      <c r="P2" s="2" t="s">
        <v>29</v>
      </c>
      <c r="Q2">
        <v>7</v>
      </c>
      <c r="R2">
        <v>3</v>
      </c>
      <c r="S2">
        <v>2190</v>
      </c>
      <c r="T2" s="2" t="s">
        <v>30</v>
      </c>
    </row>
    <row r="3" spans="1:20" x14ac:dyDescent="0.3">
      <c r="A3" s="1">
        <v>45292</v>
      </c>
      <c r="B3" s="2" t="s">
        <v>44</v>
      </c>
      <c r="C3" s="2" t="s">
        <v>45</v>
      </c>
      <c r="D3" s="2" t="s">
        <v>57</v>
      </c>
      <c r="E3">
        <v>1000</v>
      </c>
      <c r="F3" t="b">
        <v>0</v>
      </c>
      <c r="G3" s="2" t="s">
        <v>23</v>
      </c>
      <c r="H3" s="2" t="s">
        <v>70</v>
      </c>
      <c r="I3" s="2" t="s">
        <v>25</v>
      </c>
      <c r="J3" s="2" t="s">
        <v>26</v>
      </c>
      <c r="K3">
        <v>2</v>
      </c>
      <c r="L3" s="2" t="s">
        <v>36</v>
      </c>
      <c r="M3" s="2" t="s">
        <v>28</v>
      </c>
      <c r="N3" t="b">
        <v>1</v>
      </c>
      <c r="O3">
        <v>32</v>
      </c>
      <c r="P3" s="2" t="s">
        <v>29</v>
      </c>
      <c r="Q3">
        <v>7</v>
      </c>
      <c r="R3">
        <v>2</v>
      </c>
      <c r="S3">
        <v>3386</v>
      </c>
      <c r="T3" s="2" t="s">
        <v>38</v>
      </c>
    </row>
    <row r="4" spans="1:20" x14ac:dyDescent="0.3">
      <c r="A4" s="1">
        <v>45292</v>
      </c>
      <c r="B4" s="2" t="s">
        <v>62</v>
      </c>
      <c r="C4" s="2" t="s">
        <v>56</v>
      </c>
      <c r="D4" s="2" t="s">
        <v>57</v>
      </c>
      <c r="E4">
        <v>1000</v>
      </c>
      <c r="F4" t="b">
        <v>1</v>
      </c>
      <c r="G4" s="2" t="s">
        <v>34</v>
      </c>
      <c r="H4" s="2" t="s">
        <v>41</v>
      </c>
      <c r="I4" s="2" t="s">
        <v>42</v>
      </c>
      <c r="J4" s="2" t="s">
        <v>43</v>
      </c>
      <c r="K4">
        <v>5</v>
      </c>
      <c r="L4" s="2" t="s">
        <v>49</v>
      </c>
      <c r="M4" s="2" t="s">
        <v>66</v>
      </c>
      <c r="N4" t="b">
        <v>1</v>
      </c>
      <c r="O4">
        <v>120</v>
      </c>
      <c r="P4" s="2" t="s">
        <v>29</v>
      </c>
      <c r="Q4">
        <v>9</v>
      </c>
      <c r="R4">
        <v>2</v>
      </c>
      <c r="S4">
        <v>3053</v>
      </c>
      <c r="T4" s="2" t="s">
        <v>38</v>
      </c>
    </row>
    <row r="5" spans="1:20" x14ac:dyDescent="0.3">
      <c r="A5" s="1">
        <v>45292</v>
      </c>
      <c r="B5" s="2" t="s">
        <v>72</v>
      </c>
      <c r="C5" s="2" t="s">
        <v>21</v>
      </c>
      <c r="D5" s="2" t="s">
        <v>46</v>
      </c>
      <c r="E5">
        <v>4050</v>
      </c>
      <c r="F5" t="b">
        <v>0</v>
      </c>
      <c r="G5" s="2" t="s">
        <v>40</v>
      </c>
      <c r="H5" s="2" t="s">
        <v>70</v>
      </c>
      <c r="I5" s="2" t="s">
        <v>42</v>
      </c>
      <c r="J5" s="2" t="s">
        <v>26</v>
      </c>
      <c r="K5">
        <v>2</v>
      </c>
      <c r="L5" s="2" t="s">
        <v>27</v>
      </c>
      <c r="M5" s="2" t="s">
        <v>58</v>
      </c>
      <c r="N5" t="b">
        <v>1</v>
      </c>
      <c r="O5">
        <v>72</v>
      </c>
      <c r="P5" s="2" t="s">
        <v>50</v>
      </c>
      <c r="Q5">
        <v>2</v>
      </c>
      <c r="R5">
        <v>2</v>
      </c>
      <c r="S5">
        <v>3796</v>
      </c>
      <c r="T5" s="2" t="s">
        <v>38</v>
      </c>
    </row>
    <row r="6" spans="1:20" x14ac:dyDescent="0.3">
      <c r="A6" s="1">
        <v>45292</v>
      </c>
      <c r="B6" s="2" t="s">
        <v>76</v>
      </c>
      <c r="C6" s="2" t="s">
        <v>56</v>
      </c>
      <c r="D6" s="2" t="s">
        <v>33</v>
      </c>
      <c r="E6">
        <v>2548</v>
      </c>
      <c r="F6" t="b">
        <v>0</v>
      </c>
      <c r="G6" s="2" t="s">
        <v>23</v>
      </c>
      <c r="H6" s="2" t="s">
        <v>35</v>
      </c>
      <c r="I6" s="2" t="s">
        <v>25</v>
      </c>
      <c r="J6" s="2" t="s">
        <v>54</v>
      </c>
      <c r="K6">
        <v>4</v>
      </c>
      <c r="L6" s="2" t="s">
        <v>36</v>
      </c>
      <c r="M6" s="2" t="s">
        <v>66</v>
      </c>
      <c r="N6" t="b">
        <v>1</v>
      </c>
      <c r="O6">
        <v>79</v>
      </c>
      <c r="P6" s="2" t="s">
        <v>63</v>
      </c>
      <c r="Q6">
        <v>8</v>
      </c>
      <c r="R6">
        <v>1</v>
      </c>
      <c r="S6">
        <v>4831</v>
      </c>
      <c r="T6" s="2" t="s">
        <v>51</v>
      </c>
    </row>
    <row r="7" spans="1:20" x14ac:dyDescent="0.3">
      <c r="A7" s="1">
        <v>45292</v>
      </c>
      <c r="B7" s="2" t="s">
        <v>76</v>
      </c>
      <c r="C7" s="2" t="s">
        <v>21</v>
      </c>
      <c r="D7" s="2" t="s">
        <v>22</v>
      </c>
      <c r="E7">
        <v>9039</v>
      </c>
      <c r="F7" t="b">
        <v>0</v>
      </c>
      <c r="G7" s="2" t="s">
        <v>65</v>
      </c>
      <c r="H7" s="2" t="s">
        <v>35</v>
      </c>
      <c r="I7" s="2" t="s">
        <v>25</v>
      </c>
      <c r="J7" s="2" t="s">
        <v>26</v>
      </c>
      <c r="K7">
        <v>2</v>
      </c>
      <c r="L7" s="2" t="s">
        <v>27</v>
      </c>
      <c r="M7" s="2" t="s">
        <v>66</v>
      </c>
      <c r="N7" t="b">
        <v>0</v>
      </c>
      <c r="O7">
        <v>18</v>
      </c>
      <c r="P7" s="2" t="s">
        <v>37</v>
      </c>
      <c r="Q7">
        <v>10</v>
      </c>
      <c r="R7">
        <v>3</v>
      </c>
      <c r="S7">
        <v>2437</v>
      </c>
      <c r="T7" s="2" t="s">
        <v>51</v>
      </c>
    </row>
    <row r="8" spans="1:20" x14ac:dyDescent="0.3">
      <c r="A8" s="1">
        <v>45292</v>
      </c>
      <c r="B8" s="2" t="s">
        <v>75</v>
      </c>
      <c r="C8" s="2" t="s">
        <v>45</v>
      </c>
      <c r="D8" s="2" t="s">
        <v>33</v>
      </c>
      <c r="E8">
        <v>3653</v>
      </c>
      <c r="F8" t="b">
        <v>0</v>
      </c>
      <c r="G8" s="2" t="s">
        <v>65</v>
      </c>
      <c r="H8" s="2" t="s">
        <v>70</v>
      </c>
      <c r="I8" s="2" t="s">
        <v>59</v>
      </c>
      <c r="J8" s="2" t="s">
        <v>26</v>
      </c>
      <c r="K8">
        <v>3</v>
      </c>
      <c r="L8" s="2" t="s">
        <v>36</v>
      </c>
      <c r="M8" s="2" t="s">
        <v>28</v>
      </c>
      <c r="N8" t="b">
        <v>0</v>
      </c>
      <c r="O8">
        <v>117</v>
      </c>
      <c r="P8" s="2" t="s">
        <v>67</v>
      </c>
      <c r="Q8">
        <v>10</v>
      </c>
      <c r="R8">
        <v>2</v>
      </c>
      <c r="S8">
        <v>573</v>
      </c>
      <c r="T8" s="2" t="s">
        <v>30</v>
      </c>
    </row>
    <row r="9" spans="1:20" x14ac:dyDescent="0.3">
      <c r="A9" s="1">
        <v>45293</v>
      </c>
      <c r="B9" s="2" t="s">
        <v>20</v>
      </c>
      <c r="C9" s="2" t="s">
        <v>21</v>
      </c>
      <c r="D9" s="2" t="s">
        <v>33</v>
      </c>
      <c r="E9">
        <v>1717</v>
      </c>
      <c r="F9" t="b">
        <v>0</v>
      </c>
      <c r="G9" s="2" t="s">
        <v>23</v>
      </c>
      <c r="H9" s="2" t="s">
        <v>35</v>
      </c>
      <c r="I9" s="2" t="s">
        <v>25</v>
      </c>
      <c r="J9" s="2" t="s">
        <v>54</v>
      </c>
      <c r="K9">
        <v>5</v>
      </c>
      <c r="L9" s="2" t="s">
        <v>49</v>
      </c>
      <c r="M9" s="2" t="s">
        <v>73</v>
      </c>
      <c r="N9" t="b">
        <v>1</v>
      </c>
      <c r="O9">
        <v>29</v>
      </c>
      <c r="P9" s="2" t="s">
        <v>67</v>
      </c>
      <c r="Q9">
        <v>8</v>
      </c>
      <c r="R9">
        <v>3</v>
      </c>
      <c r="S9">
        <v>1070</v>
      </c>
      <c r="T9" s="2" t="s">
        <v>51</v>
      </c>
    </row>
    <row r="10" spans="1:20" x14ac:dyDescent="0.3">
      <c r="A10" s="1">
        <v>45293</v>
      </c>
      <c r="B10" s="2" t="s">
        <v>55</v>
      </c>
      <c r="C10" s="2" t="s">
        <v>60</v>
      </c>
      <c r="D10" s="2" t="s">
        <v>61</v>
      </c>
      <c r="E10">
        <v>1000</v>
      </c>
      <c r="F10" t="b">
        <v>0</v>
      </c>
      <c r="G10" s="2" t="s">
        <v>34</v>
      </c>
      <c r="H10" s="2" t="s">
        <v>41</v>
      </c>
      <c r="I10" s="2" t="s">
        <v>25</v>
      </c>
      <c r="J10" s="2" t="s">
        <v>43</v>
      </c>
      <c r="K10">
        <v>2</v>
      </c>
      <c r="L10" s="2" t="s">
        <v>49</v>
      </c>
      <c r="M10" s="2" t="s">
        <v>66</v>
      </c>
      <c r="N10" t="b">
        <v>1</v>
      </c>
      <c r="O10">
        <v>11</v>
      </c>
      <c r="P10" s="2" t="s">
        <v>63</v>
      </c>
      <c r="Q10">
        <v>9</v>
      </c>
      <c r="R10">
        <v>3</v>
      </c>
      <c r="S10">
        <v>3939</v>
      </c>
      <c r="T10" s="2" t="s">
        <v>38</v>
      </c>
    </row>
    <row r="11" spans="1:20" x14ac:dyDescent="0.3">
      <c r="A11" s="1">
        <v>45293</v>
      </c>
      <c r="B11" s="2" t="s">
        <v>71</v>
      </c>
      <c r="C11" s="2" t="s">
        <v>32</v>
      </c>
      <c r="D11" s="2" t="s">
        <v>57</v>
      </c>
      <c r="E11">
        <v>1000</v>
      </c>
      <c r="F11" t="b">
        <v>0</v>
      </c>
      <c r="G11" s="2" t="s">
        <v>40</v>
      </c>
      <c r="H11" s="2" t="s">
        <v>24</v>
      </c>
      <c r="I11" s="2" t="s">
        <v>25</v>
      </c>
      <c r="J11" s="2" t="s">
        <v>26</v>
      </c>
      <c r="K11">
        <v>5</v>
      </c>
      <c r="L11" s="2" t="s">
        <v>27</v>
      </c>
      <c r="M11" s="2" t="s">
        <v>28</v>
      </c>
      <c r="N11" t="b">
        <v>1</v>
      </c>
      <c r="O11">
        <v>94</v>
      </c>
      <c r="P11" s="2" t="s">
        <v>67</v>
      </c>
      <c r="Q11">
        <v>1</v>
      </c>
      <c r="R11">
        <v>2</v>
      </c>
      <c r="S11">
        <v>4734</v>
      </c>
      <c r="T11" s="2" t="s">
        <v>51</v>
      </c>
    </row>
    <row r="12" spans="1:20" x14ac:dyDescent="0.3">
      <c r="A12" s="1">
        <v>45293</v>
      </c>
      <c r="B12" s="2" t="s">
        <v>20</v>
      </c>
      <c r="C12" s="2" t="s">
        <v>60</v>
      </c>
      <c r="D12" s="2" t="s">
        <v>46</v>
      </c>
      <c r="E12">
        <v>1522</v>
      </c>
      <c r="F12" t="b">
        <v>1</v>
      </c>
      <c r="G12" s="2" t="s">
        <v>40</v>
      </c>
      <c r="H12" s="2" t="s">
        <v>24</v>
      </c>
      <c r="I12" s="2" t="s">
        <v>59</v>
      </c>
      <c r="J12" s="2" t="s">
        <v>48</v>
      </c>
      <c r="K12">
        <v>3</v>
      </c>
      <c r="L12" s="2" t="s">
        <v>36</v>
      </c>
      <c r="M12" s="2" t="s">
        <v>58</v>
      </c>
      <c r="N12" t="b">
        <v>0</v>
      </c>
      <c r="O12">
        <v>86</v>
      </c>
      <c r="P12" s="2" t="s">
        <v>50</v>
      </c>
      <c r="Q12">
        <v>7</v>
      </c>
      <c r="R12">
        <v>3</v>
      </c>
      <c r="S12">
        <v>4737</v>
      </c>
      <c r="T12" s="2" t="s">
        <v>38</v>
      </c>
    </row>
    <row r="13" spans="1:20" x14ac:dyDescent="0.3">
      <c r="A13" s="1">
        <v>45294</v>
      </c>
      <c r="B13" s="2" t="s">
        <v>52</v>
      </c>
      <c r="C13" s="2" t="s">
        <v>45</v>
      </c>
      <c r="D13" s="2" t="s">
        <v>53</v>
      </c>
      <c r="E13">
        <v>3040</v>
      </c>
      <c r="F13" t="b">
        <v>1</v>
      </c>
      <c r="G13" s="2" t="s">
        <v>64</v>
      </c>
      <c r="H13" s="2" t="s">
        <v>35</v>
      </c>
      <c r="I13" s="2" t="s">
        <v>47</v>
      </c>
      <c r="J13" s="2" t="s">
        <v>48</v>
      </c>
      <c r="K13">
        <v>4</v>
      </c>
      <c r="L13" s="2" t="s">
        <v>27</v>
      </c>
      <c r="M13" s="2" t="s">
        <v>73</v>
      </c>
      <c r="N13" t="b">
        <v>0</v>
      </c>
      <c r="O13">
        <v>88</v>
      </c>
      <c r="P13" s="2" t="s">
        <v>50</v>
      </c>
      <c r="Q13">
        <v>4</v>
      </c>
      <c r="R13">
        <v>2</v>
      </c>
      <c r="S13">
        <v>764</v>
      </c>
      <c r="T13" s="2" t="s">
        <v>30</v>
      </c>
    </row>
    <row r="14" spans="1:20" x14ac:dyDescent="0.3">
      <c r="A14" s="1">
        <v>45295</v>
      </c>
      <c r="B14" s="2" t="s">
        <v>55</v>
      </c>
      <c r="C14" s="2" t="s">
        <v>56</v>
      </c>
      <c r="D14" s="2" t="s">
        <v>57</v>
      </c>
      <c r="E14">
        <v>1000</v>
      </c>
      <c r="F14" t="b">
        <v>1</v>
      </c>
      <c r="G14" s="2" t="s">
        <v>34</v>
      </c>
      <c r="H14" s="2" t="s">
        <v>35</v>
      </c>
      <c r="I14" s="2" t="s">
        <v>47</v>
      </c>
      <c r="J14" s="2" t="s">
        <v>43</v>
      </c>
      <c r="K14">
        <v>1</v>
      </c>
      <c r="L14" s="2" t="s">
        <v>36</v>
      </c>
      <c r="M14" s="2" t="s">
        <v>58</v>
      </c>
      <c r="N14" t="b">
        <v>1</v>
      </c>
      <c r="O14">
        <v>74</v>
      </c>
      <c r="P14" s="2" t="s">
        <v>37</v>
      </c>
      <c r="Q14">
        <v>6</v>
      </c>
      <c r="R14">
        <v>3</v>
      </c>
      <c r="S14">
        <v>4985</v>
      </c>
      <c r="T14" s="2" t="s">
        <v>51</v>
      </c>
    </row>
    <row r="15" spans="1:20" x14ac:dyDescent="0.3">
      <c r="A15" s="1">
        <v>45295</v>
      </c>
      <c r="B15" s="2" t="s">
        <v>62</v>
      </c>
      <c r="C15" s="2" t="s">
        <v>21</v>
      </c>
      <c r="D15" s="2" t="s">
        <v>46</v>
      </c>
      <c r="E15">
        <v>1399</v>
      </c>
      <c r="F15" t="b">
        <v>0</v>
      </c>
      <c r="G15" s="2" t="s">
        <v>34</v>
      </c>
      <c r="H15" s="2" t="s">
        <v>35</v>
      </c>
      <c r="I15" s="2" t="s">
        <v>25</v>
      </c>
      <c r="J15" s="2" t="s">
        <v>26</v>
      </c>
      <c r="K15">
        <v>0</v>
      </c>
      <c r="L15" s="2" t="s">
        <v>27</v>
      </c>
      <c r="M15" s="2" t="s">
        <v>58</v>
      </c>
      <c r="N15" t="b">
        <v>0</v>
      </c>
      <c r="O15">
        <v>64</v>
      </c>
      <c r="P15" s="2" t="s">
        <v>37</v>
      </c>
      <c r="Q15">
        <v>8</v>
      </c>
      <c r="R15">
        <v>3</v>
      </c>
      <c r="S15">
        <v>1885</v>
      </c>
      <c r="T15" s="2" t="s">
        <v>51</v>
      </c>
    </row>
    <row r="16" spans="1:20" x14ac:dyDescent="0.3">
      <c r="A16" s="1">
        <v>45295</v>
      </c>
      <c r="B16" s="2" t="s">
        <v>77</v>
      </c>
      <c r="C16" s="2" t="s">
        <v>60</v>
      </c>
      <c r="D16" s="2" t="s">
        <v>33</v>
      </c>
      <c r="E16">
        <v>2329</v>
      </c>
      <c r="F16" t="b">
        <v>0</v>
      </c>
      <c r="G16" s="2" t="s">
        <v>34</v>
      </c>
      <c r="H16" s="2" t="s">
        <v>41</v>
      </c>
      <c r="I16" s="2" t="s">
        <v>59</v>
      </c>
      <c r="J16" s="2" t="s">
        <v>26</v>
      </c>
      <c r="K16">
        <v>1</v>
      </c>
      <c r="L16" s="2" t="s">
        <v>49</v>
      </c>
      <c r="M16" s="2" t="s">
        <v>58</v>
      </c>
      <c r="N16" t="b">
        <v>0</v>
      </c>
      <c r="O16">
        <v>92</v>
      </c>
      <c r="P16" s="2" t="s">
        <v>67</v>
      </c>
      <c r="Q16">
        <v>1</v>
      </c>
      <c r="R16">
        <v>3</v>
      </c>
      <c r="S16">
        <v>3131</v>
      </c>
      <c r="T16" s="2" t="s">
        <v>51</v>
      </c>
    </row>
    <row r="17" spans="1:20" x14ac:dyDescent="0.3">
      <c r="A17" s="1">
        <v>45295</v>
      </c>
      <c r="B17" s="2" t="s">
        <v>55</v>
      </c>
      <c r="C17" s="2" t="s">
        <v>45</v>
      </c>
      <c r="D17" s="2" t="s">
        <v>33</v>
      </c>
      <c r="E17">
        <v>2780</v>
      </c>
      <c r="F17" t="b">
        <v>0</v>
      </c>
      <c r="G17" s="2" t="s">
        <v>34</v>
      </c>
      <c r="H17" s="2" t="s">
        <v>35</v>
      </c>
      <c r="I17" s="2" t="s">
        <v>47</v>
      </c>
      <c r="J17" s="2" t="s">
        <v>43</v>
      </c>
      <c r="K17">
        <v>5</v>
      </c>
      <c r="L17" s="2" t="s">
        <v>36</v>
      </c>
      <c r="M17" s="2" t="s">
        <v>28</v>
      </c>
      <c r="N17" t="b">
        <v>0</v>
      </c>
      <c r="O17">
        <v>119</v>
      </c>
      <c r="P17" s="2" t="s">
        <v>67</v>
      </c>
      <c r="Q17">
        <v>1</v>
      </c>
      <c r="R17">
        <v>1</v>
      </c>
      <c r="S17">
        <v>1438</v>
      </c>
      <c r="T17" s="2" t="s">
        <v>30</v>
      </c>
    </row>
    <row r="18" spans="1:20" x14ac:dyDescent="0.3">
      <c r="A18" s="1">
        <v>45296</v>
      </c>
      <c r="B18" s="2" t="s">
        <v>31</v>
      </c>
      <c r="C18" s="2" t="s">
        <v>21</v>
      </c>
      <c r="D18" s="2" t="s">
        <v>22</v>
      </c>
      <c r="E18">
        <v>6948</v>
      </c>
      <c r="F18" t="b">
        <v>1</v>
      </c>
      <c r="G18" s="2" t="s">
        <v>64</v>
      </c>
      <c r="H18" s="2" t="s">
        <v>70</v>
      </c>
      <c r="I18" s="2" t="s">
        <v>59</v>
      </c>
      <c r="J18" s="2" t="s">
        <v>26</v>
      </c>
      <c r="K18">
        <v>1</v>
      </c>
      <c r="L18" s="2" t="s">
        <v>27</v>
      </c>
      <c r="M18" s="2" t="s">
        <v>66</v>
      </c>
      <c r="N18" t="b">
        <v>0</v>
      </c>
      <c r="O18">
        <v>29</v>
      </c>
      <c r="P18" s="2" t="s">
        <v>37</v>
      </c>
      <c r="Q18">
        <v>9</v>
      </c>
      <c r="R18">
        <v>1</v>
      </c>
      <c r="S18">
        <v>4980</v>
      </c>
      <c r="T18" s="2" t="s">
        <v>30</v>
      </c>
    </row>
    <row r="19" spans="1:20" x14ac:dyDescent="0.3">
      <c r="A19" s="1">
        <v>45296</v>
      </c>
      <c r="B19" s="2" t="s">
        <v>62</v>
      </c>
      <c r="C19" s="2" t="s">
        <v>56</v>
      </c>
      <c r="D19" s="2" t="s">
        <v>33</v>
      </c>
      <c r="E19">
        <v>4615</v>
      </c>
      <c r="F19" t="b">
        <v>0</v>
      </c>
      <c r="G19" s="2" t="s">
        <v>23</v>
      </c>
      <c r="H19" s="2" t="s">
        <v>70</v>
      </c>
      <c r="I19" s="2" t="s">
        <v>25</v>
      </c>
      <c r="J19" s="2" t="s">
        <v>43</v>
      </c>
      <c r="K19">
        <v>0</v>
      </c>
      <c r="L19" s="2" t="s">
        <v>36</v>
      </c>
      <c r="M19" s="2" t="s">
        <v>66</v>
      </c>
      <c r="N19" t="b">
        <v>1</v>
      </c>
      <c r="O19">
        <v>14</v>
      </c>
      <c r="P19" s="2" t="s">
        <v>37</v>
      </c>
      <c r="Q19">
        <v>5</v>
      </c>
      <c r="R19">
        <v>3</v>
      </c>
      <c r="S19">
        <v>2103</v>
      </c>
      <c r="T19" s="2" t="s">
        <v>38</v>
      </c>
    </row>
    <row r="20" spans="1:20" x14ac:dyDescent="0.3">
      <c r="A20" s="1">
        <v>45297</v>
      </c>
      <c r="B20" s="2" t="s">
        <v>75</v>
      </c>
      <c r="C20" s="2" t="s">
        <v>32</v>
      </c>
      <c r="D20" s="2" t="s">
        <v>22</v>
      </c>
      <c r="E20">
        <v>9835</v>
      </c>
      <c r="F20" t="b">
        <v>0</v>
      </c>
      <c r="G20" s="2" t="s">
        <v>34</v>
      </c>
      <c r="H20" s="2" t="s">
        <v>24</v>
      </c>
      <c r="I20" s="2" t="s">
        <v>59</v>
      </c>
      <c r="J20" s="2" t="s">
        <v>43</v>
      </c>
      <c r="K20">
        <v>3</v>
      </c>
      <c r="L20" s="2" t="s">
        <v>36</v>
      </c>
      <c r="M20" s="2" t="s">
        <v>58</v>
      </c>
      <c r="N20" t="b">
        <v>0</v>
      </c>
      <c r="O20">
        <v>68</v>
      </c>
      <c r="P20" s="2" t="s">
        <v>29</v>
      </c>
      <c r="Q20">
        <v>8</v>
      </c>
      <c r="R20">
        <v>3</v>
      </c>
      <c r="S20">
        <v>4275</v>
      </c>
      <c r="T20" s="2" t="s">
        <v>30</v>
      </c>
    </row>
    <row r="21" spans="1:20" x14ac:dyDescent="0.3">
      <c r="A21" s="1">
        <v>45297</v>
      </c>
      <c r="B21" s="2" t="s">
        <v>72</v>
      </c>
      <c r="C21" s="2" t="s">
        <v>32</v>
      </c>
      <c r="D21" s="2" t="s">
        <v>57</v>
      </c>
      <c r="E21">
        <v>1000</v>
      </c>
      <c r="F21" t="b">
        <v>0</v>
      </c>
      <c r="G21" s="2" t="s">
        <v>23</v>
      </c>
      <c r="H21" s="2" t="s">
        <v>24</v>
      </c>
      <c r="I21" s="2" t="s">
        <v>25</v>
      </c>
      <c r="J21" s="2" t="s">
        <v>26</v>
      </c>
      <c r="K21">
        <v>1</v>
      </c>
      <c r="L21" s="2" t="s">
        <v>49</v>
      </c>
      <c r="M21" s="2" t="s">
        <v>58</v>
      </c>
      <c r="N21" t="b">
        <v>0</v>
      </c>
      <c r="O21">
        <v>28</v>
      </c>
      <c r="P21" s="2" t="s">
        <v>29</v>
      </c>
      <c r="Q21">
        <v>7</v>
      </c>
      <c r="R21">
        <v>3</v>
      </c>
      <c r="S21">
        <v>3711</v>
      </c>
      <c r="T21" s="2" t="s">
        <v>38</v>
      </c>
    </row>
    <row r="22" spans="1:20" x14ac:dyDescent="0.3">
      <c r="A22" s="1">
        <v>45297</v>
      </c>
      <c r="B22" s="2" t="s">
        <v>20</v>
      </c>
      <c r="C22" s="2" t="s">
        <v>32</v>
      </c>
      <c r="D22" s="2" t="s">
        <v>46</v>
      </c>
      <c r="E22">
        <v>3313</v>
      </c>
      <c r="F22" t="b">
        <v>1</v>
      </c>
      <c r="G22" s="2" t="s">
        <v>64</v>
      </c>
      <c r="H22" s="2" t="s">
        <v>70</v>
      </c>
      <c r="I22" s="2" t="s">
        <v>25</v>
      </c>
      <c r="J22" s="2" t="s">
        <v>43</v>
      </c>
      <c r="K22">
        <v>3</v>
      </c>
      <c r="L22" s="2" t="s">
        <v>49</v>
      </c>
      <c r="M22" s="2" t="s">
        <v>73</v>
      </c>
      <c r="N22" t="b">
        <v>0</v>
      </c>
      <c r="O22">
        <v>70</v>
      </c>
      <c r="P22" s="2" t="s">
        <v>67</v>
      </c>
      <c r="Q22">
        <v>8</v>
      </c>
      <c r="R22">
        <v>2</v>
      </c>
      <c r="S22">
        <v>1443</v>
      </c>
      <c r="T22" s="2" t="s">
        <v>51</v>
      </c>
    </row>
    <row r="23" spans="1:20" x14ac:dyDescent="0.3">
      <c r="A23" s="1">
        <v>45297</v>
      </c>
      <c r="B23" s="2" t="s">
        <v>74</v>
      </c>
      <c r="C23" s="2" t="s">
        <v>32</v>
      </c>
      <c r="D23" s="2" t="s">
        <v>46</v>
      </c>
      <c r="E23">
        <v>1462</v>
      </c>
      <c r="F23" t="b">
        <v>0</v>
      </c>
      <c r="G23" s="2" t="s">
        <v>64</v>
      </c>
      <c r="H23" s="2" t="s">
        <v>35</v>
      </c>
      <c r="I23" s="2" t="s">
        <v>42</v>
      </c>
      <c r="J23" s="2" t="s">
        <v>54</v>
      </c>
      <c r="K23">
        <v>5</v>
      </c>
      <c r="L23" s="2" t="s">
        <v>36</v>
      </c>
      <c r="M23" s="2" t="s">
        <v>66</v>
      </c>
      <c r="N23" t="b">
        <v>1</v>
      </c>
      <c r="O23">
        <v>42</v>
      </c>
      <c r="P23" s="2" t="s">
        <v>50</v>
      </c>
      <c r="Q23">
        <v>10</v>
      </c>
      <c r="R23">
        <v>3</v>
      </c>
      <c r="S23">
        <v>2175</v>
      </c>
      <c r="T23" s="2" t="s">
        <v>30</v>
      </c>
    </row>
    <row r="24" spans="1:20" x14ac:dyDescent="0.3">
      <c r="A24" s="1">
        <v>45298</v>
      </c>
      <c r="B24" s="2" t="s">
        <v>44</v>
      </c>
      <c r="C24" s="2" t="s">
        <v>32</v>
      </c>
      <c r="D24" s="2" t="s">
        <v>57</v>
      </c>
      <c r="E24">
        <v>1000</v>
      </c>
      <c r="F24" t="b">
        <v>0</v>
      </c>
      <c r="G24" s="2" t="s">
        <v>34</v>
      </c>
      <c r="H24" s="2" t="s">
        <v>24</v>
      </c>
      <c r="I24" s="2" t="s">
        <v>25</v>
      </c>
      <c r="J24" s="2" t="s">
        <v>43</v>
      </c>
      <c r="K24">
        <v>1</v>
      </c>
      <c r="L24" s="2" t="s">
        <v>27</v>
      </c>
      <c r="M24" s="2" t="s">
        <v>73</v>
      </c>
      <c r="N24" t="b">
        <v>0</v>
      </c>
      <c r="O24">
        <v>5</v>
      </c>
      <c r="P24" s="2" t="s">
        <v>63</v>
      </c>
      <c r="Q24">
        <v>8</v>
      </c>
      <c r="R24">
        <v>2</v>
      </c>
      <c r="S24">
        <v>2096</v>
      </c>
      <c r="T24" s="2" t="s">
        <v>51</v>
      </c>
    </row>
    <row r="25" spans="1:20" x14ac:dyDescent="0.3">
      <c r="A25" s="1">
        <v>45298</v>
      </c>
      <c r="B25" s="2" t="s">
        <v>39</v>
      </c>
      <c r="C25" s="2" t="s">
        <v>21</v>
      </c>
      <c r="D25" s="2" t="s">
        <v>33</v>
      </c>
      <c r="E25">
        <v>3304</v>
      </c>
      <c r="F25" t="b">
        <v>0</v>
      </c>
      <c r="G25" s="2" t="s">
        <v>40</v>
      </c>
      <c r="H25" s="2" t="s">
        <v>41</v>
      </c>
      <c r="I25" s="2" t="s">
        <v>25</v>
      </c>
      <c r="J25" s="2" t="s">
        <v>26</v>
      </c>
      <c r="K25">
        <v>0</v>
      </c>
      <c r="L25" s="2" t="s">
        <v>27</v>
      </c>
      <c r="M25" s="2" t="s">
        <v>58</v>
      </c>
      <c r="N25" t="b">
        <v>1</v>
      </c>
      <c r="O25">
        <v>40</v>
      </c>
      <c r="P25" s="2" t="s">
        <v>67</v>
      </c>
      <c r="Q25">
        <v>4</v>
      </c>
      <c r="R25">
        <v>1</v>
      </c>
      <c r="S25">
        <v>4415</v>
      </c>
      <c r="T25" s="2" t="s">
        <v>30</v>
      </c>
    </row>
    <row r="26" spans="1:20" x14ac:dyDescent="0.3">
      <c r="A26" s="1">
        <v>45298</v>
      </c>
      <c r="B26" s="2" t="s">
        <v>44</v>
      </c>
      <c r="C26" s="2" t="s">
        <v>21</v>
      </c>
      <c r="D26" s="2" t="s">
        <v>53</v>
      </c>
      <c r="E26">
        <v>5937</v>
      </c>
      <c r="F26" t="b">
        <v>0</v>
      </c>
      <c r="G26" s="2" t="s">
        <v>40</v>
      </c>
      <c r="H26" s="2" t="s">
        <v>35</v>
      </c>
      <c r="I26" s="2" t="s">
        <v>42</v>
      </c>
      <c r="J26" s="2" t="s">
        <v>26</v>
      </c>
      <c r="K26">
        <v>4</v>
      </c>
      <c r="L26" s="2" t="s">
        <v>49</v>
      </c>
      <c r="M26" s="2" t="s">
        <v>28</v>
      </c>
      <c r="N26" t="b">
        <v>1</v>
      </c>
      <c r="O26">
        <v>78</v>
      </c>
      <c r="P26" s="2" t="s">
        <v>67</v>
      </c>
      <c r="Q26">
        <v>8</v>
      </c>
      <c r="R26">
        <v>2</v>
      </c>
      <c r="S26">
        <v>3732</v>
      </c>
      <c r="T26" s="2" t="s">
        <v>38</v>
      </c>
    </row>
    <row r="27" spans="1:20" x14ac:dyDescent="0.3">
      <c r="A27" s="1">
        <v>45298</v>
      </c>
      <c r="B27" s="2" t="s">
        <v>77</v>
      </c>
      <c r="C27" s="2" t="s">
        <v>21</v>
      </c>
      <c r="D27" s="2" t="s">
        <v>33</v>
      </c>
      <c r="E27">
        <v>1857</v>
      </c>
      <c r="F27" t="b">
        <v>0</v>
      </c>
      <c r="G27" s="2" t="s">
        <v>23</v>
      </c>
      <c r="H27" s="2" t="s">
        <v>70</v>
      </c>
      <c r="I27" s="2" t="s">
        <v>25</v>
      </c>
      <c r="J27" s="2" t="s">
        <v>48</v>
      </c>
      <c r="K27">
        <v>3</v>
      </c>
      <c r="L27" s="2" t="s">
        <v>49</v>
      </c>
      <c r="M27" s="2" t="s">
        <v>66</v>
      </c>
      <c r="N27" t="b">
        <v>0</v>
      </c>
      <c r="O27">
        <v>64</v>
      </c>
      <c r="P27" s="2" t="s">
        <v>63</v>
      </c>
      <c r="Q27">
        <v>9</v>
      </c>
      <c r="R27">
        <v>2</v>
      </c>
      <c r="S27">
        <v>2722</v>
      </c>
      <c r="T27" s="2" t="s">
        <v>38</v>
      </c>
    </row>
    <row r="28" spans="1:20" x14ac:dyDescent="0.3">
      <c r="A28" s="1">
        <v>45298</v>
      </c>
      <c r="B28" s="2" t="s">
        <v>52</v>
      </c>
      <c r="C28" s="2" t="s">
        <v>56</v>
      </c>
      <c r="D28" s="2" t="s">
        <v>57</v>
      </c>
      <c r="E28">
        <v>1000</v>
      </c>
      <c r="F28" t="b">
        <v>0</v>
      </c>
      <c r="G28" s="2" t="s">
        <v>64</v>
      </c>
      <c r="H28" s="2" t="s">
        <v>24</v>
      </c>
      <c r="I28" s="2" t="s">
        <v>59</v>
      </c>
      <c r="J28" s="2" t="s">
        <v>48</v>
      </c>
      <c r="K28">
        <v>1</v>
      </c>
      <c r="L28" s="2" t="s">
        <v>49</v>
      </c>
      <c r="M28" s="2" t="s">
        <v>66</v>
      </c>
      <c r="N28" t="b">
        <v>0</v>
      </c>
      <c r="O28">
        <v>119</v>
      </c>
      <c r="P28" s="2" t="s">
        <v>50</v>
      </c>
      <c r="Q28">
        <v>2</v>
      </c>
      <c r="R28">
        <v>2</v>
      </c>
      <c r="S28">
        <v>791</v>
      </c>
      <c r="T28" s="2" t="s">
        <v>38</v>
      </c>
    </row>
    <row r="29" spans="1:20" x14ac:dyDescent="0.3">
      <c r="A29" s="1">
        <v>45299</v>
      </c>
      <c r="B29" s="2" t="s">
        <v>74</v>
      </c>
      <c r="C29" s="2" t="s">
        <v>45</v>
      </c>
      <c r="D29" s="2" t="s">
        <v>33</v>
      </c>
      <c r="E29">
        <v>4484</v>
      </c>
      <c r="F29" t="b">
        <v>0</v>
      </c>
      <c r="G29" s="2" t="s">
        <v>64</v>
      </c>
      <c r="H29" s="2" t="s">
        <v>70</v>
      </c>
      <c r="I29" s="2" t="s">
        <v>42</v>
      </c>
      <c r="J29" s="2" t="s">
        <v>54</v>
      </c>
      <c r="K29">
        <v>4</v>
      </c>
      <c r="L29" s="2" t="s">
        <v>27</v>
      </c>
      <c r="M29" s="2" t="s">
        <v>66</v>
      </c>
      <c r="N29" t="b">
        <v>1</v>
      </c>
      <c r="O29">
        <v>93</v>
      </c>
      <c r="P29" s="2" t="s">
        <v>63</v>
      </c>
      <c r="Q29">
        <v>2</v>
      </c>
      <c r="R29">
        <v>2</v>
      </c>
      <c r="S29">
        <v>3193</v>
      </c>
      <c r="T29" s="2" t="s">
        <v>51</v>
      </c>
    </row>
    <row r="30" spans="1:20" x14ac:dyDescent="0.3">
      <c r="A30" s="1">
        <v>45300</v>
      </c>
      <c r="B30" s="2" t="s">
        <v>31</v>
      </c>
      <c r="C30" s="2" t="s">
        <v>60</v>
      </c>
      <c r="D30" s="2" t="s">
        <v>53</v>
      </c>
      <c r="E30">
        <v>5259</v>
      </c>
      <c r="F30" t="b">
        <v>0</v>
      </c>
      <c r="G30" s="2" t="s">
        <v>34</v>
      </c>
      <c r="H30" s="2" t="s">
        <v>41</v>
      </c>
      <c r="I30" s="2" t="s">
        <v>59</v>
      </c>
      <c r="J30" s="2" t="s">
        <v>48</v>
      </c>
      <c r="K30">
        <v>5</v>
      </c>
      <c r="L30" s="2" t="s">
        <v>49</v>
      </c>
      <c r="M30" s="2" t="s">
        <v>66</v>
      </c>
      <c r="N30" t="b">
        <v>1</v>
      </c>
      <c r="O30">
        <v>78</v>
      </c>
      <c r="P30" s="2" t="s">
        <v>50</v>
      </c>
      <c r="Q30">
        <v>9</v>
      </c>
      <c r="R30">
        <v>2</v>
      </c>
      <c r="S30">
        <v>3846</v>
      </c>
      <c r="T30" s="2" t="s">
        <v>38</v>
      </c>
    </row>
    <row r="31" spans="1:20" x14ac:dyDescent="0.3">
      <c r="A31" s="1">
        <v>45300</v>
      </c>
      <c r="B31" s="2" t="s">
        <v>31</v>
      </c>
      <c r="C31" s="2" t="s">
        <v>60</v>
      </c>
      <c r="D31" s="2" t="s">
        <v>22</v>
      </c>
      <c r="E31">
        <v>9662</v>
      </c>
      <c r="F31" t="b">
        <v>0</v>
      </c>
      <c r="G31" s="2" t="s">
        <v>40</v>
      </c>
      <c r="H31" s="2" t="s">
        <v>41</v>
      </c>
      <c r="I31" s="2" t="s">
        <v>42</v>
      </c>
      <c r="J31" s="2" t="s">
        <v>48</v>
      </c>
      <c r="K31">
        <v>2</v>
      </c>
      <c r="L31" s="2" t="s">
        <v>36</v>
      </c>
      <c r="M31" s="2" t="s">
        <v>73</v>
      </c>
      <c r="N31" t="b">
        <v>0</v>
      </c>
      <c r="O31">
        <v>113</v>
      </c>
      <c r="P31" s="2" t="s">
        <v>63</v>
      </c>
      <c r="Q31">
        <v>4</v>
      </c>
      <c r="R31">
        <v>3</v>
      </c>
      <c r="S31">
        <v>1686</v>
      </c>
      <c r="T31" s="2" t="s">
        <v>38</v>
      </c>
    </row>
    <row r="32" spans="1:20" x14ac:dyDescent="0.3">
      <c r="A32" s="1">
        <v>45300</v>
      </c>
      <c r="B32" s="2" t="s">
        <v>77</v>
      </c>
      <c r="C32" s="2" t="s">
        <v>32</v>
      </c>
      <c r="D32" s="2" t="s">
        <v>33</v>
      </c>
      <c r="E32">
        <v>4184</v>
      </c>
      <c r="F32" t="b">
        <v>1</v>
      </c>
      <c r="G32" s="2" t="s">
        <v>23</v>
      </c>
      <c r="H32" s="2" t="s">
        <v>35</v>
      </c>
      <c r="I32" s="2" t="s">
        <v>42</v>
      </c>
      <c r="J32" s="2" t="s">
        <v>43</v>
      </c>
      <c r="K32">
        <v>2</v>
      </c>
      <c r="L32" s="2" t="s">
        <v>36</v>
      </c>
      <c r="M32" s="2" t="s">
        <v>28</v>
      </c>
      <c r="N32" t="b">
        <v>1</v>
      </c>
      <c r="O32">
        <v>8</v>
      </c>
      <c r="P32" s="2" t="s">
        <v>67</v>
      </c>
      <c r="Q32">
        <v>5</v>
      </c>
      <c r="R32">
        <v>2</v>
      </c>
      <c r="S32">
        <v>3051</v>
      </c>
      <c r="T32" s="2" t="s">
        <v>30</v>
      </c>
    </row>
    <row r="33" spans="1:20" x14ac:dyDescent="0.3">
      <c r="A33" s="1">
        <v>45301</v>
      </c>
      <c r="B33" s="2" t="s">
        <v>71</v>
      </c>
      <c r="C33" s="2" t="s">
        <v>56</v>
      </c>
      <c r="D33" s="2" t="s">
        <v>57</v>
      </c>
      <c r="E33">
        <v>1000</v>
      </c>
      <c r="F33" t="b">
        <v>0</v>
      </c>
      <c r="G33" s="2" t="s">
        <v>34</v>
      </c>
      <c r="H33" s="2" t="s">
        <v>35</v>
      </c>
      <c r="I33" s="2" t="s">
        <v>42</v>
      </c>
      <c r="J33" s="2" t="s">
        <v>54</v>
      </c>
      <c r="K33">
        <v>1</v>
      </c>
      <c r="L33" s="2" t="s">
        <v>49</v>
      </c>
      <c r="M33" s="2" t="s">
        <v>66</v>
      </c>
      <c r="N33" t="b">
        <v>1</v>
      </c>
      <c r="O33">
        <v>88</v>
      </c>
      <c r="P33" s="2" t="s">
        <v>67</v>
      </c>
      <c r="Q33">
        <v>4</v>
      </c>
      <c r="R33">
        <v>2</v>
      </c>
      <c r="S33">
        <v>3829</v>
      </c>
      <c r="T33" s="2" t="s">
        <v>51</v>
      </c>
    </row>
    <row r="34" spans="1:20" x14ac:dyDescent="0.3">
      <c r="A34" s="1">
        <v>45302</v>
      </c>
      <c r="B34" s="2" t="s">
        <v>74</v>
      </c>
      <c r="C34" s="2" t="s">
        <v>45</v>
      </c>
      <c r="D34" s="2" t="s">
        <v>57</v>
      </c>
      <c r="E34">
        <v>1000</v>
      </c>
      <c r="F34" t="b">
        <v>0</v>
      </c>
      <c r="G34" s="2" t="s">
        <v>40</v>
      </c>
      <c r="H34" s="2" t="s">
        <v>41</v>
      </c>
      <c r="I34" s="2" t="s">
        <v>42</v>
      </c>
      <c r="J34" s="2" t="s">
        <v>48</v>
      </c>
      <c r="K34">
        <v>2</v>
      </c>
      <c r="L34" s="2" t="s">
        <v>49</v>
      </c>
      <c r="M34" s="2" t="s">
        <v>58</v>
      </c>
      <c r="N34" t="b">
        <v>1</v>
      </c>
      <c r="O34">
        <v>34</v>
      </c>
      <c r="P34" s="2" t="s">
        <v>29</v>
      </c>
      <c r="Q34">
        <v>2</v>
      </c>
      <c r="R34">
        <v>1</v>
      </c>
      <c r="S34">
        <v>3705</v>
      </c>
      <c r="T34" s="2" t="s">
        <v>30</v>
      </c>
    </row>
    <row r="35" spans="1:20" x14ac:dyDescent="0.3">
      <c r="A35" s="1">
        <v>45302</v>
      </c>
      <c r="B35" s="2" t="s">
        <v>71</v>
      </c>
      <c r="C35" s="2" t="s">
        <v>21</v>
      </c>
      <c r="D35" s="2" t="s">
        <v>46</v>
      </c>
      <c r="E35">
        <v>1818</v>
      </c>
      <c r="F35" t="b">
        <v>1</v>
      </c>
      <c r="G35" s="2" t="s">
        <v>34</v>
      </c>
      <c r="H35" s="2" t="s">
        <v>24</v>
      </c>
      <c r="I35" s="2" t="s">
        <v>25</v>
      </c>
      <c r="J35" s="2" t="s">
        <v>54</v>
      </c>
      <c r="K35">
        <v>1</v>
      </c>
      <c r="L35" s="2" t="s">
        <v>49</v>
      </c>
      <c r="M35" s="2" t="s">
        <v>66</v>
      </c>
      <c r="N35" t="b">
        <v>1</v>
      </c>
      <c r="O35">
        <v>93</v>
      </c>
      <c r="P35" s="2" t="s">
        <v>67</v>
      </c>
      <c r="Q35">
        <v>6</v>
      </c>
      <c r="R35">
        <v>2</v>
      </c>
      <c r="S35">
        <v>2239</v>
      </c>
      <c r="T35" s="2" t="s">
        <v>38</v>
      </c>
    </row>
    <row r="36" spans="1:20" x14ac:dyDescent="0.3">
      <c r="A36" s="1">
        <v>45303</v>
      </c>
      <c r="B36" s="2" t="s">
        <v>20</v>
      </c>
      <c r="C36" s="2" t="s">
        <v>21</v>
      </c>
      <c r="D36" s="2" t="s">
        <v>33</v>
      </c>
      <c r="E36">
        <v>3172</v>
      </c>
      <c r="F36" t="b">
        <v>0</v>
      </c>
      <c r="G36" s="2" t="s">
        <v>65</v>
      </c>
      <c r="H36" s="2" t="s">
        <v>41</v>
      </c>
      <c r="I36" s="2" t="s">
        <v>47</v>
      </c>
      <c r="J36" s="2" t="s">
        <v>43</v>
      </c>
      <c r="K36">
        <v>4</v>
      </c>
      <c r="L36" s="2" t="s">
        <v>27</v>
      </c>
      <c r="M36" s="2" t="s">
        <v>28</v>
      </c>
      <c r="N36" t="b">
        <v>1</v>
      </c>
      <c r="O36">
        <v>98</v>
      </c>
      <c r="P36" s="2" t="s">
        <v>50</v>
      </c>
      <c r="Q36">
        <v>10</v>
      </c>
      <c r="R36">
        <v>1</v>
      </c>
      <c r="S36">
        <v>2788</v>
      </c>
      <c r="T36" s="2" t="s">
        <v>38</v>
      </c>
    </row>
    <row r="37" spans="1:20" x14ac:dyDescent="0.3">
      <c r="A37" s="1">
        <v>45303</v>
      </c>
      <c r="B37" s="2" t="s">
        <v>55</v>
      </c>
      <c r="C37" s="2" t="s">
        <v>32</v>
      </c>
      <c r="D37" s="2" t="s">
        <v>57</v>
      </c>
      <c r="E37">
        <v>1000</v>
      </c>
      <c r="F37" t="b">
        <v>0</v>
      </c>
      <c r="G37" s="2" t="s">
        <v>64</v>
      </c>
      <c r="H37" s="2" t="s">
        <v>41</v>
      </c>
      <c r="I37" s="2" t="s">
        <v>42</v>
      </c>
      <c r="J37" s="2" t="s">
        <v>43</v>
      </c>
      <c r="K37">
        <v>1</v>
      </c>
      <c r="L37" s="2" t="s">
        <v>36</v>
      </c>
      <c r="M37" s="2" t="s">
        <v>66</v>
      </c>
      <c r="N37" t="b">
        <v>0</v>
      </c>
      <c r="O37">
        <v>15</v>
      </c>
      <c r="P37" s="2" t="s">
        <v>63</v>
      </c>
      <c r="Q37">
        <v>6</v>
      </c>
      <c r="R37">
        <v>3</v>
      </c>
      <c r="S37">
        <v>3367</v>
      </c>
      <c r="T37" s="2" t="s">
        <v>51</v>
      </c>
    </row>
    <row r="38" spans="1:20" x14ac:dyDescent="0.3">
      <c r="A38" s="1">
        <v>45303</v>
      </c>
      <c r="B38" s="2" t="s">
        <v>44</v>
      </c>
      <c r="C38" s="2" t="s">
        <v>60</v>
      </c>
      <c r="D38" s="2" t="s">
        <v>53</v>
      </c>
      <c r="E38">
        <v>3681</v>
      </c>
      <c r="F38" t="b">
        <v>0</v>
      </c>
      <c r="G38" s="2" t="s">
        <v>23</v>
      </c>
      <c r="H38" s="2" t="s">
        <v>70</v>
      </c>
      <c r="I38" s="2" t="s">
        <v>42</v>
      </c>
      <c r="J38" s="2" t="s">
        <v>48</v>
      </c>
      <c r="K38">
        <v>2</v>
      </c>
      <c r="L38" s="2" t="s">
        <v>36</v>
      </c>
      <c r="M38" s="2" t="s">
        <v>66</v>
      </c>
      <c r="N38" t="b">
        <v>0</v>
      </c>
      <c r="O38">
        <v>57</v>
      </c>
      <c r="P38" s="2" t="s">
        <v>63</v>
      </c>
      <c r="Q38">
        <v>3</v>
      </c>
      <c r="R38">
        <v>1</v>
      </c>
      <c r="S38">
        <v>3354</v>
      </c>
      <c r="T38" s="2" t="s">
        <v>30</v>
      </c>
    </row>
    <row r="39" spans="1:20" x14ac:dyDescent="0.3">
      <c r="A39" s="1">
        <v>45303</v>
      </c>
      <c r="B39" s="2" t="s">
        <v>52</v>
      </c>
      <c r="C39" s="2" t="s">
        <v>45</v>
      </c>
      <c r="D39" s="2" t="s">
        <v>57</v>
      </c>
      <c r="E39">
        <v>1000</v>
      </c>
      <c r="F39" t="b">
        <v>0</v>
      </c>
      <c r="G39" s="2" t="s">
        <v>34</v>
      </c>
      <c r="H39" s="2" t="s">
        <v>41</v>
      </c>
      <c r="I39" s="2" t="s">
        <v>59</v>
      </c>
      <c r="J39" s="2" t="s">
        <v>54</v>
      </c>
      <c r="K39">
        <v>4</v>
      </c>
      <c r="L39" s="2" t="s">
        <v>27</v>
      </c>
      <c r="M39" s="2" t="s">
        <v>66</v>
      </c>
      <c r="N39" t="b">
        <v>1</v>
      </c>
      <c r="O39">
        <v>76</v>
      </c>
      <c r="P39" s="2" t="s">
        <v>63</v>
      </c>
      <c r="Q39">
        <v>6</v>
      </c>
      <c r="R39">
        <v>2</v>
      </c>
      <c r="S39">
        <v>1301</v>
      </c>
      <c r="T39" s="2" t="s">
        <v>51</v>
      </c>
    </row>
    <row r="40" spans="1:20" x14ac:dyDescent="0.3">
      <c r="A40" s="1">
        <v>45304</v>
      </c>
      <c r="B40" s="2" t="s">
        <v>31</v>
      </c>
      <c r="C40" s="2" t="s">
        <v>56</v>
      </c>
      <c r="D40" s="2" t="s">
        <v>33</v>
      </c>
      <c r="E40">
        <v>4415</v>
      </c>
      <c r="F40" t="b">
        <v>1</v>
      </c>
      <c r="G40" s="2" t="s">
        <v>64</v>
      </c>
      <c r="H40" s="2" t="s">
        <v>70</v>
      </c>
      <c r="I40" s="2" t="s">
        <v>42</v>
      </c>
      <c r="J40" s="2" t="s">
        <v>48</v>
      </c>
      <c r="K40">
        <v>4</v>
      </c>
      <c r="L40" s="2" t="s">
        <v>27</v>
      </c>
      <c r="M40" s="2" t="s">
        <v>28</v>
      </c>
      <c r="N40" t="b">
        <v>1</v>
      </c>
      <c r="O40">
        <v>34</v>
      </c>
      <c r="P40" s="2" t="s">
        <v>63</v>
      </c>
      <c r="Q40">
        <v>3</v>
      </c>
      <c r="R40">
        <v>3</v>
      </c>
      <c r="S40">
        <v>4463</v>
      </c>
      <c r="T40" s="2" t="s">
        <v>38</v>
      </c>
    </row>
    <row r="41" spans="1:20" x14ac:dyDescent="0.3">
      <c r="A41" s="1">
        <v>45304</v>
      </c>
      <c r="B41" s="2" t="s">
        <v>55</v>
      </c>
      <c r="C41" s="2" t="s">
        <v>32</v>
      </c>
      <c r="D41" s="2" t="s">
        <v>57</v>
      </c>
      <c r="E41">
        <v>1000</v>
      </c>
      <c r="F41" t="b">
        <v>0</v>
      </c>
      <c r="G41" s="2" t="s">
        <v>34</v>
      </c>
      <c r="H41" s="2" t="s">
        <v>41</v>
      </c>
      <c r="I41" s="2" t="s">
        <v>25</v>
      </c>
      <c r="J41" s="2" t="s">
        <v>43</v>
      </c>
      <c r="K41">
        <v>1</v>
      </c>
      <c r="L41" s="2" t="s">
        <v>27</v>
      </c>
      <c r="M41" s="2" t="s">
        <v>28</v>
      </c>
      <c r="N41" t="b">
        <v>0</v>
      </c>
      <c r="O41">
        <v>119</v>
      </c>
      <c r="P41" s="2" t="s">
        <v>29</v>
      </c>
      <c r="Q41">
        <v>8</v>
      </c>
      <c r="R41">
        <v>3</v>
      </c>
      <c r="S41">
        <v>1423</v>
      </c>
      <c r="T41" s="2" t="s">
        <v>51</v>
      </c>
    </row>
    <row r="42" spans="1:20" x14ac:dyDescent="0.3">
      <c r="A42" s="1">
        <v>45304</v>
      </c>
      <c r="B42" s="2" t="s">
        <v>39</v>
      </c>
      <c r="C42" s="2" t="s">
        <v>56</v>
      </c>
      <c r="D42" s="2" t="s">
        <v>46</v>
      </c>
      <c r="E42">
        <v>4316</v>
      </c>
      <c r="F42" t="b">
        <v>1</v>
      </c>
      <c r="G42" s="2" t="s">
        <v>65</v>
      </c>
      <c r="H42" s="2" t="s">
        <v>24</v>
      </c>
      <c r="I42" s="2" t="s">
        <v>59</v>
      </c>
      <c r="J42" s="2" t="s">
        <v>48</v>
      </c>
      <c r="K42">
        <v>3</v>
      </c>
      <c r="L42" s="2" t="s">
        <v>49</v>
      </c>
      <c r="M42" s="2" t="s">
        <v>73</v>
      </c>
      <c r="N42" t="b">
        <v>1</v>
      </c>
      <c r="O42">
        <v>92</v>
      </c>
      <c r="P42" s="2" t="s">
        <v>29</v>
      </c>
      <c r="Q42">
        <v>10</v>
      </c>
      <c r="R42">
        <v>1</v>
      </c>
      <c r="S42">
        <v>4854</v>
      </c>
      <c r="T42" s="2" t="s">
        <v>30</v>
      </c>
    </row>
    <row r="43" spans="1:20" x14ac:dyDescent="0.3">
      <c r="A43" s="1">
        <v>45304</v>
      </c>
      <c r="B43" s="2" t="s">
        <v>75</v>
      </c>
      <c r="C43" s="2" t="s">
        <v>60</v>
      </c>
      <c r="D43" s="2" t="s">
        <v>61</v>
      </c>
      <c r="E43">
        <v>1000</v>
      </c>
      <c r="F43" t="b">
        <v>0</v>
      </c>
      <c r="G43" s="2" t="s">
        <v>34</v>
      </c>
      <c r="H43" s="2" t="s">
        <v>35</v>
      </c>
      <c r="I43" s="2" t="s">
        <v>47</v>
      </c>
      <c r="J43" s="2" t="s">
        <v>48</v>
      </c>
      <c r="K43">
        <v>4</v>
      </c>
      <c r="L43" s="2" t="s">
        <v>27</v>
      </c>
      <c r="M43" s="2" t="s">
        <v>73</v>
      </c>
      <c r="N43" t="b">
        <v>0</v>
      </c>
      <c r="O43">
        <v>56</v>
      </c>
      <c r="P43" s="2" t="s">
        <v>37</v>
      </c>
      <c r="Q43">
        <v>9</v>
      </c>
      <c r="R43">
        <v>2</v>
      </c>
      <c r="S43">
        <v>1894</v>
      </c>
      <c r="T43" s="2" t="s">
        <v>51</v>
      </c>
    </row>
    <row r="44" spans="1:20" x14ac:dyDescent="0.3">
      <c r="A44" s="1">
        <v>45304</v>
      </c>
      <c r="B44" s="2" t="s">
        <v>74</v>
      </c>
      <c r="C44" s="2" t="s">
        <v>21</v>
      </c>
      <c r="D44" s="2" t="s">
        <v>53</v>
      </c>
      <c r="E44">
        <v>5617</v>
      </c>
      <c r="F44" t="b">
        <v>0</v>
      </c>
      <c r="G44" s="2" t="s">
        <v>34</v>
      </c>
      <c r="H44" s="2" t="s">
        <v>24</v>
      </c>
      <c r="I44" s="2" t="s">
        <v>59</v>
      </c>
      <c r="J44" s="2" t="s">
        <v>48</v>
      </c>
      <c r="K44">
        <v>5</v>
      </c>
      <c r="L44" s="2" t="s">
        <v>49</v>
      </c>
      <c r="M44" s="2" t="s">
        <v>28</v>
      </c>
      <c r="N44" t="b">
        <v>1</v>
      </c>
      <c r="O44">
        <v>72</v>
      </c>
      <c r="P44" s="2" t="s">
        <v>50</v>
      </c>
      <c r="Q44">
        <v>8</v>
      </c>
      <c r="R44">
        <v>3</v>
      </c>
      <c r="S44">
        <v>547</v>
      </c>
      <c r="T44" s="2" t="s">
        <v>30</v>
      </c>
    </row>
    <row r="45" spans="1:20" x14ac:dyDescent="0.3">
      <c r="A45" s="1">
        <v>45304</v>
      </c>
      <c r="B45" s="2" t="s">
        <v>62</v>
      </c>
      <c r="C45" s="2" t="s">
        <v>60</v>
      </c>
      <c r="D45" s="2" t="s">
        <v>22</v>
      </c>
      <c r="E45">
        <v>8843</v>
      </c>
      <c r="F45" t="b">
        <v>1</v>
      </c>
      <c r="G45" s="2" t="s">
        <v>64</v>
      </c>
      <c r="H45" s="2" t="s">
        <v>70</v>
      </c>
      <c r="I45" s="2" t="s">
        <v>25</v>
      </c>
      <c r="J45" s="2" t="s">
        <v>54</v>
      </c>
      <c r="K45">
        <v>2</v>
      </c>
      <c r="L45" s="2" t="s">
        <v>36</v>
      </c>
      <c r="M45" s="2" t="s">
        <v>58</v>
      </c>
      <c r="N45" t="b">
        <v>1</v>
      </c>
      <c r="O45">
        <v>59</v>
      </c>
      <c r="P45" s="2" t="s">
        <v>29</v>
      </c>
      <c r="Q45">
        <v>3</v>
      </c>
      <c r="R45">
        <v>2</v>
      </c>
      <c r="S45">
        <v>2206</v>
      </c>
      <c r="T45" s="2" t="s">
        <v>30</v>
      </c>
    </row>
    <row r="46" spans="1:20" x14ac:dyDescent="0.3">
      <c r="A46" s="1">
        <v>45305</v>
      </c>
      <c r="B46" s="2" t="s">
        <v>39</v>
      </c>
      <c r="C46" s="2" t="s">
        <v>32</v>
      </c>
      <c r="D46" s="2" t="s">
        <v>57</v>
      </c>
      <c r="E46">
        <v>1000</v>
      </c>
      <c r="F46" t="b">
        <v>0</v>
      </c>
      <c r="G46" s="2" t="s">
        <v>40</v>
      </c>
      <c r="H46" s="2" t="s">
        <v>41</v>
      </c>
      <c r="I46" s="2" t="s">
        <v>42</v>
      </c>
      <c r="J46" s="2" t="s">
        <v>26</v>
      </c>
      <c r="K46">
        <v>0</v>
      </c>
      <c r="L46" s="2" t="s">
        <v>27</v>
      </c>
      <c r="M46" s="2" t="s">
        <v>73</v>
      </c>
      <c r="N46" t="b">
        <v>0</v>
      </c>
      <c r="O46">
        <v>59</v>
      </c>
      <c r="P46" s="2" t="s">
        <v>67</v>
      </c>
      <c r="Q46">
        <v>8</v>
      </c>
      <c r="R46">
        <v>1</v>
      </c>
      <c r="S46">
        <v>1978</v>
      </c>
      <c r="T46" s="2" t="s">
        <v>30</v>
      </c>
    </row>
    <row r="47" spans="1:20" x14ac:dyDescent="0.3">
      <c r="A47" s="1">
        <v>45305</v>
      </c>
      <c r="B47" s="2" t="s">
        <v>68</v>
      </c>
      <c r="C47" s="2" t="s">
        <v>56</v>
      </c>
      <c r="D47" s="2" t="s">
        <v>46</v>
      </c>
      <c r="E47">
        <v>1511</v>
      </c>
      <c r="F47" t="b">
        <v>1</v>
      </c>
      <c r="G47" s="2" t="s">
        <v>40</v>
      </c>
      <c r="H47" s="2" t="s">
        <v>70</v>
      </c>
      <c r="I47" s="2" t="s">
        <v>42</v>
      </c>
      <c r="J47" s="2" t="s">
        <v>26</v>
      </c>
      <c r="K47">
        <v>2</v>
      </c>
      <c r="L47" s="2" t="s">
        <v>36</v>
      </c>
      <c r="M47" s="2" t="s">
        <v>28</v>
      </c>
      <c r="N47" t="b">
        <v>1</v>
      </c>
      <c r="O47">
        <v>54</v>
      </c>
      <c r="P47" s="2" t="s">
        <v>63</v>
      </c>
      <c r="Q47">
        <v>1</v>
      </c>
      <c r="R47">
        <v>1</v>
      </c>
      <c r="S47">
        <v>667</v>
      </c>
      <c r="T47" s="2" t="s">
        <v>51</v>
      </c>
    </row>
    <row r="48" spans="1:20" x14ac:dyDescent="0.3">
      <c r="A48" s="1">
        <v>45305</v>
      </c>
      <c r="B48" s="2" t="s">
        <v>39</v>
      </c>
      <c r="C48" s="2" t="s">
        <v>45</v>
      </c>
      <c r="D48" s="2" t="s">
        <v>22</v>
      </c>
      <c r="E48">
        <v>5836</v>
      </c>
      <c r="F48" t="b">
        <v>0</v>
      </c>
      <c r="G48" s="2" t="s">
        <v>64</v>
      </c>
      <c r="H48" s="2" t="s">
        <v>41</v>
      </c>
      <c r="I48" s="2" t="s">
        <v>25</v>
      </c>
      <c r="J48" s="2" t="s">
        <v>54</v>
      </c>
      <c r="K48">
        <v>4</v>
      </c>
      <c r="L48" s="2" t="s">
        <v>27</v>
      </c>
      <c r="M48" s="2" t="s">
        <v>73</v>
      </c>
      <c r="N48" t="b">
        <v>0</v>
      </c>
      <c r="O48">
        <v>63</v>
      </c>
      <c r="P48" s="2" t="s">
        <v>50</v>
      </c>
      <c r="Q48">
        <v>9</v>
      </c>
      <c r="R48">
        <v>1</v>
      </c>
      <c r="S48">
        <v>2817</v>
      </c>
      <c r="T48" s="2" t="s">
        <v>38</v>
      </c>
    </row>
    <row r="49" spans="1:20" x14ac:dyDescent="0.3">
      <c r="A49" s="1">
        <v>45305</v>
      </c>
      <c r="B49" s="2" t="s">
        <v>74</v>
      </c>
      <c r="C49" s="2" t="s">
        <v>21</v>
      </c>
      <c r="D49" s="2" t="s">
        <v>57</v>
      </c>
      <c r="E49">
        <v>1000</v>
      </c>
      <c r="F49" t="b">
        <v>1</v>
      </c>
      <c r="G49" s="2" t="s">
        <v>34</v>
      </c>
      <c r="H49" s="2" t="s">
        <v>24</v>
      </c>
      <c r="I49" s="2" t="s">
        <v>59</v>
      </c>
      <c r="J49" s="2" t="s">
        <v>26</v>
      </c>
      <c r="K49">
        <v>0</v>
      </c>
      <c r="L49" s="2" t="s">
        <v>27</v>
      </c>
      <c r="M49" s="2" t="s">
        <v>28</v>
      </c>
      <c r="N49" t="b">
        <v>0</v>
      </c>
      <c r="O49">
        <v>114</v>
      </c>
      <c r="P49" s="2" t="s">
        <v>63</v>
      </c>
      <c r="Q49">
        <v>7</v>
      </c>
      <c r="R49">
        <v>3</v>
      </c>
      <c r="S49">
        <v>4674</v>
      </c>
      <c r="T49" s="2" t="s">
        <v>38</v>
      </c>
    </row>
    <row r="50" spans="1:20" x14ac:dyDescent="0.3">
      <c r="A50" s="1">
        <v>45306</v>
      </c>
      <c r="B50" s="2" t="s">
        <v>69</v>
      </c>
      <c r="C50" s="2" t="s">
        <v>45</v>
      </c>
      <c r="D50" s="2" t="s">
        <v>46</v>
      </c>
      <c r="E50">
        <v>1757</v>
      </c>
      <c r="F50" t="b">
        <v>1</v>
      </c>
      <c r="G50" s="2" t="s">
        <v>65</v>
      </c>
      <c r="H50" s="2" t="s">
        <v>24</v>
      </c>
      <c r="I50" s="2" t="s">
        <v>47</v>
      </c>
      <c r="J50" s="2" t="s">
        <v>54</v>
      </c>
      <c r="K50">
        <v>1</v>
      </c>
      <c r="L50" s="2" t="s">
        <v>27</v>
      </c>
      <c r="M50" s="2" t="s">
        <v>58</v>
      </c>
      <c r="N50" t="b">
        <v>0</v>
      </c>
      <c r="O50">
        <v>33</v>
      </c>
      <c r="P50" s="2" t="s">
        <v>37</v>
      </c>
      <c r="Q50">
        <v>2</v>
      </c>
      <c r="R50">
        <v>1</v>
      </c>
      <c r="S50">
        <v>1272</v>
      </c>
      <c r="T50" s="2" t="s">
        <v>38</v>
      </c>
    </row>
    <row r="51" spans="1:20" x14ac:dyDescent="0.3">
      <c r="A51" s="1">
        <v>45306</v>
      </c>
      <c r="B51" s="2" t="s">
        <v>75</v>
      </c>
      <c r="C51" s="2" t="s">
        <v>56</v>
      </c>
      <c r="D51" s="2" t="s">
        <v>22</v>
      </c>
      <c r="E51">
        <v>5002</v>
      </c>
      <c r="F51" t="b">
        <v>0</v>
      </c>
      <c r="G51" s="2" t="s">
        <v>65</v>
      </c>
      <c r="H51" s="2" t="s">
        <v>35</v>
      </c>
      <c r="I51" s="2" t="s">
        <v>25</v>
      </c>
      <c r="J51" s="2" t="s">
        <v>26</v>
      </c>
      <c r="K51">
        <v>1</v>
      </c>
      <c r="L51" s="2" t="s">
        <v>36</v>
      </c>
      <c r="M51" s="2" t="s">
        <v>73</v>
      </c>
      <c r="N51" t="b">
        <v>0</v>
      </c>
      <c r="O51">
        <v>116</v>
      </c>
      <c r="P51" s="2" t="s">
        <v>29</v>
      </c>
      <c r="Q51">
        <v>6</v>
      </c>
      <c r="R51">
        <v>3</v>
      </c>
      <c r="S51">
        <v>2094</v>
      </c>
      <c r="T51" s="2" t="s">
        <v>38</v>
      </c>
    </row>
    <row r="52" spans="1:20" x14ac:dyDescent="0.3">
      <c r="A52" s="1">
        <v>45307</v>
      </c>
      <c r="B52" s="2" t="s">
        <v>77</v>
      </c>
      <c r="C52" s="2" t="s">
        <v>21</v>
      </c>
      <c r="D52" s="2" t="s">
        <v>46</v>
      </c>
      <c r="E52">
        <v>3069</v>
      </c>
      <c r="F52" t="b">
        <v>1</v>
      </c>
      <c r="G52" s="2" t="s">
        <v>64</v>
      </c>
      <c r="H52" s="2" t="s">
        <v>41</v>
      </c>
      <c r="I52" s="2" t="s">
        <v>47</v>
      </c>
      <c r="J52" s="2" t="s">
        <v>48</v>
      </c>
      <c r="K52">
        <v>1</v>
      </c>
      <c r="L52" s="2" t="s">
        <v>36</v>
      </c>
      <c r="M52" s="2" t="s">
        <v>28</v>
      </c>
      <c r="N52" t="b">
        <v>1</v>
      </c>
      <c r="O52">
        <v>120</v>
      </c>
      <c r="P52" s="2" t="s">
        <v>67</v>
      </c>
      <c r="Q52">
        <v>8</v>
      </c>
      <c r="R52">
        <v>3</v>
      </c>
      <c r="S52">
        <v>4738</v>
      </c>
      <c r="T52" s="2" t="s">
        <v>38</v>
      </c>
    </row>
    <row r="53" spans="1:20" x14ac:dyDescent="0.3">
      <c r="A53" s="1">
        <v>45307</v>
      </c>
      <c r="B53" s="2" t="s">
        <v>74</v>
      </c>
      <c r="C53" s="2" t="s">
        <v>60</v>
      </c>
      <c r="D53" s="2" t="s">
        <v>61</v>
      </c>
      <c r="E53">
        <v>1000</v>
      </c>
      <c r="F53" t="b">
        <v>0</v>
      </c>
      <c r="G53" s="2" t="s">
        <v>40</v>
      </c>
      <c r="H53" s="2" t="s">
        <v>24</v>
      </c>
      <c r="I53" s="2" t="s">
        <v>47</v>
      </c>
      <c r="J53" s="2" t="s">
        <v>48</v>
      </c>
      <c r="K53">
        <v>2</v>
      </c>
      <c r="L53" s="2" t="s">
        <v>49</v>
      </c>
      <c r="M53" s="2" t="s">
        <v>58</v>
      </c>
      <c r="N53" t="b">
        <v>0</v>
      </c>
      <c r="O53">
        <v>50</v>
      </c>
      <c r="P53" s="2" t="s">
        <v>29</v>
      </c>
      <c r="Q53">
        <v>3</v>
      </c>
      <c r="R53">
        <v>3</v>
      </c>
      <c r="S53">
        <v>1161</v>
      </c>
      <c r="T53" s="2" t="s">
        <v>51</v>
      </c>
    </row>
    <row r="54" spans="1:20" x14ac:dyDescent="0.3">
      <c r="A54" s="1">
        <v>45308</v>
      </c>
      <c r="B54" s="2" t="s">
        <v>62</v>
      </c>
      <c r="C54" s="2" t="s">
        <v>56</v>
      </c>
      <c r="D54" s="2" t="s">
        <v>53</v>
      </c>
      <c r="E54">
        <v>3296</v>
      </c>
      <c r="F54" t="b">
        <v>0</v>
      </c>
      <c r="G54" s="2" t="s">
        <v>34</v>
      </c>
      <c r="H54" s="2" t="s">
        <v>35</v>
      </c>
      <c r="I54" s="2" t="s">
        <v>42</v>
      </c>
      <c r="J54" s="2" t="s">
        <v>43</v>
      </c>
      <c r="K54">
        <v>5</v>
      </c>
      <c r="L54" s="2" t="s">
        <v>49</v>
      </c>
      <c r="M54" s="2" t="s">
        <v>66</v>
      </c>
      <c r="N54" t="b">
        <v>0</v>
      </c>
      <c r="O54">
        <v>89</v>
      </c>
      <c r="P54" s="2" t="s">
        <v>63</v>
      </c>
      <c r="Q54">
        <v>6</v>
      </c>
      <c r="R54">
        <v>2</v>
      </c>
      <c r="S54">
        <v>3625</v>
      </c>
      <c r="T54" s="2" t="s">
        <v>30</v>
      </c>
    </row>
    <row r="55" spans="1:20" x14ac:dyDescent="0.3">
      <c r="A55" s="1">
        <v>45308</v>
      </c>
      <c r="B55" s="2" t="s">
        <v>62</v>
      </c>
      <c r="C55" s="2" t="s">
        <v>45</v>
      </c>
      <c r="D55" s="2" t="s">
        <v>53</v>
      </c>
      <c r="E55">
        <v>6379</v>
      </c>
      <c r="F55" t="b">
        <v>1</v>
      </c>
      <c r="G55" s="2" t="s">
        <v>23</v>
      </c>
      <c r="H55" s="2" t="s">
        <v>70</v>
      </c>
      <c r="I55" s="2" t="s">
        <v>47</v>
      </c>
      <c r="J55" s="2" t="s">
        <v>43</v>
      </c>
      <c r="K55">
        <v>2</v>
      </c>
      <c r="L55" s="2" t="s">
        <v>36</v>
      </c>
      <c r="M55" s="2" t="s">
        <v>73</v>
      </c>
      <c r="N55" t="b">
        <v>0</v>
      </c>
      <c r="O55">
        <v>88</v>
      </c>
      <c r="P55" s="2" t="s">
        <v>50</v>
      </c>
      <c r="Q55">
        <v>7</v>
      </c>
      <c r="R55">
        <v>1</v>
      </c>
      <c r="S55">
        <v>2484</v>
      </c>
      <c r="T55" s="2" t="s">
        <v>51</v>
      </c>
    </row>
    <row r="56" spans="1:20" x14ac:dyDescent="0.3">
      <c r="A56" s="1">
        <v>45309</v>
      </c>
      <c r="B56" s="2" t="s">
        <v>52</v>
      </c>
      <c r="C56" s="2" t="s">
        <v>32</v>
      </c>
      <c r="D56" s="2" t="s">
        <v>53</v>
      </c>
      <c r="E56">
        <v>4725</v>
      </c>
      <c r="F56" t="b">
        <v>1</v>
      </c>
      <c r="G56" s="2" t="s">
        <v>64</v>
      </c>
      <c r="H56" s="2" t="s">
        <v>70</v>
      </c>
      <c r="I56" s="2" t="s">
        <v>47</v>
      </c>
      <c r="J56" s="2" t="s">
        <v>43</v>
      </c>
      <c r="K56">
        <v>5</v>
      </c>
      <c r="L56" s="2" t="s">
        <v>27</v>
      </c>
      <c r="M56" s="2" t="s">
        <v>28</v>
      </c>
      <c r="N56" t="b">
        <v>1</v>
      </c>
      <c r="O56">
        <v>27</v>
      </c>
      <c r="P56" s="2" t="s">
        <v>67</v>
      </c>
      <c r="Q56">
        <v>4</v>
      </c>
      <c r="R56">
        <v>2</v>
      </c>
      <c r="S56">
        <v>3879</v>
      </c>
      <c r="T56" s="2" t="s">
        <v>51</v>
      </c>
    </row>
    <row r="57" spans="1:20" x14ac:dyDescent="0.3">
      <c r="A57" s="1">
        <v>45309</v>
      </c>
      <c r="B57" s="2" t="s">
        <v>44</v>
      </c>
      <c r="C57" s="2" t="s">
        <v>32</v>
      </c>
      <c r="D57" s="2" t="s">
        <v>53</v>
      </c>
      <c r="E57">
        <v>4114</v>
      </c>
      <c r="F57" t="b">
        <v>0</v>
      </c>
      <c r="G57" s="2" t="s">
        <v>34</v>
      </c>
      <c r="H57" s="2" t="s">
        <v>41</v>
      </c>
      <c r="I57" s="2" t="s">
        <v>42</v>
      </c>
      <c r="J57" s="2" t="s">
        <v>48</v>
      </c>
      <c r="K57">
        <v>3</v>
      </c>
      <c r="L57" s="2" t="s">
        <v>49</v>
      </c>
      <c r="M57" s="2" t="s">
        <v>58</v>
      </c>
      <c r="N57" t="b">
        <v>0</v>
      </c>
      <c r="O57">
        <v>67</v>
      </c>
      <c r="P57" s="2" t="s">
        <v>29</v>
      </c>
      <c r="Q57">
        <v>8</v>
      </c>
      <c r="R57">
        <v>3</v>
      </c>
      <c r="S57">
        <v>2646</v>
      </c>
      <c r="T57" s="2" t="s">
        <v>30</v>
      </c>
    </row>
    <row r="58" spans="1:20" x14ac:dyDescent="0.3">
      <c r="A58" s="1">
        <v>45309</v>
      </c>
      <c r="B58" s="2" t="s">
        <v>72</v>
      </c>
      <c r="C58" s="2" t="s">
        <v>32</v>
      </c>
      <c r="D58" s="2" t="s">
        <v>22</v>
      </c>
      <c r="E58">
        <v>43125</v>
      </c>
      <c r="F58" t="b">
        <v>0</v>
      </c>
      <c r="G58" s="2" t="s">
        <v>34</v>
      </c>
      <c r="H58" s="2" t="s">
        <v>35</v>
      </c>
      <c r="I58" s="2" t="s">
        <v>25</v>
      </c>
      <c r="J58" s="2" t="s">
        <v>54</v>
      </c>
      <c r="K58">
        <v>5</v>
      </c>
      <c r="L58" s="2" t="s">
        <v>49</v>
      </c>
      <c r="M58" s="2" t="s">
        <v>28</v>
      </c>
      <c r="N58" t="b">
        <v>1</v>
      </c>
      <c r="O58">
        <v>3</v>
      </c>
      <c r="P58" s="2" t="s">
        <v>37</v>
      </c>
      <c r="Q58">
        <v>10</v>
      </c>
      <c r="R58">
        <v>1</v>
      </c>
      <c r="S58">
        <v>3722</v>
      </c>
      <c r="T58" s="2" t="s">
        <v>30</v>
      </c>
    </row>
    <row r="59" spans="1:20" x14ac:dyDescent="0.3">
      <c r="A59" s="1">
        <v>45310</v>
      </c>
      <c r="B59" s="2" t="s">
        <v>74</v>
      </c>
      <c r="C59" s="2" t="s">
        <v>56</v>
      </c>
      <c r="D59" s="2" t="s">
        <v>53</v>
      </c>
      <c r="E59">
        <v>3717</v>
      </c>
      <c r="F59" t="b">
        <v>0</v>
      </c>
      <c r="G59" s="2" t="s">
        <v>65</v>
      </c>
      <c r="H59" s="2" t="s">
        <v>35</v>
      </c>
      <c r="I59" s="2" t="s">
        <v>42</v>
      </c>
      <c r="J59" s="2" t="s">
        <v>26</v>
      </c>
      <c r="K59">
        <v>2</v>
      </c>
      <c r="L59" s="2" t="s">
        <v>27</v>
      </c>
      <c r="M59" s="2" t="s">
        <v>73</v>
      </c>
      <c r="N59" t="b">
        <v>1</v>
      </c>
      <c r="O59">
        <v>45</v>
      </c>
      <c r="P59" s="2" t="s">
        <v>37</v>
      </c>
      <c r="Q59">
        <v>1</v>
      </c>
      <c r="R59">
        <v>3</v>
      </c>
      <c r="S59">
        <v>1884</v>
      </c>
      <c r="T59" s="2" t="s">
        <v>30</v>
      </c>
    </row>
    <row r="60" spans="1:20" x14ac:dyDescent="0.3">
      <c r="A60" s="1">
        <v>45310</v>
      </c>
      <c r="B60" s="2" t="s">
        <v>74</v>
      </c>
      <c r="C60" s="2" t="s">
        <v>21</v>
      </c>
      <c r="D60" s="2" t="s">
        <v>57</v>
      </c>
      <c r="E60">
        <v>1000</v>
      </c>
      <c r="F60" t="b">
        <v>0</v>
      </c>
      <c r="G60" s="2" t="s">
        <v>34</v>
      </c>
      <c r="H60" s="2" t="s">
        <v>70</v>
      </c>
      <c r="I60" s="2" t="s">
        <v>42</v>
      </c>
      <c r="J60" s="2" t="s">
        <v>54</v>
      </c>
      <c r="K60">
        <v>4</v>
      </c>
      <c r="L60" s="2" t="s">
        <v>36</v>
      </c>
      <c r="M60" s="2" t="s">
        <v>73</v>
      </c>
      <c r="N60" t="b">
        <v>1</v>
      </c>
      <c r="O60">
        <v>105</v>
      </c>
      <c r="P60" s="2" t="s">
        <v>63</v>
      </c>
      <c r="Q60">
        <v>3</v>
      </c>
      <c r="R60">
        <v>1</v>
      </c>
      <c r="S60">
        <v>4503</v>
      </c>
      <c r="T60" s="2" t="s">
        <v>51</v>
      </c>
    </row>
    <row r="61" spans="1:20" x14ac:dyDescent="0.3">
      <c r="A61" s="1">
        <v>45310</v>
      </c>
      <c r="B61" s="2" t="s">
        <v>31</v>
      </c>
      <c r="C61" s="2" t="s">
        <v>56</v>
      </c>
      <c r="D61" s="2" t="s">
        <v>57</v>
      </c>
      <c r="E61">
        <v>1000</v>
      </c>
      <c r="F61" t="b">
        <v>1</v>
      </c>
      <c r="G61" s="2" t="s">
        <v>34</v>
      </c>
      <c r="H61" s="2" t="s">
        <v>35</v>
      </c>
      <c r="I61" s="2" t="s">
        <v>47</v>
      </c>
      <c r="J61" s="2" t="s">
        <v>26</v>
      </c>
      <c r="K61">
        <v>4</v>
      </c>
      <c r="L61" s="2" t="s">
        <v>27</v>
      </c>
      <c r="M61" s="2" t="s">
        <v>66</v>
      </c>
      <c r="N61" t="b">
        <v>1</v>
      </c>
      <c r="O61">
        <v>77</v>
      </c>
      <c r="P61" s="2" t="s">
        <v>37</v>
      </c>
      <c r="Q61">
        <v>4</v>
      </c>
      <c r="R61">
        <v>1</v>
      </c>
      <c r="S61">
        <v>4373</v>
      </c>
      <c r="T61" s="2" t="s">
        <v>30</v>
      </c>
    </row>
    <row r="62" spans="1:20" x14ac:dyDescent="0.3">
      <c r="A62" s="1">
        <v>45311</v>
      </c>
      <c r="B62" s="2" t="s">
        <v>76</v>
      </c>
      <c r="C62" s="2" t="s">
        <v>56</v>
      </c>
      <c r="D62" s="2" t="s">
        <v>33</v>
      </c>
      <c r="E62">
        <v>4030</v>
      </c>
      <c r="F62" t="b">
        <v>1</v>
      </c>
      <c r="G62" s="2" t="s">
        <v>40</v>
      </c>
      <c r="H62" s="2" t="s">
        <v>35</v>
      </c>
      <c r="I62" s="2" t="s">
        <v>42</v>
      </c>
      <c r="J62" s="2" t="s">
        <v>54</v>
      </c>
      <c r="K62">
        <v>5</v>
      </c>
      <c r="L62" s="2" t="s">
        <v>36</v>
      </c>
      <c r="M62" s="2" t="s">
        <v>58</v>
      </c>
      <c r="N62" t="b">
        <v>1</v>
      </c>
      <c r="O62">
        <v>45</v>
      </c>
      <c r="P62" s="2" t="s">
        <v>37</v>
      </c>
      <c r="Q62">
        <v>2</v>
      </c>
      <c r="R62">
        <v>3</v>
      </c>
      <c r="S62">
        <v>1971</v>
      </c>
      <c r="T62" s="2" t="s">
        <v>38</v>
      </c>
    </row>
    <row r="63" spans="1:20" x14ac:dyDescent="0.3">
      <c r="A63" s="1">
        <v>45311</v>
      </c>
      <c r="B63" s="2" t="s">
        <v>76</v>
      </c>
      <c r="C63" s="2" t="s">
        <v>56</v>
      </c>
      <c r="D63" s="2" t="s">
        <v>53</v>
      </c>
      <c r="E63">
        <v>7488</v>
      </c>
      <c r="F63" t="b">
        <v>0</v>
      </c>
      <c r="G63" s="2" t="s">
        <v>40</v>
      </c>
      <c r="H63" s="2" t="s">
        <v>41</v>
      </c>
      <c r="I63" s="2" t="s">
        <v>25</v>
      </c>
      <c r="J63" s="2" t="s">
        <v>54</v>
      </c>
      <c r="K63">
        <v>1</v>
      </c>
      <c r="L63" s="2" t="s">
        <v>49</v>
      </c>
      <c r="M63" s="2" t="s">
        <v>73</v>
      </c>
      <c r="N63" t="b">
        <v>0</v>
      </c>
      <c r="O63">
        <v>106</v>
      </c>
      <c r="P63" s="2" t="s">
        <v>67</v>
      </c>
      <c r="Q63">
        <v>5</v>
      </c>
      <c r="R63">
        <v>1</v>
      </c>
      <c r="S63">
        <v>1397</v>
      </c>
      <c r="T63" s="2" t="s">
        <v>38</v>
      </c>
    </row>
    <row r="64" spans="1:20" x14ac:dyDescent="0.3">
      <c r="A64" s="1">
        <v>45311</v>
      </c>
      <c r="B64" s="2" t="s">
        <v>20</v>
      </c>
      <c r="C64" s="2" t="s">
        <v>56</v>
      </c>
      <c r="D64" s="2" t="s">
        <v>22</v>
      </c>
      <c r="E64">
        <v>6232</v>
      </c>
      <c r="F64" t="b">
        <v>0</v>
      </c>
      <c r="G64" s="2" t="s">
        <v>34</v>
      </c>
      <c r="H64" s="2" t="s">
        <v>35</v>
      </c>
      <c r="I64" s="2" t="s">
        <v>25</v>
      </c>
      <c r="J64" s="2" t="s">
        <v>54</v>
      </c>
      <c r="K64">
        <v>3</v>
      </c>
      <c r="L64" s="2" t="s">
        <v>36</v>
      </c>
      <c r="M64" s="2" t="s">
        <v>28</v>
      </c>
      <c r="N64" t="b">
        <v>0</v>
      </c>
      <c r="O64">
        <v>12</v>
      </c>
      <c r="P64" s="2" t="s">
        <v>63</v>
      </c>
      <c r="Q64">
        <v>3</v>
      </c>
      <c r="R64">
        <v>1</v>
      </c>
      <c r="S64">
        <v>2663</v>
      </c>
      <c r="T64" s="2" t="s">
        <v>38</v>
      </c>
    </row>
    <row r="65" spans="1:20" x14ac:dyDescent="0.3">
      <c r="A65" s="1">
        <v>45311</v>
      </c>
      <c r="B65" s="2" t="s">
        <v>44</v>
      </c>
      <c r="C65" s="2" t="s">
        <v>45</v>
      </c>
      <c r="D65" s="2" t="s">
        <v>22</v>
      </c>
      <c r="E65">
        <v>9477</v>
      </c>
      <c r="F65" t="b">
        <v>0</v>
      </c>
      <c r="G65" s="2" t="s">
        <v>23</v>
      </c>
      <c r="H65" s="2" t="s">
        <v>35</v>
      </c>
      <c r="I65" s="2" t="s">
        <v>42</v>
      </c>
      <c r="J65" s="2" t="s">
        <v>26</v>
      </c>
      <c r="K65">
        <v>1</v>
      </c>
      <c r="L65" s="2" t="s">
        <v>36</v>
      </c>
      <c r="M65" s="2" t="s">
        <v>58</v>
      </c>
      <c r="N65" t="b">
        <v>1</v>
      </c>
      <c r="O65">
        <v>110</v>
      </c>
      <c r="P65" s="2" t="s">
        <v>29</v>
      </c>
      <c r="Q65">
        <v>4</v>
      </c>
      <c r="R65">
        <v>2</v>
      </c>
      <c r="S65">
        <v>2959</v>
      </c>
      <c r="T65" s="2" t="s">
        <v>51</v>
      </c>
    </row>
    <row r="66" spans="1:20" x14ac:dyDescent="0.3">
      <c r="A66" s="1">
        <v>45311</v>
      </c>
      <c r="B66" s="2" t="s">
        <v>71</v>
      </c>
      <c r="C66" s="2" t="s">
        <v>21</v>
      </c>
      <c r="D66" s="2" t="s">
        <v>53</v>
      </c>
      <c r="E66">
        <v>7689</v>
      </c>
      <c r="F66" t="b">
        <v>1</v>
      </c>
      <c r="G66" s="2" t="s">
        <v>65</v>
      </c>
      <c r="H66" s="2" t="s">
        <v>35</v>
      </c>
      <c r="I66" s="2" t="s">
        <v>42</v>
      </c>
      <c r="J66" s="2" t="s">
        <v>48</v>
      </c>
      <c r="K66">
        <v>0</v>
      </c>
      <c r="L66" s="2" t="s">
        <v>36</v>
      </c>
      <c r="M66" s="2" t="s">
        <v>66</v>
      </c>
      <c r="N66" t="b">
        <v>0</v>
      </c>
      <c r="O66">
        <v>22</v>
      </c>
      <c r="P66" s="2" t="s">
        <v>63</v>
      </c>
      <c r="Q66">
        <v>7</v>
      </c>
      <c r="R66">
        <v>3</v>
      </c>
      <c r="S66">
        <v>1976</v>
      </c>
      <c r="T66" s="2" t="s">
        <v>38</v>
      </c>
    </row>
    <row r="67" spans="1:20" x14ac:dyDescent="0.3">
      <c r="A67" s="1">
        <v>45311</v>
      </c>
      <c r="B67" s="2" t="s">
        <v>76</v>
      </c>
      <c r="C67" s="2" t="s">
        <v>45</v>
      </c>
      <c r="D67" s="2" t="s">
        <v>33</v>
      </c>
      <c r="E67">
        <v>4699</v>
      </c>
      <c r="F67" t="b">
        <v>0</v>
      </c>
      <c r="G67" s="2" t="s">
        <v>65</v>
      </c>
      <c r="H67" s="2" t="s">
        <v>70</v>
      </c>
      <c r="I67" s="2" t="s">
        <v>42</v>
      </c>
      <c r="J67" s="2" t="s">
        <v>26</v>
      </c>
      <c r="K67">
        <v>2</v>
      </c>
      <c r="L67" s="2" t="s">
        <v>27</v>
      </c>
      <c r="M67" s="2" t="s">
        <v>58</v>
      </c>
      <c r="N67" t="b">
        <v>0</v>
      </c>
      <c r="O67">
        <v>93</v>
      </c>
      <c r="P67" s="2" t="s">
        <v>63</v>
      </c>
      <c r="Q67">
        <v>2</v>
      </c>
      <c r="R67">
        <v>1</v>
      </c>
      <c r="S67">
        <v>4918</v>
      </c>
      <c r="T67" s="2" t="s">
        <v>30</v>
      </c>
    </row>
    <row r="68" spans="1:20" x14ac:dyDescent="0.3">
      <c r="A68" s="1">
        <v>45312</v>
      </c>
      <c r="B68" s="2" t="s">
        <v>39</v>
      </c>
      <c r="C68" s="2" t="s">
        <v>60</v>
      </c>
      <c r="D68" s="2" t="s">
        <v>61</v>
      </c>
      <c r="E68">
        <v>1000</v>
      </c>
      <c r="F68" t="b">
        <v>1</v>
      </c>
      <c r="G68" s="2" t="s">
        <v>40</v>
      </c>
      <c r="H68" s="2" t="s">
        <v>41</v>
      </c>
      <c r="I68" s="2" t="s">
        <v>42</v>
      </c>
      <c r="J68" s="2" t="s">
        <v>26</v>
      </c>
      <c r="K68">
        <v>2</v>
      </c>
      <c r="L68" s="2" t="s">
        <v>27</v>
      </c>
      <c r="M68" s="2" t="s">
        <v>28</v>
      </c>
      <c r="N68" t="b">
        <v>1</v>
      </c>
      <c r="O68">
        <v>50</v>
      </c>
      <c r="P68" s="2" t="s">
        <v>50</v>
      </c>
      <c r="Q68">
        <v>2</v>
      </c>
      <c r="R68">
        <v>1</v>
      </c>
      <c r="S68">
        <v>3495</v>
      </c>
      <c r="T68" s="2" t="s">
        <v>51</v>
      </c>
    </row>
    <row r="69" spans="1:20" x14ac:dyDescent="0.3">
      <c r="A69" s="1">
        <v>45312</v>
      </c>
      <c r="B69" s="2" t="s">
        <v>31</v>
      </c>
      <c r="C69" s="2" t="s">
        <v>60</v>
      </c>
      <c r="D69" s="2" t="s">
        <v>33</v>
      </c>
      <c r="E69">
        <v>4251</v>
      </c>
      <c r="F69" t="b">
        <v>0</v>
      </c>
      <c r="G69" s="2" t="s">
        <v>64</v>
      </c>
      <c r="H69" s="2" t="s">
        <v>24</v>
      </c>
      <c r="I69" s="2" t="s">
        <v>47</v>
      </c>
      <c r="J69" s="2" t="s">
        <v>43</v>
      </c>
      <c r="K69">
        <v>3</v>
      </c>
      <c r="L69" s="2" t="s">
        <v>27</v>
      </c>
      <c r="M69" s="2" t="s">
        <v>73</v>
      </c>
      <c r="N69" t="b">
        <v>1</v>
      </c>
      <c r="O69">
        <v>25</v>
      </c>
      <c r="P69" s="2" t="s">
        <v>37</v>
      </c>
      <c r="Q69">
        <v>3</v>
      </c>
      <c r="R69">
        <v>2</v>
      </c>
      <c r="S69">
        <v>4162</v>
      </c>
      <c r="T69" s="2" t="s">
        <v>30</v>
      </c>
    </row>
    <row r="70" spans="1:20" x14ac:dyDescent="0.3">
      <c r="A70" s="1">
        <v>45312</v>
      </c>
      <c r="B70" s="2" t="s">
        <v>52</v>
      </c>
      <c r="C70" s="2" t="s">
        <v>21</v>
      </c>
      <c r="D70" s="2" t="s">
        <v>33</v>
      </c>
      <c r="E70">
        <v>2465</v>
      </c>
      <c r="F70" t="b">
        <v>0</v>
      </c>
      <c r="G70" s="2" t="s">
        <v>65</v>
      </c>
      <c r="H70" s="2" t="s">
        <v>41</v>
      </c>
      <c r="I70" s="2" t="s">
        <v>42</v>
      </c>
      <c r="J70" s="2" t="s">
        <v>43</v>
      </c>
      <c r="K70">
        <v>3</v>
      </c>
      <c r="L70" s="2" t="s">
        <v>49</v>
      </c>
      <c r="M70" s="2" t="s">
        <v>73</v>
      </c>
      <c r="N70" t="b">
        <v>1</v>
      </c>
      <c r="O70">
        <v>47</v>
      </c>
      <c r="P70" s="2" t="s">
        <v>50</v>
      </c>
      <c r="Q70">
        <v>3</v>
      </c>
      <c r="R70">
        <v>3</v>
      </c>
      <c r="S70">
        <v>1264</v>
      </c>
      <c r="T70" s="2" t="s">
        <v>30</v>
      </c>
    </row>
    <row r="71" spans="1:20" x14ac:dyDescent="0.3">
      <c r="A71" s="1">
        <v>45313</v>
      </c>
      <c r="B71" s="2" t="s">
        <v>74</v>
      </c>
      <c r="C71" s="2" t="s">
        <v>60</v>
      </c>
      <c r="D71" s="2" t="s">
        <v>53</v>
      </c>
      <c r="E71">
        <v>4602</v>
      </c>
      <c r="F71" t="b">
        <v>0</v>
      </c>
      <c r="G71" s="2" t="s">
        <v>23</v>
      </c>
      <c r="H71" s="2" t="s">
        <v>70</v>
      </c>
      <c r="I71" s="2" t="s">
        <v>42</v>
      </c>
      <c r="J71" s="2" t="s">
        <v>54</v>
      </c>
      <c r="K71">
        <v>1</v>
      </c>
      <c r="L71" s="2" t="s">
        <v>49</v>
      </c>
      <c r="M71" s="2" t="s">
        <v>66</v>
      </c>
      <c r="N71" t="b">
        <v>1</v>
      </c>
      <c r="O71">
        <v>76</v>
      </c>
      <c r="P71" s="2" t="s">
        <v>29</v>
      </c>
      <c r="Q71">
        <v>5</v>
      </c>
      <c r="R71">
        <v>1</v>
      </c>
      <c r="S71">
        <v>1937</v>
      </c>
      <c r="T71" s="2" t="s">
        <v>51</v>
      </c>
    </row>
    <row r="72" spans="1:20" x14ac:dyDescent="0.3">
      <c r="A72" s="1">
        <v>45313</v>
      </c>
      <c r="B72" s="2" t="s">
        <v>44</v>
      </c>
      <c r="C72" s="2" t="s">
        <v>56</v>
      </c>
      <c r="D72" s="2" t="s">
        <v>46</v>
      </c>
      <c r="E72">
        <v>2139</v>
      </c>
      <c r="F72" t="b">
        <v>1</v>
      </c>
      <c r="G72" s="2" t="s">
        <v>65</v>
      </c>
      <c r="H72" s="2" t="s">
        <v>24</v>
      </c>
      <c r="I72" s="2" t="s">
        <v>42</v>
      </c>
      <c r="J72" s="2" t="s">
        <v>54</v>
      </c>
      <c r="K72">
        <v>1</v>
      </c>
      <c r="L72" s="2" t="s">
        <v>36</v>
      </c>
      <c r="M72" s="2" t="s">
        <v>58</v>
      </c>
      <c r="N72" t="b">
        <v>1</v>
      </c>
      <c r="O72">
        <v>27</v>
      </c>
      <c r="P72" s="2" t="s">
        <v>50</v>
      </c>
      <c r="Q72">
        <v>9</v>
      </c>
      <c r="R72">
        <v>3</v>
      </c>
      <c r="S72">
        <v>3142</v>
      </c>
      <c r="T72" s="2" t="s">
        <v>38</v>
      </c>
    </row>
    <row r="73" spans="1:20" x14ac:dyDescent="0.3">
      <c r="A73" s="1">
        <v>45313</v>
      </c>
      <c r="B73" s="2" t="s">
        <v>74</v>
      </c>
      <c r="C73" s="2" t="s">
        <v>45</v>
      </c>
      <c r="D73" s="2" t="s">
        <v>33</v>
      </c>
      <c r="E73">
        <v>4702</v>
      </c>
      <c r="F73" t="b">
        <v>0</v>
      </c>
      <c r="G73" s="2" t="s">
        <v>65</v>
      </c>
      <c r="H73" s="2" t="s">
        <v>24</v>
      </c>
      <c r="I73" s="2" t="s">
        <v>47</v>
      </c>
      <c r="J73" s="2" t="s">
        <v>26</v>
      </c>
      <c r="K73">
        <v>3</v>
      </c>
      <c r="L73" s="2" t="s">
        <v>27</v>
      </c>
      <c r="M73" s="2" t="s">
        <v>58</v>
      </c>
      <c r="N73" t="b">
        <v>1</v>
      </c>
      <c r="O73">
        <v>0</v>
      </c>
      <c r="P73" s="2" t="s">
        <v>29</v>
      </c>
      <c r="Q73">
        <v>10</v>
      </c>
      <c r="R73">
        <v>1</v>
      </c>
      <c r="S73">
        <v>3597</v>
      </c>
      <c r="T73" s="2" t="s">
        <v>51</v>
      </c>
    </row>
    <row r="74" spans="1:20" x14ac:dyDescent="0.3">
      <c r="A74" s="1">
        <v>45314</v>
      </c>
      <c r="B74" s="2" t="s">
        <v>75</v>
      </c>
      <c r="C74" s="2" t="s">
        <v>56</v>
      </c>
      <c r="D74" s="2" t="s">
        <v>33</v>
      </c>
      <c r="E74">
        <v>4256</v>
      </c>
      <c r="F74" t="b">
        <v>1</v>
      </c>
      <c r="G74" s="2" t="s">
        <v>64</v>
      </c>
      <c r="H74" s="2" t="s">
        <v>70</v>
      </c>
      <c r="I74" s="2" t="s">
        <v>59</v>
      </c>
      <c r="J74" s="2" t="s">
        <v>26</v>
      </c>
      <c r="K74">
        <v>5</v>
      </c>
      <c r="L74" s="2" t="s">
        <v>49</v>
      </c>
      <c r="M74" s="2" t="s">
        <v>28</v>
      </c>
      <c r="N74" t="b">
        <v>1</v>
      </c>
      <c r="O74">
        <v>22</v>
      </c>
      <c r="P74" s="2" t="s">
        <v>50</v>
      </c>
      <c r="Q74">
        <v>1</v>
      </c>
      <c r="R74">
        <v>1</v>
      </c>
      <c r="S74">
        <v>2258</v>
      </c>
      <c r="T74" s="2" t="s">
        <v>30</v>
      </c>
    </row>
    <row r="75" spans="1:20" x14ac:dyDescent="0.3">
      <c r="A75" s="1">
        <v>45314</v>
      </c>
      <c r="B75" s="2" t="s">
        <v>72</v>
      </c>
      <c r="C75" s="2" t="s">
        <v>32</v>
      </c>
      <c r="D75" s="2" t="s">
        <v>57</v>
      </c>
      <c r="E75">
        <v>1000</v>
      </c>
      <c r="F75" t="b">
        <v>0</v>
      </c>
      <c r="G75" s="2" t="s">
        <v>34</v>
      </c>
      <c r="H75" s="2" t="s">
        <v>35</v>
      </c>
      <c r="I75" s="2" t="s">
        <v>42</v>
      </c>
      <c r="J75" s="2" t="s">
        <v>43</v>
      </c>
      <c r="K75">
        <v>4</v>
      </c>
      <c r="L75" s="2" t="s">
        <v>36</v>
      </c>
      <c r="M75" s="2" t="s">
        <v>58</v>
      </c>
      <c r="N75" t="b">
        <v>1</v>
      </c>
      <c r="O75">
        <v>60</v>
      </c>
      <c r="P75" s="2" t="s">
        <v>29</v>
      </c>
      <c r="Q75">
        <v>10</v>
      </c>
      <c r="R75">
        <v>2</v>
      </c>
      <c r="S75">
        <v>1946</v>
      </c>
      <c r="T75" s="2" t="s">
        <v>30</v>
      </c>
    </row>
    <row r="76" spans="1:20" x14ac:dyDescent="0.3">
      <c r="A76" s="1">
        <v>45314</v>
      </c>
      <c r="B76" s="2" t="s">
        <v>74</v>
      </c>
      <c r="C76" s="2" t="s">
        <v>21</v>
      </c>
      <c r="D76" s="2" t="s">
        <v>46</v>
      </c>
      <c r="E76">
        <v>1118</v>
      </c>
      <c r="F76" t="b">
        <v>1</v>
      </c>
      <c r="G76" s="2" t="s">
        <v>23</v>
      </c>
      <c r="H76" s="2" t="s">
        <v>41</v>
      </c>
      <c r="I76" s="2" t="s">
        <v>25</v>
      </c>
      <c r="J76" s="2" t="s">
        <v>26</v>
      </c>
      <c r="K76">
        <v>5</v>
      </c>
      <c r="L76" s="2" t="s">
        <v>27</v>
      </c>
      <c r="M76" s="2" t="s">
        <v>28</v>
      </c>
      <c r="N76" t="b">
        <v>0</v>
      </c>
      <c r="O76">
        <v>54</v>
      </c>
      <c r="P76" s="2" t="s">
        <v>29</v>
      </c>
      <c r="Q76">
        <v>9</v>
      </c>
      <c r="R76">
        <v>2</v>
      </c>
      <c r="S76">
        <v>3170</v>
      </c>
      <c r="T76" s="2" t="s">
        <v>30</v>
      </c>
    </row>
    <row r="77" spans="1:20" x14ac:dyDescent="0.3">
      <c r="A77" s="1">
        <v>45314</v>
      </c>
      <c r="B77" s="2" t="s">
        <v>77</v>
      </c>
      <c r="C77" s="2" t="s">
        <v>21</v>
      </c>
      <c r="D77" s="2" t="s">
        <v>57</v>
      </c>
      <c r="E77">
        <v>1000</v>
      </c>
      <c r="F77" t="b">
        <v>0</v>
      </c>
      <c r="G77" s="2" t="s">
        <v>40</v>
      </c>
      <c r="H77" s="2" t="s">
        <v>35</v>
      </c>
      <c r="I77" s="2" t="s">
        <v>59</v>
      </c>
      <c r="J77" s="2" t="s">
        <v>54</v>
      </c>
      <c r="K77">
        <v>1</v>
      </c>
      <c r="L77" s="2" t="s">
        <v>36</v>
      </c>
      <c r="M77" s="2" t="s">
        <v>73</v>
      </c>
      <c r="N77" t="b">
        <v>1</v>
      </c>
      <c r="O77">
        <v>44</v>
      </c>
      <c r="P77" s="2" t="s">
        <v>67</v>
      </c>
      <c r="Q77">
        <v>1</v>
      </c>
      <c r="R77">
        <v>2</v>
      </c>
      <c r="S77">
        <v>1788</v>
      </c>
      <c r="T77" s="2" t="s">
        <v>51</v>
      </c>
    </row>
    <row r="78" spans="1:20" x14ac:dyDescent="0.3">
      <c r="A78" s="1">
        <v>45314</v>
      </c>
      <c r="B78" s="2" t="s">
        <v>77</v>
      </c>
      <c r="C78" s="2" t="s">
        <v>56</v>
      </c>
      <c r="D78" s="2" t="s">
        <v>33</v>
      </c>
      <c r="E78">
        <v>4189</v>
      </c>
      <c r="F78" t="b">
        <v>0</v>
      </c>
      <c r="G78" s="2" t="s">
        <v>34</v>
      </c>
      <c r="H78" s="2" t="s">
        <v>35</v>
      </c>
      <c r="I78" s="2" t="s">
        <v>59</v>
      </c>
      <c r="J78" s="2" t="s">
        <v>48</v>
      </c>
      <c r="K78">
        <v>0</v>
      </c>
      <c r="L78" s="2" t="s">
        <v>49</v>
      </c>
      <c r="M78" s="2" t="s">
        <v>73</v>
      </c>
      <c r="N78" t="b">
        <v>0</v>
      </c>
      <c r="O78">
        <v>69</v>
      </c>
      <c r="P78" s="2" t="s">
        <v>63</v>
      </c>
      <c r="Q78">
        <v>4</v>
      </c>
      <c r="R78">
        <v>2</v>
      </c>
      <c r="S78">
        <v>636</v>
      </c>
      <c r="T78" s="2" t="s">
        <v>30</v>
      </c>
    </row>
    <row r="79" spans="1:20" x14ac:dyDescent="0.3">
      <c r="A79" s="1">
        <v>45314</v>
      </c>
      <c r="B79" s="2" t="s">
        <v>55</v>
      </c>
      <c r="C79" s="2" t="s">
        <v>56</v>
      </c>
      <c r="D79" s="2" t="s">
        <v>33</v>
      </c>
      <c r="E79">
        <v>3785</v>
      </c>
      <c r="F79" t="b">
        <v>1</v>
      </c>
      <c r="G79" s="2" t="s">
        <v>40</v>
      </c>
      <c r="H79" s="2" t="s">
        <v>70</v>
      </c>
      <c r="I79" s="2" t="s">
        <v>42</v>
      </c>
      <c r="J79" s="2" t="s">
        <v>43</v>
      </c>
      <c r="K79">
        <v>4</v>
      </c>
      <c r="L79" s="2" t="s">
        <v>36</v>
      </c>
      <c r="M79" s="2" t="s">
        <v>66</v>
      </c>
      <c r="N79" t="b">
        <v>0</v>
      </c>
      <c r="O79">
        <v>35</v>
      </c>
      <c r="P79" s="2" t="s">
        <v>50</v>
      </c>
      <c r="Q79">
        <v>8</v>
      </c>
      <c r="R79">
        <v>1</v>
      </c>
      <c r="S79">
        <v>1298</v>
      </c>
      <c r="T79" s="2" t="s">
        <v>38</v>
      </c>
    </row>
    <row r="80" spans="1:20" x14ac:dyDescent="0.3">
      <c r="A80" s="1">
        <v>45315</v>
      </c>
      <c r="B80" s="2" t="s">
        <v>75</v>
      </c>
      <c r="C80" s="2" t="s">
        <v>32</v>
      </c>
      <c r="D80" s="2" t="s">
        <v>57</v>
      </c>
      <c r="E80">
        <v>1000</v>
      </c>
      <c r="F80" t="b">
        <v>0</v>
      </c>
      <c r="G80" s="2" t="s">
        <v>64</v>
      </c>
      <c r="H80" s="2" t="s">
        <v>24</v>
      </c>
      <c r="I80" s="2" t="s">
        <v>25</v>
      </c>
      <c r="J80" s="2" t="s">
        <v>48</v>
      </c>
      <c r="K80">
        <v>2</v>
      </c>
      <c r="L80" s="2" t="s">
        <v>49</v>
      </c>
      <c r="M80" s="2" t="s">
        <v>28</v>
      </c>
      <c r="N80" t="b">
        <v>1</v>
      </c>
      <c r="O80">
        <v>78</v>
      </c>
      <c r="P80" s="2" t="s">
        <v>63</v>
      </c>
      <c r="Q80">
        <v>10</v>
      </c>
      <c r="R80">
        <v>2</v>
      </c>
      <c r="S80">
        <v>3456</v>
      </c>
      <c r="T80" s="2" t="s">
        <v>30</v>
      </c>
    </row>
    <row r="81" spans="1:20" x14ac:dyDescent="0.3">
      <c r="A81" s="1">
        <v>45315</v>
      </c>
      <c r="B81" s="2" t="s">
        <v>44</v>
      </c>
      <c r="C81" s="2" t="s">
        <v>32</v>
      </c>
      <c r="D81" s="2" t="s">
        <v>57</v>
      </c>
      <c r="E81">
        <v>1000</v>
      </c>
      <c r="F81" t="b">
        <v>0</v>
      </c>
      <c r="G81" s="2" t="s">
        <v>65</v>
      </c>
      <c r="H81" s="2" t="s">
        <v>24</v>
      </c>
      <c r="I81" s="2" t="s">
        <v>25</v>
      </c>
      <c r="J81" s="2" t="s">
        <v>54</v>
      </c>
      <c r="K81">
        <v>5</v>
      </c>
      <c r="L81" s="2" t="s">
        <v>27</v>
      </c>
      <c r="M81" s="2" t="s">
        <v>58</v>
      </c>
      <c r="N81" t="b">
        <v>1</v>
      </c>
      <c r="O81">
        <v>75</v>
      </c>
      <c r="P81" s="2" t="s">
        <v>67</v>
      </c>
      <c r="Q81">
        <v>9</v>
      </c>
      <c r="R81">
        <v>3</v>
      </c>
      <c r="S81">
        <v>1993</v>
      </c>
      <c r="T81" s="2" t="s">
        <v>38</v>
      </c>
    </row>
    <row r="82" spans="1:20" x14ac:dyDescent="0.3">
      <c r="A82" s="1">
        <v>45315</v>
      </c>
      <c r="B82" s="2" t="s">
        <v>20</v>
      </c>
      <c r="C82" s="2" t="s">
        <v>56</v>
      </c>
      <c r="D82" s="2" t="s">
        <v>46</v>
      </c>
      <c r="E82">
        <v>3903</v>
      </c>
      <c r="F82" t="b">
        <v>0</v>
      </c>
      <c r="G82" s="2" t="s">
        <v>34</v>
      </c>
      <c r="H82" s="2" t="s">
        <v>70</v>
      </c>
      <c r="I82" s="2" t="s">
        <v>59</v>
      </c>
      <c r="J82" s="2" t="s">
        <v>26</v>
      </c>
      <c r="K82">
        <v>4</v>
      </c>
      <c r="L82" s="2" t="s">
        <v>49</v>
      </c>
      <c r="M82" s="2" t="s">
        <v>73</v>
      </c>
      <c r="N82" t="b">
        <v>0</v>
      </c>
      <c r="O82">
        <v>109</v>
      </c>
      <c r="P82" s="2" t="s">
        <v>37</v>
      </c>
      <c r="Q82">
        <v>3</v>
      </c>
      <c r="R82">
        <v>3</v>
      </c>
      <c r="S82">
        <v>3570</v>
      </c>
      <c r="T82" s="2" t="s">
        <v>30</v>
      </c>
    </row>
    <row r="83" spans="1:20" x14ac:dyDescent="0.3">
      <c r="A83" s="1">
        <v>45315</v>
      </c>
      <c r="B83" s="2" t="s">
        <v>69</v>
      </c>
      <c r="C83" s="2" t="s">
        <v>32</v>
      </c>
      <c r="D83" s="2" t="s">
        <v>57</v>
      </c>
      <c r="E83">
        <v>1000</v>
      </c>
      <c r="F83" t="b">
        <v>0</v>
      </c>
      <c r="G83" s="2" t="s">
        <v>23</v>
      </c>
      <c r="H83" s="2" t="s">
        <v>24</v>
      </c>
      <c r="I83" s="2" t="s">
        <v>42</v>
      </c>
      <c r="J83" s="2" t="s">
        <v>54</v>
      </c>
      <c r="K83">
        <v>2</v>
      </c>
      <c r="L83" s="2" t="s">
        <v>36</v>
      </c>
      <c r="M83" s="2" t="s">
        <v>73</v>
      </c>
      <c r="N83" t="b">
        <v>0</v>
      </c>
      <c r="O83">
        <v>92</v>
      </c>
      <c r="P83" s="2" t="s">
        <v>67</v>
      </c>
      <c r="Q83">
        <v>4</v>
      </c>
      <c r="R83">
        <v>1</v>
      </c>
      <c r="S83">
        <v>2169</v>
      </c>
      <c r="T83" s="2" t="s">
        <v>30</v>
      </c>
    </row>
    <row r="84" spans="1:20" x14ac:dyDescent="0.3">
      <c r="A84" s="1">
        <v>45315</v>
      </c>
      <c r="B84" s="2" t="s">
        <v>62</v>
      </c>
      <c r="C84" s="2" t="s">
        <v>21</v>
      </c>
      <c r="D84" s="2" t="s">
        <v>57</v>
      </c>
      <c r="E84">
        <v>1000</v>
      </c>
      <c r="F84" t="b">
        <v>1</v>
      </c>
      <c r="G84" s="2" t="s">
        <v>65</v>
      </c>
      <c r="H84" s="2" t="s">
        <v>24</v>
      </c>
      <c r="I84" s="2" t="s">
        <v>59</v>
      </c>
      <c r="J84" s="2" t="s">
        <v>54</v>
      </c>
      <c r="K84">
        <v>5</v>
      </c>
      <c r="L84" s="2" t="s">
        <v>49</v>
      </c>
      <c r="M84" s="2" t="s">
        <v>73</v>
      </c>
      <c r="N84" t="b">
        <v>1</v>
      </c>
      <c r="O84">
        <v>63</v>
      </c>
      <c r="P84" s="2" t="s">
        <v>50</v>
      </c>
      <c r="Q84">
        <v>8</v>
      </c>
      <c r="R84">
        <v>2</v>
      </c>
      <c r="S84">
        <v>2835</v>
      </c>
      <c r="T84" s="2" t="s">
        <v>30</v>
      </c>
    </row>
    <row r="85" spans="1:20" x14ac:dyDescent="0.3">
      <c r="A85" s="1">
        <v>45315</v>
      </c>
      <c r="B85" s="2" t="s">
        <v>72</v>
      </c>
      <c r="C85" s="2" t="s">
        <v>56</v>
      </c>
      <c r="D85" s="2" t="s">
        <v>53</v>
      </c>
      <c r="E85">
        <v>7452</v>
      </c>
      <c r="F85" t="b">
        <v>1</v>
      </c>
      <c r="G85" s="2" t="s">
        <v>65</v>
      </c>
      <c r="H85" s="2" t="s">
        <v>70</v>
      </c>
      <c r="I85" s="2" t="s">
        <v>59</v>
      </c>
      <c r="J85" s="2" t="s">
        <v>26</v>
      </c>
      <c r="K85">
        <v>1</v>
      </c>
      <c r="L85" s="2" t="s">
        <v>49</v>
      </c>
      <c r="M85" s="2" t="s">
        <v>28</v>
      </c>
      <c r="N85" t="b">
        <v>1</v>
      </c>
      <c r="O85">
        <v>119</v>
      </c>
      <c r="P85" s="2" t="s">
        <v>29</v>
      </c>
      <c r="Q85">
        <v>5</v>
      </c>
      <c r="R85">
        <v>3</v>
      </c>
      <c r="S85">
        <v>1284</v>
      </c>
      <c r="T85" s="2" t="s">
        <v>38</v>
      </c>
    </row>
    <row r="86" spans="1:20" x14ac:dyDescent="0.3">
      <c r="A86" s="1">
        <v>45316</v>
      </c>
      <c r="B86" s="2" t="s">
        <v>77</v>
      </c>
      <c r="C86" s="2" t="s">
        <v>21</v>
      </c>
      <c r="D86" s="2" t="s">
        <v>33</v>
      </c>
      <c r="E86">
        <v>4529</v>
      </c>
      <c r="F86" t="b">
        <v>1</v>
      </c>
      <c r="G86" s="2" t="s">
        <v>23</v>
      </c>
      <c r="H86" s="2" t="s">
        <v>24</v>
      </c>
      <c r="I86" s="2" t="s">
        <v>47</v>
      </c>
      <c r="J86" s="2" t="s">
        <v>48</v>
      </c>
      <c r="K86">
        <v>1</v>
      </c>
      <c r="L86" s="2" t="s">
        <v>36</v>
      </c>
      <c r="M86" s="2" t="s">
        <v>73</v>
      </c>
      <c r="N86" t="b">
        <v>0</v>
      </c>
      <c r="O86">
        <v>8</v>
      </c>
      <c r="P86" s="2" t="s">
        <v>50</v>
      </c>
      <c r="Q86">
        <v>2</v>
      </c>
      <c r="R86">
        <v>1</v>
      </c>
      <c r="S86">
        <v>1223</v>
      </c>
      <c r="T86" s="2" t="s">
        <v>51</v>
      </c>
    </row>
    <row r="87" spans="1:20" x14ac:dyDescent="0.3">
      <c r="A87" s="1">
        <v>45316</v>
      </c>
      <c r="B87" s="2" t="s">
        <v>52</v>
      </c>
      <c r="C87" s="2" t="s">
        <v>32</v>
      </c>
      <c r="D87" s="2" t="s">
        <v>53</v>
      </c>
      <c r="E87">
        <v>3465</v>
      </c>
      <c r="F87" t="b">
        <v>0</v>
      </c>
      <c r="G87" s="2" t="s">
        <v>34</v>
      </c>
      <c r="H87" s="2" t="s">
        <v>41</v>
      </c>
      <c r="I87" s="2" t="s">
        <v>42</v>
      </c>
      <c r="J87" s="2" t="s">
        <v>54</v>
      </c>
      <c r="K87">
        <v>0</v>
      </c>
      <c r="L87" s="2" t="s">
        <v>36</v>
      </c>
      <c r="M87" s="2" t="s">
        <v>66</v>
      </c>
      <c r="N87" t="b">
        <v>0</v>
      </c>
      <c r="O87">
        <v>42</v>
      </c>
      <c r="P87" s="2" t="s">
        <v>50</v>
      </c>
      <c r="Q87">
        <v>1</v>
      </c>
      <c r="R87">
        <v>2</v>
      </c>
      <c r="S87">
        <v>1884</v>
      </c>
      <c r="T87" s="2" t="s">
        <v>30</v>
      </c>
    </row>
    <row r="88" spans="1:20" x14ac:dyDescent="0.3">
      <c r="A88" s="1">
        <v>45317</v>
      </c>
      <c r="B88" s="2" t="s">
        <v>69</v>
      </c>
      <c r="C88" s="2" t="s">
        <v>45</v>
      </c>
      <c r="D88" s="2" t="s">
        <v>33</v>
      </c>
      <c r="E88">
        <v>2643</v>
      </c>
      <c r="F88" t="b">
        <v>0</v>
      </c>
      <c r="G88" s="2" t="s">
        <v>34</v>
      </c>
      <c r="H88" s="2" t="s">
        <v>35</v>
      </c>
      <c r="I88" s="2" t="s">
        <v>47</v>
      </c>
      <c r="J88" s="2" t="s">
        <v>43</v>
      </c>
      <c r="K88">
        <v>4</v>
      </c>
      <c r="L88" s="2" t="s">
        <v>27</v>
      </c>
      <c r="M88" s="2" t="s">
        <v>73</v>
      </c>
      <c r="N88" t="b">
        <v>1</v>
      </c>
      <c r="O88">
        <v>46</v>
      </c>
      <c r="P88" s="2" t="s">
        <v>63</v>
      </c>
      <c r="Q88">
        <v>2</v>
      </c>
      <c r="R88">
        <v>3</v>
      </c>
      <c r="S88">
        <v>4158</v>
      </c>
      <c r="T88" s="2" t="s">
        <v>38</v>
      </c>
    </row>
    <row r="89" spans="1:20" x14ac:dyDescent="0.3">
      <c r="A89" s="1">
        <v>45317</v>
      </c>
      <c r="B89" s="2" t="s">
        <v>69</v>
      </c>
      <c r="C89" s="2" t="s">
        <v>32</v>
      </c>
      <c r="D89" s="2" t="s">
        <v>22</v>
      </c>
      <c r="E89">
        <v>7331</v>
      </c>
      <c r="F89" t="b">
        <v>0</v>
      </c>
      <c r="G89" s="2" t="s">
        <v>65</v>
      </c>
      <c r="H89" s="2" t="s">
        <v>24</v>
      </c>
      <c r="I89" s="2" t="s">
        <v>42</v>
      </c>
      <c r="J89" s="2" t="s">
        <v>43</v>
      </c>
      <c r="K89">
        <v>1</v>
      </c>
      <c r="L89" s="2" t="s">
        <v>36</v>
      </c>
      <c r="M89" s="2" t="s">
        <v>58</v>
      </c>
      <c r="N89" t="b">
        <v>1</v>
      </c>
      <c r="O89">
        <v>10</v>
      </c>
      <c r="P89" s="2" t="s">
        <v>50</v>
      </c>
      <c r="Q89">
        <v>6</v>
      </c>
      <c r="R89">
        <v>1</v>
      </c>
      <c r="S89">
        <v>2304</v>
      </c>
      <c r="T89" s="2" t="s">
        <v>51</v>
      </c>
    </row>
    <row r="90" spans="1:20" x14ac:dyDescent="0.3">
      <c r="A90" s="1">
        <v>45317</v>
      </c>
      <c r="B90" s="2" t="s">
        <v>62</v>
      </c>
      <c r="C90" s="2" t="s">
        <v>60</v>
      </c>
      <c r="D90" s="2" t="s">
        <v>61</v>
      </c>
      <c r="E90">
        <v>1000</v>
      </c>
      <c r="F90" t="b">
        <v>1</v>
      </c>
      <c r="G90" s="2" t="s">
        <v>34</v>
      </c>
      <c r="H90" s="2" t="s">
        <v>41</v>
      </c>
      <c r="I90" s="2" t="s">
        <v>59</v>
      </c>
      <c r="J90" s="2" t="s">
        <v>48</v>
      </c>
      <c r="K90">
        <v>2</v>
      </c>
      <c r="L90" s="2" t="s">
        <v>49</v>
      </c>
      <c r="M90" s="2" t="s">
        <v>28</v>
      </c>
      <c r="N90" t="b">
        <v>0</v>
      </c>
      <c r="O90">
        <v>81</v>
      </c>
      <c r="P90" s="2" t="s">
        <v>67</v>
      </c>
      <c r="Q90">
        <v>10</v>
      </c>
      <c r="R90">
        <v>3</v>
      </c>
      <c r="S90">
        <v>3443</v>
      </c>
      <c r="T90" s="2" t="s">
        <v>30</v>
      </c>
    </row>
    <row r="91" spans="1:20" x14ac:dyDescent="0.3">
      <c r="A91" s="1">
        <v>45317</v>
      </c>
      <c r="B91" s="2" t="s">
        <v>39</v>
      </c>
      <c r="C91" s="2" t="s">
        <v>56</v>
      </c>
      <c r="D91" s="2" t="s">
        <v>57</v>
      </c>
      <c r="E91">
        <v>1000</v>
      </c>
      <c r="F91" t="b">
        <v>0</v>
      </c>
      <c r="G91" s="2" t="s">
        <v>34</v>
      </c>
      <c r="H91" s="2" t="s">
        <v>70</v>
      </c>
      <c r="I91" s="2" t="s">
        <v>42</v>
      </c>
      <c r="J91" s="2" t="s">
        <v>48</v>
      </c>
      <c r="K91">
        <v>2</v>
      </c>
      <c r="L91" s="2" t="s">
        <v>36</v>
      </c>
      <c r="M91" s="2" t="s">
        <v>58</v>
      </c>
      <c r="N91" t="b">
        <v>0</v>
      </c>
      <c r="O91">
        <v>57</v>
      </c>
      <c r="P91" s="2" t="s">
        <v>67</v>
      </c>
      <c r="Q91">
        <v>8</v>
      </c>
      <c r="R91">
        <v>3</v>
      </c>
      <c r="S91">
        <v>2368</v>
      </c>
      <c r="T91" s="2" t="s">
        <v>30</v>
      </c>
    </row>
    <row r="92" spans="1:20" x14ac:dyDescent="0.3">
      <c r="A92" s="1">
        <v>45317</v>
      </c>
      <c r="B92" s="2" t="s">
        <v>72</v>
      </c>
      <c r="C92" s="2" t="s">
        <v>60</v>
      </c>
      <c r="D92" s="2" t="s">
        <v>22</v>
      </c>
      <c r="E92">
        <v>8949</v>
      </c>
      <c r="F92" t="b">
        <v>0</v>
      </c>
      <c r="G92" s="2" t="s">
        <v>65</v>
      </c>
      <c r="H92" s="2" t="s">
        <v>35</v>
      </c>
      <c r="I92" s="2" t="s">
        <v>47</v>
      </c>
      <c r="J92" s="2" t="s">
        <v>43</v>
      </c>
      <c r="K92">
        <v>3</v>
      </c>
      <c r="L92" s="2" t="s">
        <v>49</v>
      </c>
      <c r="M92" s="2" t="s">
        <v>66</v>
      </c>
      <c r="N92" t="b">
        <v>1</v>
      </c>
      <c r="O92">
        <v>50</v>
      </c>
      <c r="P92" s="2" t="s">
        <v>37</v>
      </c>
      <c r="Q92">
        <v>8</v>
      </c>
      <c r="R92">
        <v>1</v>
      </c>
      <c r="S92">
        <v>3483</v>
      </c>
      <c r="T92" s="2" t="s">
        <v>30</v>
      </c>
    </row>
    <row r="93" spans="1:20" x14ac:dyDescent="0.3">
      <c r="A93" s="1">
        <v>45318</v>
      </c>
      <c r="B93" s="2" t="s">
        <v>77</v>
      </c>
      <c r="C93" s="2" t="s">
        <v>56</v>
      </c>
      <c r="D93" s="2" t="s">
        <v>57</v>
      </c>
      <c r="E93">
        <v>1000</v>
      </c>
      <c r="F93" t="b">
        <v>0</v>
      </c>
      <c r="G93" s="2" t="s">
        <v>64</v>
      </c>
      <c r="H93" s="2" t="s">
        <v>24</v>
      </c>
      <c r="I93" s="2" t="s">
        <v>25</v>
      </c>
      <c r="J93" s="2" t="s">
        <v>54</v>
      </c>
      <c r="K93">
        <v>15</v>
      </c>
      <c r="L93" s="2" t="s">
        <v>49</v>
      </c>
      <c r="M93" s="2" t="s">
        <v>58</v>
      </c>
      <c r="N93" t="b">
        <v>1</v>
      </c>
      <c r="O93">
        <v>37</v>
      </c>
      <c r="P93" s="2" t="s">
        <v>37</v>
      </c>
      <c r="Q93">
        <v>1</v>
      </c>
      <c r="R93">
        <v>3</v>
      </c>
      <c r="S93">
        <v>2227</v>
      </c>
      <c r="T93" s="2" t="s">
        <v>38</v>
      </c>
    </row>
    <row r="94" spans="1:20" x14ac:dyDescent="0.3">
      <c r="A94" s="1">
        <v>45318</v>
      </c>
      <c r="B94" s="2" t="s">
        <v>20</v>
      </c>
      <c r="C94" s="2" t="s">
        <v>21</v>
      </c>
      <c r="D94" s="2" t="s">
        <v>46</v>
      </c>
      <c r="E94">
        <v>3838</v>
      </c>
      <c r="F94" t="b">
        <v>1</v>
      </c>
      <c r="G94" s="2" t="s">
        <v>40</v>
      </c>
      <c r="H94" s="2" t="s">
        <v>41</v>
      </c>
      <c r="I94" s="2" t="s">
        <v>47</v>
      </c>
      <c r="J94" s="2" t="s">
        <v>48</v>
      </c>
      <c r="K94">
        <v>2</v>
      </c>
      <c r="L94" s="2" t="s">
        <v>36</v>
      </c>
      <c r="M94" s="2" t="s">
        <v>73</v>
      </c>
      <c r="N94" t="b">
        <v>0</v>
      </c>
      <c r="O94">
        <v>6</v>
      </c>
      <c r="P94" s="2" t="s">
        <v>50</v>
      </c>
      <c r="Q94">
        <v>10</v>
      </c>
      <c r="R94">
        <v>3</v>
      </c>
      <c r="S94">
        <v>2978</v>
      </c>
      <c r="T94" s="2" t="s">
        <v>30</v>
      </c>
    </row>
    <row r="95" spans="1:20" x14ac:dyDescent="0.3">
      <c r="A95" s="1">
        <v>45318</v>
      </c>
      <c r="B95" s="2" t="s">
        <v>62</v>
      </c>
      <c r="C95" s="2" t="s">
        <v>56</v>
      </c>
      <c r="D95" s="2" t="s">
        <v>53</v>
      </c>
      <c r="E95">
        <v>2974</v>
      </c>
      <c r="F95" t="b">
        <v>0</v>
      </c>
      <c r="G95" s="2" t="s">
        <v>64</v>
      </c>
      <c r="H95" s="2" t="s">
        <v>24</v>
      </c>
      <c r="I95" s="2" t="s">
        <v>59</v>
      </c>
      <c r="J95" s="2" t="s">
        <v>48</v>
      </c>
      <c r="K95">
        <v>5</v>
      </c>
      <c r="L95" s="2" t="s">
        <v>49</v>
      </c>
      <c r="M95" s="2" t="s">
        <v>66</v>
      </c>
      <c r="N95" t="b">
        <v>1</v>
      </c>
      <c r="O95">
        <v>6</v>
      </c>
      <c r="P95" s="2" t="s">
        <v>37</v>
      </c>
      <c r="Q95">
        <v>7</v>
      </c>
      <c r="R95">
        <v>3</v>
      </c>
      <c r="S95">
        <v>3551</v>
      </c>
      <c r="T95" s="2" t="s">
        <v>30</v>
      </c>
    </row>
    <row r="96" spans="1:20" x14ac:dyDescent="0.3">
      <c r="A96" s="1">
        <v>45319</v>
      </c>
      <c r="B96" s="2" t="s">
        <v>77</v>
      </c>
      <c r="C96" s="2" t="s">
        <v>32</v>
      </c>
      <c r="D96" s="2" t="s">
        <v>53</v>
      </c>
      <c r="E96">
        <v>5541</v>
      </c>
      <c r="F96" t="b">
        <v>0</v>
      </c>
      <c r="G96" s="2" t="s">
        <v>23</v>
      </c>
      <c r="H96" s="2" t="s">
        <v>24</v>
      </c>
      <c r="I96" s="2" t="s">
        <v>25</v>
      </c>
      <c r="J96" s="2" t="s">
        <v>48</v>
      </c>
      <c r="K96">
        <v>4</v>
      </c>
      <c r="L96" s="2" t="s">
        <v>27</v>
      </c>
      <c r="M96" s="2" t="s">
        <v>58</v>
      </c>
      <c r="N96" t="b">
        <v>1</v>
      </c>
      <c r="O96">
        <v>118</v>
      </c>
      <c r="P96" s="2" t="s">
        <v>29</v>
      </c>
      <c r="Q96">
        <v>3</v>
      </c>
      <c r="R96">
        <v>1</v>
      </c>
      <c r="S96">
        <v>894</v>
      </c>
      <c r="T96" s="2" t="s">
        <v>30</v>
      </c>
    </row>
    <row r="97" spans="1:20" x14ac:dyDescent="0.3">
      <c r="A97" s="1">
        <v>45323</v>
      </c>
      <c r="B97" s="2" t="s">
        <v>71</v>
      </c>
      <c r="C97" s="2" t="s">
        <v>32</v>
      </c>
      <c r="D97" s="2" t="s">
        <v>22</v>
      </c>
      <c r="E97">
        <v>9515</v>
      </c>
      <c r="F97" t="b">
        <v>1</v>
      </c>
      <c r="G97" s="2" t="s">
        <v>23</v>
      </c>
      <c r="H97" s="2" t="s">
        <v>70</v>
      </c>
      <c r="I97" s="2" t="s">
        <v>42</v>
      </c>
      <c r="J97" s="2" t="s">
        <v>26</v>
      </c>
      <c r="K97">
        <v>5</v>
      </c>
      <c r="L97" s="2" t="s">
        <v>27</v>
      </c>
      <c r="M97" s="2" t="s">
        <v>66</v>
      </c>
      <c r="N97" t="b">
        <v>0</v>
      </c>
      <c r="O97">
        <v>55</v>
      </c>
      <c r="P97" s="2" t="s">
        <v>50</v>
      </c>
      <c r="Q97">
        <v>4</v>
      </c>
      <c r="R97">
        <v>2</v>
      </c>
      <c r="S97">
        <v>3040</v>
      </c>
      <c r="T97" s="2" t="s">
        <v>38</v>
      </c>
    </row>
    <row r="98" spans="1:20" x14ac:dyDescent="0.3">
      <c r="A98" s="1">
        <v>45323</v>
      </c>
      <c r="B98" s="2" t="s">
        <v>52</v>
      </c>
      <c r="C98" s="2" t="s">
        <v>56</v>
      </c>
      <c r="D98" s="2" t="s">
        <v>22</v>
      </c>
      <c r="E98">
        <v>7372</v>
      </c>
      <c r="F98" t="b">
        <v>0</v>
      </c>
      <c r="G98" s="2" t="s">
        <v>23</v>
      </c>
      <c r="H98" s="2" t="s">
        <v>35</v>
      </c>
      <c r="I98" s="2" t="s">
        <v>25</v>
      </c>
      <c r="J98" s="2" t="s">
        <v>48</v>
      </c>
      <c r="K98">
        <v>4</v>
      </c>
      <c r="L98" s="2" t="s">
        <v>27</v>
      </c>
      <c r="M98" s="2" t="s">
        <v>66</v>
      </c>
      <c r="N98" t="b">
        <v>0</v>
      </c>
      <c r="O98">
        <v>73</v>
      </c>
      <c r="P98" s="2" t="s">
        <v>67</v>
      </c>
      <c r="Q98">
        <v>5</v>
      </c>
      <c r="R98">
        <v>1</v>
      </c>
      <c r="S98">
        <v>4767</v>
      </c>
      <c r="T98" s="2" t="s">
        <v>38</v>
      </c>
    </row>
    <row r="99" spans="1:20" x14ac:dyDescent="0.3">
      <c r="A99" s="1">
        <v>45323</v>
      </c>
      <c r="B99" s="2" t="s">
        <v>55</v>
      </c>
      <c r="C99" s="2" t="s">
        <v>45</v>
      </c>
      <c r="D99" s="2" t="s">
        <v>53</v>
      </c>
      <c r="E99">
        <v>3723</v>
      </c>
      <c r="F99" t="b">
        <v>1</v>
      </c>
      <c r="G99" s="2" t="s">
        <v>34</v>
      </c>
      <c r="H99" s="2" t="s">
        <v>35</v>
      </c>
      <c r="I99" s="2" t="s">
        <v>47</v>
      </c>
      <c r="J99" s="2" t="s">
        <v>43</v>
      </c>
      <c r="K99">
        <v>4</v>
      </c>
      <c r="L99" s="2" t="s">
        <v>36</v>
      </c>
      <c r="M99" s="2" t="s">
        <v>73</v>
      </c>
      <c r="N99" t="b">
        <v>1</v>
      </c>
      <c r="O99">
        <v>49</v>
      </c>
      <c r="P99" s="2" t="s">
        <v>67</v>
      </c>
      <c r="Q99">
        <v>1</v>
      </c>
      <c r="R99">
        <v>1</v>
      </c>
      <c r="S99">
        <v>1366</v>
      </c>
      <c r="T99" s="2" t="s">
        <v>51</v>
      </c>
    </row>
    <row r="100" spans="1:20" x14ac:dyDescent="0.3">
      <c r="A100" s="1">
        <v>45324</v>
      </c>
      <c r="B100" s="2" t="s">
        <v>31</v>
      </c>
      <c r="C100" s="2" t="s">
        <v>60</v>
      </c>
      <c r="D100" s="2" t="s">
        <v>61</v>
      </c>
      <c r="E100">
        <v>1000</v>
      </c>
      <c r="F100" t="b">
        <v>1</v>
      </c>
      <c r="G100" s="2" t="s">
        <v>23</v>
      </c>
      <c r="H100" s="2" t="s">
        <v>35</v>
      </c>
      <c r="I100" s="2" t="s">
        <v>25</v>
      </c>
      <c r="J100" s="2" t="s">
        <v>54</v>
      </c>
      <c r="K100">
        <v>1</v>
      </c>
      <c r="L100" s="2" t="s">
        <v>49</v>
      </c>
      <c r="M100" s="2" t="s">
        <v>73</v>
      </c>
      <c r="N100" t="b">
        <v>1</v>
      </c>
      <c r="O100">
        <v>97</v>
      </c>
      <c r="P100" s="2" t="s">
        <v>29</v>
      </c>
      <c r="Q100">
        <v>5</v>
      </c>
      <c r="R100">
        <v>1</v>
      </c>
      <c r="S100">
        <v>1589</v>
      </c>
      <c r="T100" s="2" t="s">
        <v>38</v>
      </c>
    </row>
    <row r="101" spans="1:20" x14ac:dyDescent="0.3">
      <c r="A101" s="1">
        <v>45325</v>
      </c>
      <c r="B101" s="2" t="s">
        <v>74</v>
      </c>
      <c r="C101" s="2" t="s">
        <v>21</v>
      </c>
      <c r="D101" s="2" t="s">
        <v>46</v>
      </c>
      <c r="E101">
        <v>4346</v>
      </c>
      <c r="F101" t="b">
        <v>0</v>
      </c>
      <c r="G101" s="2" t="s">
        <v>40</v>
      </c>
      <c r="H101" s="2" t="s">
        <v>41</v>
      </c>
      <c r="I101" s="2" t="s">
        <v>47</v>
      </c>
      <c r="J101" s="2" t="s">
        <v>43</v>
      </c>
      <c r="K101">
        <v>1</v>
      </c>
      <c r="L101" s="2" t="s">
        <v>36</v>
      </c>
      <c r="M101" s="2" t="s">
        <v>66</v>
      </c>
      <c r="N101" t="b">
        <v>1</v>
      </c>
      <c r="O101">
        <v>92</v>
      </c>
      <c r="P101" s="2" t="s">
        <v>37</v>
      </c>
      <c r="Q101">
        <v>5</v>
      </c>
      <c r="R101">
        <v>2</v>
      </c>
      <c r="S101">
        <v>3073</v>
      </c>
      <c r="T101" s="2" t="s">
        <v>30</v>
      </c>
    </row>
    <row r="102" spans="1:20" x14ac:dyDescent="0.3">
      <c r="A102" s="1">
        <v>45326</v>
      </c>
      <c r="B102" s="2" t="s">
        <v>62</v>
      </c>
      <c r="C102" s="2" t="s">
        <v>21</v>
      </c>
      <c r="D102" s="2" t="s">
        <v>57</v>
      </c>
      <c r="E102">
        <v>1000</v>
      </c>
      <c r="F102" t="b">
        <v>0</v>
      </c>
      <c r="G102" s="2" t="s">
        <v>64</v>
      </c>
      <c r="H102" s="2" t="s">
        <v>41</v>
      </c>
      <c r="I102" s="2" t="s">
        <v>47</v>
      </c>
      <c r="J102" s="2" t="s">
        <v>43</v>
      </c>
      <c r="K102">
        <v>4</v>
      </c>
      <c r="L102" s="2" t="s">
        <v>27</v>
      </c>
      <c r="M102" s="2" t="s">
        <v>58</v>
      </c>
      <c r="N102" t="b">
        <v>0</v>
      </c>
      <c r="O102">
        <v>8</v>
      </c>
      <c r="P102" s="2" t="s">
        <v>50</v>
      </c>
      <c r="Q102">
        <v>8</v>
      </c>
      <c r="R102">
        <v>1</v>
      </c>
      <c r="S102">
        <v>1096</v>
      </c>
      <c r="T102" s="2" t="s">
        <v>30</v>
      </c>
    </row>
    <row r="103" spans="1:20" x14ac:dyDescent="0.3">
      <c r="A103" s="1">
        <v>45326</v>
      </c>
      <c r="B103" s="2" t="s">
        <v>71</v>
      </c>
      <c r="C103" s="2" t="s">
        <v>56</v>
      </c>
      <c r="D103" s="2" t="s">
        <v>53</v>
      </c>
      <c r="E103">
        <v>4991</v>
      </c>
      <c r="F103" t="b">
        <v>1</v>
      </c>
      <c r="G103" s="2" t="s">
        <v>40</v>
      </c>
      <c r="H103" s="2" t="s">
        <v>70</v>
      </c>
      <c r="I103" s="2" t="s">
        <v>25</v>
      </c>
      <c r="J103" s="2" t="s">
        <v>26</v>
      </c>
      <c r="K103">
        <v>3</v>
      </c>
      <c r="L103" s="2" t="s">
        <v>27</v>
      </c>
      <c r="M103" s="2" t="s">
        <v>58</v>
      </c>
      <c r="N103" t="b">
        <v>0</v>
      </c>
      <c r="O103">
        <v>24</v>
      </c>
      <c r="P103" s="2" t="s">
        <v>67</v>
      </c>
      <c r="Q103">
        <v>2</v>
      </c>
      <c r="R103">
        <v>1</v>
      </c>
      <c r="S103">
        <v>901</v>
      </c>
      <c r="T103" s="2" t="s">
        <v>30</v>
      </c>
    </row>
    <row r="104" spans="1:20" x14ac:dyDescent="0.3">
      <c r="A104" s="1">
        <v>45326</v>
      </c>
      <c r="B104" s="2" t="s">
        <v>68</v>
      </c>
      <c r="C104" s="2" t="s">
        <v>21</v>
      </c>
      <c r="D104" s="2" t="s">
        <v>22</v>
      </c>
      <c r="E104">
        <v>5668</v>
      </c>
      <c r="F104" t="b">
        <v>0</v>
      </c>
      <c r="G104" s="2" t="s">
        <v>64</v>
      </c>
      <c r="H104" s="2" t="s">
        <v>41</v>
      </c>
      <c r="I104" s="2" t="s">
        <v>42</v>
      </c>
      <c r="J104" s="2" t="s">
        <v>26</v>
      </c>
      <c r="K104">
        <v>0</v>
      </c>
      <c r="L104" s="2" t="s">
        <v>49</v>
      </c>
      <c r="M104" s="2" t="s">
        <v>58</v>
      </c>
      <c r="N104" t="b">
        <v>0</v>
      </c>
      <c r="O104">
        <v>27</v>
      </c>
      <c r="P104" s="2" t="s">
        <v>37</v>
      </c>
      <c r="Q104">
        <v>2</v>
      </c>
      <c r="R104">
        <v>3</v>
      </c>
      <c r="S104">
        <v>1479</v>
      </c>
      <c r="T104" s="2" t="s">
        <v>38</v>
      </c>
    </row>
    <row r="105" spans="1:20" x14ac:dyDescent="0.3">
      <c r="A105" s="1">
        <v>45326</v>
      </c>
      <c r="B105" s="2" t="s">
        <v>44</v>
      </c>
      <c r="C105" s="2" t="s">
        <v>32</v>
      </c>
      <c r="D105" s="2" t="s">
        <v>22</v>
      </c>
      <c r="E105">
        <v>34890</v>
      </c>
      <c r="F105" t="b">
        <v>0</v>
      </c>
      <c r="G105" s="2" t="s">
        <v>65</v>
      </c>
      <c r="H105" s="2" t="s">
        <v>41</v>
      </c>
      <c r="I105" s="2" t="s">
        <v>59</v>
      </c>
      <c r="J105" s="2" t="s">
        <v>26</v>
      </c>
      <c r="K105">
        <v>3</v>
      </c>
      <c r="L105" s="2" t="s">
        <v>49</v>
      </c>
      <c r="M105" s="2" t="s">
        <v>66</v>
      </c>
      <c r="N105" t="b">
        <v>1</v>
      </c>
      <c r="O105">
        <v>44</v>
      </c>
      <c r="P105" s="2" t="s">
        <v>37</v>
      </c>
      <c r="Q105">
        <v>6</v>
      </c>
      <c r="R105">
        <v>1</v>
      </c>
      <c r="S105">
        <v>3239</v>
      </c>
      <c r="T105" s="2" t="s">
        <v>51</v>
      </c>
    </row>
    <row r="106" spans="1:20" x14ac:dyDescent="0.3">
      <c r="A106" s="1">
        <v>45327</v>
      </c>
      <c r="B106" s="2" t="s">
        <v>74</v>
      </c>
      <c r="C106" s="2" t="s">
        <v>32</v>
      </c>
      <c r="D106" s="2" t="s">
        <v>57</v>
      </c>
      <c r="E106">
        <v>1000</v>
      </c>
      <c r="F106" t="b">
        <v>1</v>
      </c>
      <c r="G106" s="2" t="s">
        <v>34</v>
      </c>
      <c r="H106" s="2" t="s">
        <v>41</v>
      </c>
      <c r="I106" s="2" t="s">
        <v>59</v>
      </c>
      <c r="J106" s="2" t="s">
        <v>43</v>
      </c>
      <c r="K106">
        <v>0</v>
      </c>
      <c r="L106" s="2" t="s">
        <v>36</v>
      </c>
      <c r="M106" s="2" t="s">
        <v>66</v>
      </c>
      <c r="N106" t="b">
        <v>1</v>
      </c>
      <c r="O106">
        <v>53</v>
      </c>
      <c r="P106" s="2" t="s">
        <v>29</v>
      </c>
      <c r="Q106">
        <v>1</v>
      </c>
      <c r="R106">
        <v>2</v>
      </c>
      <c r="S106">
        <v>3207</v>
      </c>
      <c r="T106" s="2" t="s">
        <v>51</v>
      </c>
    </row>
    <row r="107" spans="1:20" x14ac:dyDescent="0.3">
      <c r="A107" s="1">
        <v>45328</v>
      </c>
      <c r="B107" s="2" t="s">
        <v>20</v>
      </c>
      <c r="C107" s="2" t="s">
        <v>56</v>
      </c>
      <c r="D107" s="2" t="s">
        <v>53</v>
      </c>
      <c r="E107">
        <v>3632</v>
      </c>
      <c r="F107" t="b">
        <v>1</v>
      </c>
      <c r="G107" s="2" t="s">
        <v>34</v>
      </c>
      <c r="H107" s="2" t="s">
        <v>24</v>
      </c>
      <c r="I107" s="2" t="s">
        <v>59</v>
      </c>
      <c r="J107" s="2" t="s">
        <v>43</v>
      </c>
      <c r="K107">
        <v>0</v>
      </c>
      <c r="L107" s="2" t="s">
        <v>36</v>
      </c>
      <c r="M107" s="2" t="s">
        <v>28</v>
      </c>
      <c r="N107" t="b">
        <v>0</v>
      </c>
      <c r="O107">
        <v>119</v>
      </c>
      <c r="P107" s="2" t="s">
        <v>29</v>
      </c>
      <c r="Q107">
        <v>9</v>
      </c>
      <c r="R107">
        <v>3</v>
      </c>
      <c r="S107">
        <v>1105</v>
      </c>
      <c r="T107" s="2" t="s">
        <v>30</v>
      </c>
    </row>
    <row r="108" spans="1:20" x14ac:dyDescent="0.3">
      <c r="A108" s="1">
        <v>45328</v>
      </c>
      <c r="B108" s="2" t="s">
        <v>72</v>
      </c>
      <c r="C108" s="2" t="s">
        <v>32</v>
      </c>
      <c r="D108" s="2" t="s">
        <v>53</v>
      </c>
      <c r="E108">
        <v>5601</v>
      </c>
      <c r="F108" t="b">
        <v>1</v>
      </c>
      <c r="G108" s="2" t="s">
        <v>65</v>
      </c>
      <c r="H108" s="2" t="s">
        <v>70</v>
      </c>
      <c r="I108" s="2" t="s">
        <v>25</v>
      </c>
      <c r="J108" s="2" t="s">
        <v>43</v>
      </c>
      <c r="K108">
        <v>2</v>
      </c>
      <c r="L108" s="2" t="s">
        <v>27</v>
      </c>
      <c r="M108" s="2" t="s">
        <v>58</v>
      </c>
      <c r="N108" t="b">
        <v>0</v>
      </c>
      <c r="O108">
        <v>53</v>
      </c>
      <c r="P108" s="2" t="s">
        <v>37</v>
      </c>
      <c r="Q108">
        <v>1</v>
      </c>
      <c r="R108">
        <v>1</v>
      </c>
      <c r="S108">
        <v>1189</v>
      </c>
      <c r="T108" s="2" t="s">
        <v>38</v>
      </c>
    </row>
    <row r="109" spans="1:20" x14ac:dyDescent="0.3">
      <c r="A109" s="1">
        <v>45328</v>
      </c>
      <c r="B109" s="2" t="s">
        <v>72</v>
      </c>
      <c r="C109" s="2" t="s">
        <v>21</v>
      </c>
      <c r="D109" s="2" t="s">
        <v>46</v>
      </c>
      <c r="E109">
        <v>4625</v>
      </c>
      <c r="F109" t="b">
        <v>0</v>
      </c>
      <c r="G109" s="2" t="s">
        <v>64</v>
      </c>
      <c r="H109" s="2" t="s">
        <v>70</v>
      </c>
      <c r="I109" s="2" t="s">
        <v>42</v>
      </c>
      <c r="J109" s="2" t="s">
        <v>48</v>
      </c>
      <c r="K109">
        <v>0</v>
      </c>
      <c r="L109" s="2" t="s">
        <v>36</v>
      </c>
      <c r="M109" s="2" t="s">
        <v>66</v>
      </c>
      <c r="N109" t="b">
        <v>0</v>
      </c>
      <c r="O109">
        <v>2</v>
      </c>
      <c r="P109" s="2" t="s">
        <v>63</v>
      </c>
      <c r="Q109">
        <v>7</v>
      </c>
      <c r="R109">
        <v>2</v>
      </c>
      <c r="S109">
        <v>4353</v>
      </c>
      <c r="T109" s="2" t="s">
        <v>51</v>
      </c>
    </row>
    <row r="110" spans="1:20" x14ac:dyDescent="0.3">
      <c r="A110" s="1">
        <v>45329</v>
      </c>
      <c r="B110" s="2" t="s">
        <v>72</v>
      </c>
      <c r="C110" s="2" t="s">
        <v>45</v>
      </c>
      <c r="D110" s="2" t="s">
        <v>57</v>
      </c>
      <c r="E110">
        <v>1000</v>
      </c>
      <c r="F110" t="b">
        <v>1</v>
      </c>
      <c r="G110" s="2" t="s">
        <v>34</v>
      </c>
      <c r="H110" s="2" t="s">
        <v>24</v>
      </c>
      <c r="I110" s="2" t="s">
        <v>42</v>
      </c>
      <c r="J110" s="2" t="s">
        <v>48</v>
      </c>
      <c r="K110">
        <v>1</v>
      </c>
      <c r="L110" s="2" t="s">
        <v>27</v>
      </c>
      <c r="M110" s="2" t="s">
        <v>66</v>
      </c>
      <c r="N110" t="b">
        <v>1</v>
      </c>
      <c r="O110">
        <v>41</v>
      </c>
      <c r="P110" s="2" t="s">
        <v>67</v>
      </c>
      <c r="Q110">
        <v>5</v>
      </c>
      <c r="R110">
        <v>3</v>
      </c>
      <c r="S110">
        <v>2227</v>
      </c>
      <c r="T110" s="2" t="s">
        <v>51</v>
      </c>
    </row>
    <row r="111" spans="1:20" x14ac:dyDescent="0.3">
      <c r="A111" s="1">
        <v>45329</v>
      </c>
      <c r="B111" s="2" t="s">
        <v>75</v>
      </c>
      <c r="C111" s="2" t="s">
        <v>45</v>
      </c>
      <c r="D111" s="2" t="s">
        <v>57</v>
      </c>
      <c r="E111">
        <v>1000</v>
      </c>
      <c r="F111" t="b">
        <v>1</v>
      </c>
      <c r="G111" s="2" t="s">
        <v>64</v>
      </c>
      <c r="H111" s="2" t="s">
        <v>24</v>
      </c>
      <c r="I111" s="2" t="s">
        <v>59</v>
      </c>
      <c r="J111" s="2" t="s">
        <v>43</v>
      </c>
      <c r="K111">
        <v>5</v>
      </c>
      <c r="L111" s="2" t="s">
        <v>36</v>
      </c>
      <c r="M111" s="2" t="s">
        <v>73</v>
      </c>
      <c r="N111" t="b">
        <v>0</v>
      </c>
      <c r="O111">
        <v>114</v>
      </c>
      <c r="P111" s="2" t="s">
        <v>67</v>
      </c>
      <c r="Q111">
        <v>10</v>
      </c>
      <c r="R111">
        <v>1</v>
      </c>
      <c r="S111">
        <v>2578</v>
      </c>
      <c r="T111" s="2" t="s">
        <v>30</v>
      </c>
    </row>
    <row r="112" spans="1:20" x14ac:dyDescent="0.3">
      <c r="A112" s="1">
        <v>45330</v>
      </c>
      <c r="B112" s="2" t="s">
        <v>76</v>
      </c>
      <c r="C112" s="2" t="s">
        <v>45</v>
      </c>
      <c r="D112" s="2" t="s">
        <v>53</v>
      </c>
      <c r="E112">
        <v>5590</v>
      </c>
      <c r="F112" t="b">
        <v>0</v>
      </c>
      <c r="G112" s="2" t="s">
        <v>40</v>
      </c>
      <c r="H112" s="2" t="s">
        <v>41</v>
      </c>
      <c r="I112" s="2" t="s">
        <v>25</v>
      </c>
      <c r="J112" s="2" t="s">
        <v>54</v>
      </c>
      <c r="K112">
        <v>5</v>
      </c>
      <c r="L112" s="2" t="s">
        <v>27</v>
      </c>
      <c r="M112" s="2" t="s">
        <v>73</v>
      </c>
      <c r="N112" t="b">
        <v>0</v>
      </c>
      <c r="O112">
        <v>38</v>
      </c>
      <c r="P112" s="2" t="s">
        <v>63</v>
      </c>
      <c r="Q112">
        <v>4</v>
      </c>
      <c r="R112">
        <v>2</v>
      </c>
      <c r="S112">
        <v>3962</v>
      </c>
      <c r="T112" s="2" t="s">
        <v>51</v>
      </c>
    </row>
    <row r="113" spans="1:20" x14ac:dyDescent="0.3">
      <c r="A113" s="1">
        <v>45331</v>
      </c>
      <c r="B113" s="2" t="s">
        <v>76</v>
      </c>
      <c r="C113" s="2" t="s">
        <v>56</v>
      </c>
      <c r="D113" s="2" t="s">
        <v>33</v>
      </c>
      <c r="E113">
        <v>1717</v>
      </c>
      <c r="F113" t="b">
        <v>0</v>
      </c>
      <c r="G113" s="2" t="s">
        <v>23</v>
      </c>
      <c r="H113" s="2" t="s">
        <v>41</v>
      </c>
      <c r="I113" s="2" t="s">
        <v>59</v>
      </c>
      <c r="J113" s="2" t="s">
        <v>26</v>
      </c>
      <c r="K113">
        <v>4</v>
      </c>
      <c r="L113" s="2" t="s">
        <v>36</v>
      </c>
      <c r="M113" s="2" t="s">
        <v>58</v>
      </c>
      <c r="N113" t="b">
        <v>1</v>
      </c>
      <c r="O113">
        <v>62</v>
      </c>
      <c r="P113" s="2" t="s">
        <v>29</v>
      </c>
      <c r="Q113">
        <v>6</v>
      </c>
      <c r="R113">
        <v>2</v>
      </c>
      <c r="S113">
        <v>2162</v>
      </c>
      <c r="T113" s="2" t="s">
        <v>38</v>
      </c>
    </row>
    <row r="114" spans="1:20" x14ac:dyDescent="0.3">
      <c r="A114" s="1">
        <v>45331</v>
      </c>
      <c r="B114" s="2" t="s">
        <v>52</v>
      </c>
      <c r="C114" s="2" t="s">
        <v>45</v>
      </c>
      <c r="D114" s="2" t="s">
        <v>53</v>
      </c>
      <c r="E114">
        <v>3606</v>
      </c>
      <c r="F114" t="b">
        <v>0</v>
      </c>
      <c r="G114" s="2" t="s">
        <v>34</v>
      </c>
      <c r="H114" s="2" t="s">
        <v>35</v>
      </c>
      <c r="I114" s="2" t="s">
        <v>47</v>
      </c>
      <c r="J114" s="2" t="s">
        <v>43</v>
      </c>
      <c r="K114">
        <v>2</v>
      </c>
      <c r="L114" s="2" t="s">
        <v>36</v>
      </c>
      <c r="M114" s="2" t="s">
        <v>73</v>
      </c>
      <c r="N114" t="b">
        <v>1</v>
      </c>
      <c r="O114">
        <v>68</v>
      </c>
      <c r="P114" s="2" t="s">
        <v>63</v>
      </c>
      <c r="Q114">
        <v>10</v>
      </c>
      <c r="R114">
        <v>2</v>
      </c>
      <c r="S114">
        <v>2427</v>
      </c>
      <c r="T114" s="2" t="s">
        <v>38</v>
      </c>
    </row>
    <row r="115" spans="1:20" x14ac:dyDescent="0.3">
      <c r="A115" s="1">
        <v>45331</v>
      </c>
      <c r="B115" s="2" t="s">
        <v>52</v>
      </c>
      <c r="C115" s="2" t="s">
        <v>45</v>
      </c>
      <c r="D115" s="2" t="s">
        <v>22</v>
      </c>
      <c r="E115">
        <v>5852</v>
      </c>
      <c r="F115" t="b">
        <v>0</v>
      </c>
      <c r="G115" s="2" t="s">
        <v>64</v>
      </c>
      <c r="H115" s="2" t="s">
        <v>70</v>
      </c>
      <c r="I115" s="2" t="s">
        <v>59</v>
      </c>
      <c r="J115" s="2" t="s">
        <v>54</v>
      </c>
      <c r="K115">
        <v>3</v>
      </c>
      <c r="L115" s="2" t="s">
        <v>36</v>
      </c>
      <c r="M115" s="2" t="s">
        <v>66</v>
      </c>
      <c r="N115" t="b">
        <v>0</v>
      </c>
      <c r="O115">
        <v>21</v>
      </c>
      <c r="P115" s="2" t="s">
        <v>37</v>
      </c>
      <c r="Q115">
        <v>3</v>
      </c>
      <c r="R115">
        <v>2</v>
      </c>
      <c r="S115">
        <v>4939</v>
      </c>
      <c r="T115" s="2" t="s">
        <v>30</v>
      </c>
    </row>
    <row r="116" spans="1:20" x14ac:dyDescent="0.3">
      <c r="A116" s="1">
        <v>45331</v>
      </c>
      <c r="B116" s="2" t="s">
        <v>72</v>
      </c>
      <c r="C116" s="2" t="s">
        <v>56</v>
      </c>
      <c r="D116" s="2" t="s">
        <v>46</v>
      </c>
      <c r="E116">
        <v>2582</v>
      </c>
      <c r="F116" t="b">
        <v>0</v>
      </c>
      <c r="G116" s="2" t="s">
        <v>34</v>
      </c>
      <c r="H116" s="2" t="s">
        <v>70</v>
      </c>
      <c r="I116" s="2" t="s">
        <v>47</v>
      </c>
      <c r="J116" s="2" t="s">
        <v>26</v>
      </c>
      <c r="K116">
        <v>3</v>
      </c>
      <c r="L116" s="2" t="s">
        <v>49</v>
      </c>
      <c r="M116" s="2" t="s">
        <v>66</v>
      </c>
      <c r="N116" t="b">
        <v>1</v>
      </c>
      <c r="O116">
        <v>78</v>
      </c>
      <c r="P116" s="2" t="s">
        <v>29</v>
      </c>
      <c r="Q116">
        <v>5</v>
      </c>
      <c r="R116">
        <v>1</v>
      </c>
      <c r="S116">
        <v>3074</v>
      </c>
      <c r="T116" s="2" t="s">
        <v>30</v>
      </c>
    </row>
    <row r="117" spans="1:20" x14ac:dyDescent="0.3">
      <c r="A117" s="1">
        <v>45331</v>
      </c>
      <c r="B117" s="2" t="s">
        <v>71</v>
      </c>
      <c r="C117" s="2" t="s">
        <v>32</v>
      </c>
      <c r="D117" s="2" t="s">
        <v>46</v>
      </c>
      <c r="E117">
        <v>4540</v>
      </c>
      <c r="F117" t="b">
        <v>1</v>
      </c>
      <c r="G117" s="2" t="s">
        <v>64</v>
      </c>
      <c r="H117" s="2" t="s">
        <v>70</v>
      </c>
      <c r="I117" s="2" t="s">
        <v>47</v>
      </c>
      <c r="J117" s="2" t="s">
        <v>26</v>
      </c>
      <c r="K117">
        <v>5</v>
      </c>
      <c r="L117" s="2" t="s">
        <v>49</v>
      </c>
      <c r="M117" s="2" t="s">
        <v>73</v>
      </c>
      <c r="N117" t="b">
        <v>0</v>
      </c>
      <c r="O117">
        <v>53</v>
      </c>
      <c r="P117" s="2" t="s">
        <v>50</v>
      </c>
      <c r="Q117">
        <v>1</v>
      </c>
      <c r="R117">
        <v>3</v>
      </c>
      <c r="S117">
        <v>1896</v>
      </c>
      <c r="T117" s="2" t="s">
        <v>38</v>
      </c>
    </row>
    <row r="118" spans="1:20" x14ac:dyDescent="0.3">
      <c r="A118" s="1">
        <v>45331</v>
      </c>
      <c r="B118" s="2" t="s">
        <v>71</v>
      </c>
      <c r="C118" s="2" t="s">
        <v>45</v>
      </c>
      <c r="D118" s="2" t="s">
        <v>46</v>
      </c>
      <c r="E118">
        <v>3640</v>
      </c>
      <c r="F118" t="b">
        <v>1</v>
      </c>
      <c r="G118" s="2" t="s">
        <v>40</v>
      </c>
      <c r="H118" s="2" t="s">
        <v>70</v>
      </c>
      <c r="I118" s="2" t="s">
        <v>47</v>
      </c>
      <c r="J118" s="2" t="s">
        <v>26</v>
      </c>
      <c r="K118">
        <v>0</v>
      </c>
      <c r="L118" s="2" t="s">
        <v>36</v>
      </c>
      <c r="M118" s="2" t="s">
        <v>58</v>
      </c>
      <c r="N118" t="b">
        <v>0</v>
      </c>
      <c r="O118">
        <v>70</v>
      </c>
      <c r="P118" s="2" t="s">
        <v>37</v>
      </c>
      <c r="Q118">
        <v>8</v>
      </c>
      <c r="R118">
        <v>1</v>
      </c>
      <c r="S118">
        <v>3006</v>
      </c>
      <c r="T118" s="2" t="s">
        <v>51</v>
      </c>
    </row>
    <row r="119" spans="1:20" x14ac:dyDescent="0.3">
      <c r="A119" s="1">
        <v>45331</v>
      </c>
      <c r="B119" s="2" t="s">
        <v>72</v>
      </c>
      <c r="C119" s="2" t="s">
        <v>21</v>
      </c>
      <c r="D119" s="2" t="s">
        <v>53</v>
      </c>
      <c r="E119">
        <v>3811</v>
      </c>
      <c r="F119" t="b">
        <v>0</v>
      </c>
      <c r="G119" s="2" t="s">
        <v>64</v>
      </c>
      <c r="H119" s="2" t="s">
        <v>35</v>
      </c>
      <c r="I119" s="2" t="s">
        <v>42</v>
      </c>
      <c r="J119" s="2" t="s">
        <v>26</v>
      </c>
      <c r="K119">
        <v>5</v>
      </c>
      <c r="L119" s="2" t="s">
        <v>36</v>
      </c>
      <c r="M119" s="2" t="s">
        <v>73</v>
      </c>
      <c r="N119" t="b">
        <v>0</v>
      </c>
      <c r="O119">
        <v>79</v>
      </c>
      <c r="P119" s="2" t="s">
        <v>67</v>
      </c>
      <c r="Q119">
        <v>6</v>
      </c>
      <c r="R119">
        <v>3</v>
      </c>
      <c r="S119">
        <v>3376</v>
      </c>
      <c r="T119" s="2" t="s">
        <v>38</v>
      </c>
    </row>
    <row r="120" spans="1:20" x14ac:dyDescent="0.3">
      <c r="A120" s="1">
        <v>45331</v>
      </c>
      <c r="B120" s="2" t="s">
        <v>72</v>
      </c>
      <c r="C120" s="2" t="s">
        <v>56</v>
      </c>
      <c r="D120" s="2" t="s">
        <v>33</v>
      </c>
      <c r="E120">
        <v>3230</v>
      </c>
      <c r="F120" t="b">
        <v>1</v>
      </c>
      <c r="G120" s="2" t="s">
        <v>34</v>
      </c>
      <c r="H120" s="2" t="s">
        <v>41</v>
      </c>
      <c r="I120" s="2" t="s">
        <v>42</v>
      </c>
      <c r="J120" s="2" t="s">
        <v>26</v>
      </c>
      <c r="K120">
        <v>2</v>
      </c>
      <c r="L120" s="2" t="s">
        <v>49</v>
      </c>
      <c r="M120" s="2" t="s">
        <v>58</v>
      </c>
      <c r="N120" t="b">
        <v>0</v>
      </c>
      <c r="O120">
        <v>48</v>
      </c>
      <c r="P120" s="2" t="s">
        <v>29</v>
      </c>
      <c r="Q120">
        <v>8</v>
      </c>
      <c r="R120">
        <v>1</v>
      </c>
      <c r="S120">
        <v>2982</v>
      </c>
      <c r="T120" s="2" t="s">
        <v>30</v>
      </c>
    </row>
    <row r="121" spans="1:20" x14ac:dyDescent="0.3">
      <c r="A121" s="1">
        <v>45332</v>
      </c>
      <c r="B121" s="2" t="s">
        <v>75</v>
      </c>
      <c r="C121" s="2" t="s">
        <v>21</v>
      </c>
      <c r="D121" s="2" t="s">
        <v>46</v>
      </c>
      <c r="E121">
        <v>3823</v>
      </c>
      <c r="F121" t="b">
        <v>1</v>
      </c>
      <c r="G121" s="2" t="s">
        <v>34</v>
      </c>
      <c r="H121" s="2" t="s">
        <v>35</v>
      </c>
      <c r="I121" s="2" t="s">
        <v>47</v>
      </c>
      <c r="J121" s="2" t="s">
        <v>26</v>
      </c>
      <c r="K121">
        <v>5</v>
      </c>
      <c r="L121" s="2" t="s">
        <v>27</v>
      </c>
      <c r="M121" s="2" t="s">
        <v>58</v>
      </c>
      <c r="N121" t="b">
        <v>0</v>
      </c>
      <c r="O121">
        <v>26</v>
      </c>
      <c r="P121" s="2" t="s">
        <v>50</v>
      </c>
      <c r="Q121">
        <v>4</v>
      </c>
      <c r="R121">
        <v>2</v>
      </c>
      <c r="S121">
        <v>3625</v>
      </c>
      <c r="T121" s="2" t="s">
        <v>38</v>
      </c>
    </row>
    <row r="122" spans="1:20" x14ac:dyDescent="0.3">
      <c r="A122" s="1">
        <v>45332</v>
      </c>
      <c r="B122" s="2" t="s">
        <v>69</v>
      </c>
      <c r="C122" s="2" t="s">
        <v>45</v>
      </c>
      <c r="D122" s="2" t="s">
        <v>57</v>
      </c>
      <c r="E122">
        <v>1000</v>
      </c>
      <c r="F122" t="b">
        <v>1</v>
      </c>
      <c r="G122" s="2" t="s">
        <v>23</v>
      </c>
      <c r="H122" s="2" t="s">
        <v>35</v>
      </c>
      <c r="I122" s="2" t="s">
        <v>42</v>
      </c>
      <c r="J122" s="2" t="s">
        <v>48</v>
      </c>
      <c r="K122">
        <v>0</v>
      </c>
      <c r="L122" s="2" t="s">
        <v>36</v>
      </c>
      <c r="M122" s="2" t="s">
        <v>66</v>
      </c>
      <c r="N122" t="b">
        <v>0</v>
      </c>
      <c r="O122">
        <v>91</v>
      </c>
      <c r="P122" s="2" t="s">
        <v>29</v>
      </c>
      <c r="Q122">
        <v>8</v>
      </c>
      <c r="R122">
        <v>2</v>
      </c>
      <c r="S122">
        <v>3637</v>
      </c>
      <c r="T122" s="2" t="s">
        <v>30</v>
      </c>
    </row>
    <row r="123" spans="1:20" x14ac:dyDescent="0.3">
      <c r="A123" s="1">
        <v>45332</v>
      </c>
      <c r="B123" s="2" t="s">
        <v>74</v>
      </c>
      <c r="C123" s="2" t="s">
        <v>45</v>
      </c>
      <c r="D123" s="2" t="s">
        <v>22</v>
      </c>
      <c r="E123">
        <v>9736</v>
      </c>
      <c r="F123" t="b">
        <v>1</v>
      </c>
      <c r="G123" s="2" t="s">
        <v>40</v>
      </c>
      <c r="H123" s="2" t="s">
        <v>41</v>
      </c>
      <c r="I123" s="2" t="s">
        <v>25</v>
      </c>
      <c r="J123" s="2" t="s">
        <v>26</v>
      </c>
      <c r="K123">
        <v>1</v>
      </c>
      <c r="L123" s="2" t="s">
        <v>36</v>
      </c>
      <c r="M123" s="2" t="s">
        <v>66</v>
      </c>
      <c r="N123" t="b">
        <v>0</v>
      </c>
      <c r="O123">
        <v>41</v>
      </c>
      <c r="P123" s="2" t="s">
        <v>67</v>
      </c>
      <c r="Q123">
        <v>7</v>
      </c>
      <c r="R123">
        <v>3</v>
      </c>
      <c r="S123">
        <v>2966</v>
      </c>
      <c r="T123" s="2" t="s">
        <v>30</v>
      </c>
    </row>
    <row r="124" spans="1:20" x14ac:dyDescent="0.3">
      <c r="A124" s="1">
        <v>45332</v>
      </c>
      <c r="B124" s="2" t="s">
        <v>71</v>
      </c>
      <c r="C124" s="2" t="s">
        <v>45</v>
      </c>
      <c r="D124" s="2" t="s">
        <v>33</v>
      </c>
      <c r="E124">
        <v>4029</v>
      </c>
      <c r="F124" t="b">
        <v>0</v>
      </c>
      <c r="G124" s="2" t="s">
        <v>40</v>
      </c>
      <c r="H124" s="2" t="s">
        <v>70</v>
      </c>
      <c r="I124" s="2" t="s">
        <v>25</v>
      </c>
      <c r="J124" s="2" t="s">
        <v>43</v>
      </c>
      <c r="K124">
        <v>2</v>
      </c>
      <c r="L124" s="2" t="s">
        <v>49</v>
      </c>
      <c r="M124" s="2" t="s">
        <v>73</v>
      </c>
      <c r="N124" t="b">
        <v>0</v>
      </c>
      <c r="O124">
        <v>65</v>
      </c>
      <c r="P124" s="2" t="s">
        <v>29</v>
      </c>
      <c r="Q124">
        <v>1</v>
      </c>
      <c r="R124">
        <v>1</v>
      </c>
      <c r="S124">
        <v>2160</v>
      </c>
      <c r="T124" s="2" t="s">
        <v>30</v>
      </c>
    </row>
    <row r="125" spans="1:20" x14ac:dyDescent="0.3">
      <c r="A125" s="1">
        <v>45332</v>
      </c>
      <c r="B125" s="2" t="s">
        <v>55</v>
      </c>
      <c r="C125" s="2" t="s">
        <v>32</v>
      </c>
      <c r="D125" s="2" t="s">
        <v>33</v>
      </c>
      <c r="E125">
        <v>4124</v>
      </c>
      <c r="F125" t="b">
        <v>0</v>
      </c>
      <c r="G125" s="2" t="s">
        <v>64</v>
      </c>
      <c r="H125" s="2" t="s">
        <v>41</v>
      </c>
      <c r="I125" s="2" t="s">
        <v>59</v>
      </c>
      <c r="J125" s="2" t="s">
        <v>43</v>
      </c>
      <c r="K125">
        <v>4</v>
      </c>
      <c r="L125" s="2" t="s">
        <v>36</v>
      </c>
      <c r="M125" s="2" t="s">
        <v>66</v>
      </c>
      <c r="N125" t="b">
        <v>0</v>
      </c>
      <c r="O125">
        <v>79</v>
      </c>
      <c r="P125" s="2" t="s">
        <v>63</v>
      </c>
      <c r="Q125">
        <v>2</v>
      </c>
      <c r="R125">
        <v>3</v>
      </c>
      <c r="S125">
        <v>4184</v>
      </c>
      <c r="T125" s="2" t="s">
        <v>30</v>
      </c>
    </row>
    <row r="126" spans="1:20" x14ac:dyDescent="0.3">
      <c r="A126" s="1">
        <v>45332</v>
      </c>
      <c r="B126" s="2" t="s">
        <v>20</v>
      </c>
      <c r="C126" s="2" t="s">
        <v>60</v>
      </c>
      <c r="D126" s="2" t="s">
        <v>22</v>
      </c>
      <c r="E126">
        <v>9925</v>
      </c>
      <c r="F126" t="b">
        <v>0</v>
      </c>
      <c r="G126" s="2" t="s">
        <v>64</v>
      </c>
      <c r="H126" s="2" t="s">
        <v>41</v>
      </c>
      <c r="I126" s="2" t="s">
        <v>25</v>
      </c>
      <c r="J126" s="2" t="s">
        <v>43</v>
      </c>
      <c r="K126">
        <v>1</v>
      </c>
      <c r="L126" s="2" t="s">
        <v>36</v>
      </c>
      <c r="M126" s="2" t="s">
        <v>66</v>
      </c>
      <c r="N126" t="b">
        <v>1</v>
      </c>
      <c r="O126">
        <v>98</v>
      </c>
      <c r="P126" s="2" t="s">
        <v>50</v>
      </c>
      <c r="Q126">
        <v>2</v>
      </c>
      <c r="R126">
        <v>3</v>
      </c>
      <c r="S126">
        <v>2263</v>
      </c>
      <c r="T126" s="2" t="s">
        <v>30</v>
      </c>
    </row>
    <row r="127" spans="1:20" x14ac:dyDescent="0.3">
      <c r="A127" s="1">
        <v>45332</v>
      </c>
      <c r="B127" s="2" t="s">
        <v>62</v>
      </c>
      <c r="C127" s="2" t="s">
        <v>56</v>
      </c>
      <c r="D127" s="2" t="s">
        <v>53</v>
      </c>
      <c r="E127">
        <v>6057</v>
      </c>
      <c r="F127" t="b">
        <v>0</v>
      </c>
      <c r="G127" s="2" t="s">
        <v>34</v>
      </c>
      <c r="H127" s="2" t="s">
        <v>41</v>
      </c>
      <c r="I127" s="2" t="s">
        <v>47</v>
      </c>
      <c r="J127" s="2" t="s">
        <v>54</v>
      </c>
      <c r="K127">
        <v>12</v>
      </c>
      <c r="L127" s="2" t="s">
        <v>36</v>
      </c>
      <c r="M127" s="2" t="s">
        <v>66</v>
      </c>
      <c r="N127" t="b">
        <v>0</v>
      </c>
      <c r="O127">
        <v>1</v>
      </c>
      <c r="P127" s="2" t="s">
        <v>63</v>
      </c>
      <c r="Q127">
        <v>7</v>
      </c>
      <c r="R127">
        <v>2</v>
      </c>
      <c r="S127">
        <v>1203</v>
      </c>
      <c r="T127" s="2" t="s">
        <v>51</v>
      </c>
    </row>
    <row r="128" spans="1:20" x14ac:dyDescent="0.3">
      <c r="A128" s="1">
        <v>45332</v>
      </c>
      <c r="B128" s="2" t="s">
        <v>72</v>
      </c>
      <c r="C128" s="2" t="s">
        <v>21</v>
      </c>
      <c r="D128" s="2" t="s">
        <v>46</v>
      </c>
      <c r="E128">
        <v>3892</v>
      </c>
      <c r="F128" t="b">
        <v>0</v>
      </c>
      <c r="G128" s="2" t="s">
        <v>23</v>
      </c>
      <c r="H128" s="2" t="s">
        <v>41</v>
      </c>
      <c r="I128" s="2" t="s">
        <v>59</v>
      </c>
      <c r="J128" s="2" t="s">
        <v>54</v>
      </c>
      <c r="K128">
        <v>4</v>
      </c>
      <c r="L128" s="2" t="s">
        <v>36</v>
      </c>
      <c r="M128" s="2" t="s">
        <v>73</v>
      </c>
      <c r="N128" t="b">
        <v>1</v>
      </c>
      <c r="O128">
        <v>80</v>
      </c>
      <c r="P128" s="2" t="s">
        <v>50</v>
      </c>
      <c r="Q128">
        <v>9</v>
      </c>
      <c r="R128">
        <v>3</v>
      </c>
      <c r="S128">
        <v>1527</v>
      </c>
      <c r="T128" s="2" t="s">
        <v>38</v>
      </c>
    </row>
    <row r="129" spans="1:20" x14ac:dyDescent="0.3">
      <c r="A129" s="1">
        <v>45333</v>
      </c>
      <c r="B129" s="2" t="s">
        <v>52</v>
      </c>
      <c r="C129" s="2" t="s">
        <v>56</v>
      </c>
      <c r="D129" s="2" t="s">
        <v>57</v>
      </c>
      <c r="E129">
        <v>1000</v>
      </c>
      <c r="F129" t="b">
        <v>1</v>
      </c>
      <c r="G129" s="2" t="s">
        <v>65</v>
      </c>
      <c r="H129" s="2" t="s">
        <v>41</v>
      </c>
      <c r="I129" s="2" t="s">
        <v>25</v>
      </c>
      <c r="J129" s="2" t="s">
        <v>43</v>
      </c>
      <c r="K129">
        <v>8</v>
      </c>
      <c r="L129" s="2" t="s">
        <v>27</v>
      </c>
      <c r="M129" s="2" t="s">
        <v>66</v>
      </c>
      <c r="N129" t="b">
        <v>0</v>
      </c>
      <c r="O129">
        <v>107</v>
      </c>
      <c r="P129" s="2" t="s">
        <v>29</v>
      </c>
      <c r="Q129">
        <v>5</v>
      </c>
      <c r="R129">
        <v>2</v>
      </c>
      <c r="S129">
        <v>3976</v>
      </c>
      <c r="T129" s="2" t="s">
        <v>30</v>
      </c>
    </row>
    <row r="130" spans="1:20" x14ac:dyDescent="0.3">
      <c r="A130" s="1">
        <v>45333</v>
      </c>
      <c r="B130" s="2" t="s">
        <v>71</v>
      </c>
      <c r="C130" s="2" t="s">
        <v>45</v>
      </c>
      <c r="D130" s="2" t="s">
        <v>33</v>
      </c>
      <c r="E130">
        <v>3168</v>
      </c>
      <c r="F130" t="b">
        <v>0</v>
      </c>
      <c r="G130" s="2" t="s">
        <v>23</v>
      </c>
      <c r="H130" s="2" t="s">
        <v>70</v>
      </c>
      <c r="I130" s="2" t="s">
        <v>47</v>
      </c>
      <c r="J130" s="2" t="s">
        <v>43</v>
      </c>
      <c r="K130">
        <v>1</v>
      </c>
      <c r="L130" s="2" t="s">
        <v>49</v>
      </c>
      <c r="M130" s="2" t="s">
        <v>73</v>
      </c>
      <c r="N130" t="b">
        <v>1</v>
      </c>
      <c r="O130">
        <v>82</v>
      </c>
      <c r="P130" s="2" t="s">
        <v>50</v>
      </c>
      <c r="Q130">
        <v>4</v>
      </c>
      <c r="R130">
        <v>1</v>
      </c>
      <c r="S130">
        <v>4641</v>
      </c>
      <c r="T130" s="2" t="s">
        <v>51</v>
      </c>
    </row>
    <row r="131" spans="1:20" x14ac:dyDescent="0.3">
      <c r="A131" s="1">
        <v>45334</v>
      </c>
      <c r="B131" s="2" t="s">
        <v>76</v>
      </c>
      <c r="C131" s="2" t="s">
        <v>32</v>
      </c>
      <c r="D131" s="2" t="s">
        <v>46</v>
      </c>
      <c r="E131">
        <v>2760</v>
      </c>
      <c r="F131" t="b">
        <v>0</v>
      </c>
      <c r="G131" s="2" t="s">
        <v>65</v>
      </c>
      <c r="H131" s="2" t="s">
        <v>24</v>
      </c>
      <c r="I131" s="2" t="s">
        <v>42</v>
      </c>
      <c r="J131" s="2" t="s">
        <v>48</v>
      </c>
      <c r="K131">
        <v>2</v>
      </c>
      <c r="L131" s="2" t="s">
        <v>49</v>
      </c>
      <c r="M131" s="2" t="s">
        <v>58</v>
      </c>
      <c r="N131" t="b">
        <v>1</v>
      </c>
      <c r="O131">
        <v>105</v>
      </c>
      <c r="P131" s="2" t="s">
        <v>50</v>
      </c>
      <c r="Q131">
        <v>7</v>
      </c>
      <c r="R131">
        <v>2</v>
      </c>
      <c r="S131">
        <v>1261</v>
      </c>
      <c r="T131" s="2" t="s">
        <v>51</v>
      </c>
    </row>
    <row r="132" spans="1:20" x14ac:dyDescent="0.3">
      <c r="A132" s="1">
        <v>45334</v>
      </c>
      <c r="B132" s="2" t="s">
        <v>55</v>
      </c>
      <c r="C132" s="2" t="s">
        <v>32</v>
      </c>
      <c r="D132" s="2" t="s">
        <v>33</v>
      </c>
      <c r="E132">
        <v>3432</v>
      </c>
      <c r="F132" t="b">
        <v>0</v>
      </c>
      <c r="G132" s="2" t="s">
        <v>34</v>
      </c>
      <c r="H132" s="2" t="s">
        <v>70</v>
      </c>
      <c r="I132" s="2" t="s">
        <v>25</v>
      </c>
      <c r="J132" s="2" t="s">
        <v>48</v>
      </c>
      <c r="K132">
        <v>2</v>
      </c>
      <c r="L132" s="2" t="s">
        <v>49</v>
      </c>
      <c r="M132" s="2" t="s">
        <v>58</v>
      </c>
      <c r="N132" t="b">
        <v>0</v>
      </c>
      <c r="O132">
        <v>78</v>
      </c>
      <c r="P132" s="2" t="s">
        <v>37</v>
      </c>
      <c r="Q132">
        <v>8</v>
      </c>
      <c r="R132">
        <v>2</v>
      </c>
      <c r="S132">
        <v>1523</v>
      </c>
      <c r="T132" s="2" t="s">
        <v>38</v>
      </c>
    </row>
    <row r="133" spans="1:20" x14ac:dyDescent="0.3">
      <c r="A133" s="1">
        <v>45336</v>
      </c>
      <c r="B133" s="2" t="s">
        <v>74</v>
      </c>
      <c r="C133" s="2" t="s">
        <v>56</v>
      </c>
      <c r="D133" s="2" t="s">
        <v>46</v>
      </c>
      <c r="E133">
        <v>1423</v>
      </c>
      <c r="F133" t="b">
        <v>0</v>
      </c>
      <c r="G133" s="2" t="s">
        <v>65</v>
      </c>
      <c r="H133" s="2" t="s">
        <v>41</v>
      </c>
      <c r="I133" s="2" t="s">
        <v>47</v>
      </c>
      <c r="J133" s="2" t="s">
        <v>54</v>
      </c>
      <c r="K133">
        <v>3</v>
      </c>
      <c r="L133" s="2" t="s">
        <v>49</v>
      </c>
      <c r="M133" s="2" t="s">
        <v>66</v>
      </c>
      <c r="N133" t="b">
        <v>1</v>
      </c>
      <c r="O133">
        <v>112</v>
      </c>
      <c r="P133" s="2" t="s">
        <v>50</v>
      </c>
      <c r="Q133">
        <v>3</v>
      </c>
      <c r="R133">
        <v>2</v>
      </c>
      <c r="S133">
        <v>1501</v>
      </c>
      <c r="T133" s="2" t="s">
        <v>51</v>
      </c>
    </row>
    <row r="134" spans="1:20" x14ac:dyDescent="0.3">
      <c r="A134" s="1">
        <v>45336</v>
      </c>
      <c r="B134" s="2" t="s">
        <v>72</v>
      </c>
      <c r="C134" s="2" t="s">
        <v>21</v>
      </c>
      <c r="D134" s="2" t="s">
        <v>53</v>
      </c>
      <c r="E134">
        <v>6873</v>
      </c>
      <c r="F134" t="b">
        <v>1</v>
      </c>
      <c r="G134" s="2" t="s">
        <v>23</v>
      </c>
      <c r="H134" s="2" t="s">
        <v>41</v>
      </c>
      <c r="I134" s="2" t="s">
        <v>47</v>
      </c>
      <c r="J134" s="2" t="s">
        <v>26</v>
      </c>
      <c r="K134">
        <v>0</v>
      </c>
      <c r="L134" s="2" t="s">
        <v>49</v>
      </c>
      <c r="M134" s="2" t="s">
        <v>58</v>
      </c>
      <c r="N134" t="b">
        <v>0</v>
      </c>
      <c r="O134">
        <v>65</v>
      </c>
      <c r="P134" s="2" t="s">
        <v>29</v>
      </c>
      <c r="Q134">
        <v>4</v>
      </c>
      <c r="R134">
        <v>1</v>
      </c>
      <c r="S134">
        <v>1081</v>
      </c>
      <c r="T134" s="2" t="s">
        <v>38</v>
      </c>
    </row>
    <row r="135" spans="1:20" x14ac:dyDescent="0.3">
      <c r="A135" s="1">
        <v>45337</v>
      </c>
      <c r="B135" s="2" t="s">
        <v>75</v>
      </c>
      <c r="C135" s="2" t="s">
        <v>21</v>
      </c>
      <c r="D135" s="2" t="s">
        <v>33</v>
      </c>
      <c r="E135">
        <v>2994</v>
      </c>
      <c r="F135" t="b">
        <v>0</v>
      </c>
      <c r="G135" s="2" t="s">
        <v>23</v>
      </c>
      <c r="H135" s="2" t="s">
        <v>70</v>
      </c>
      <c r="I135" s="2" t="s">
        <v>42</v>
      </c>
      <c r="J135" s="2" t="s">
        <v>43</v>
      </c>
      <c r="K135">
        <v>2</v>
      </c>
      <c r="L135" s="2" t="s">
        <v>49</v>
      </c>
      <c r="M135" s="2" t="s">
        <v>28</v>
      </c>
      <c r="N135" t="b">
        <v>1</v>
      </c>
      <c r="O135">
        <v>19</v>
      </c>
      <c r="P135" s="2" t="s">
        <v>29</v>
      </c>
      <c r="Q135">
        <v>6</v>
      </c>
      <c r="R135">
        <v>2</v>
      </c>
      <c r="S135">
        <v>4427</v>
      </c>
      <c r="T135" s="2" t="s">
        <v>30</v>
      </c>
    </row>
    <row r="136" spans="1:20" x14ac:dyDescent="0.3">
      <c r="A136" s="1">
        <v>45337</v>
      </c>
      <c r="B136" s="2" t="s">
        <v>55</v>
      </c>
      <c r="C136" s="2" t="s">
        <v>60</v>
      </c>
      <c r="D136" s="2" t="s">
        <v>22</v>
      </c>
      <c r="E136">
        <v>6702</v>
      </c>
      <c r="F136" t="b">
        <v>0</v>
      </c>
      <c r="G136" s="2" t="s">
        <v>65</v>
      </c>
      <c r="H136" s="2" t="s">
        <v>70</v>
      </c>
      <c r="I136" s="2" t="s">
        <v>25</v>
      </c>
      <c r="J136" s="2" t="s">
        <v>48</v>
      </c>
      <c r="K136">
        <v>1</v>
      </c>
      <c r="L136" s="2" t="s">
        <v>27</v>
      </c>
      <c r="M136" s="2" t="s">
        <v>66</v>
      </c>
      <c r="N136" t="b">
        <v>1</v>
      </c>
      <c r="O136">
        <v>83</v>
      </c>
      <c r="P136" s="2" t="s">
        <v>37</v>
      </c>
      <c r="Q136">
        <v>9</v>
      </c>
      <c r="R136">
        <v>2</v>
      </c>
      <c r="S136">
        <v>1571</v>
      </c>
      <c r="T136" s="2" t="s">
        <v>38</v>
      </c>
    </row>
    <row r="137" spans="1:20" x14ac:dyDescent="0.3">
      <c r="A137" s="1">
        <v>45337</v>
      </c>
      <c r="B137" s="2" t="s">
        <v>39</v>
      </c>
      <c r="C137" s="2" t="s">
        <v>56</v>
      </c>
      <c r="D137" s="2" t="s">
        <v>57</v>
      </c>
      <c r="E137">
        <v>1000</v>
      </c>
      <c r="F137" t="b">
        <v>1</v>
      </c>
      <c r="G137" s="2" t="s">
        <v>34</v>
      </c>
      <c r="H137" s="2" t="s">
        <v>35</v>
      </c>
      <c r="I137" s="2" t="s">
        <v>59</v>
      </c>
      <c r="J137" s="2" t="s">
        <v>26</v>
      </c>
      <c r="K137">
        <v>5</v>
      </c>
      <c r="L137" s="2" t="s">
        <v>27</v>
      </c>
      <c r="M137" s="2" t="s">
        <v>66</v>
      </c>
      <c r="N137" t="b">
        <v>1</v>
      </c>
      <c r="O137">
        <v>116</v>
      </c>
      <c r="P137" s="2" t="s">
        <v>29</v>
      </c>
      <c r="Q137">
        <v>3</v>
      </c>
      <c r="R137">
        <v>1</v>
      </c>
      <c r="S137">
        <v>3130</v>
      </c>
      <c r="T137" s="2" t="s">
        <v>30</v>
      </c>
    </row>
    <row r="138" spans="1:20" x14ac:dyDescent="0.3">
      <c r="A138" s="1">
        <v>45337</v>
      </c>
      <c r="B138" s="2" t="s">
        <v>77</v>
      </c>
      <c r="C138" s="2" t="s">
        <v>56</v>
      </c>
      <c r="D138" s="2" t="s">
        <v>46</v>
      </c>
      <c r="E138">
        <v>4656</v>
      </c>
      <c r="F138" t="b">
        <v>0</v>
      </c>
      <c r="G138" s="2" t="s">
        <v>64</v>
      </c>
      <c r="H138" s="2" t="s">
        <v>24</v>
      </c>
      <c r="I138" s="2" t="s">
        <v>42</v>
      </c>
      <c r="J138" s="2" t="s">
        <v>54</v>
      </c>
      <c r="K138">
        <v>1</v>
      </c>
      <c r="L138" s="2" t="s">
        <v>36</v>
      </c>
      <c r="M138" s="2" t="s">
        <v>66</v>
      </c>
      <c r="N138" t="b">
        <v>1</v>
      </c>
      <c r="O138">
        <v>52</v>
      </c>
      <c r="P138" s="2" t="s">
        <v>29</v>
      </c>
      <c r="Q138">
        <v>10</v>
      </c>
      <c r="R138">
        <v>2</v>
      </c>
      <c r="S138">
        <v>2793</v>
      </c>
      <c r="T138" s="2" t="s">
        <v>51</v>
      </c>
    </row>
    <row r="139" spans="1:20" x14ac:dyDescent="0.3">
      <c r="A139" s="1">
        <v>45338</v>
      </c>
      <c r="B139" s="2" t="s">
        <v>39</v>
      </c>
      <c r="C139" s="2" t="s">
        <v>60</v>
      </c>
      <c r="D139" s="2" t="s">
        <v>46</v>
      </c>
      <c r="E139">
        <v>3468</v>
      </c>
      <c r="F139" t="b">
        <v>0</v>
      </c>
      <c r="G139" s="2" t="s">
        <v>64</v>
      </c>
      <c r="H139" s="2" t="s">
        <v>41</v>
      </c>
      <c r="I139" s="2" t="s">
        <v>25</v>
      </c>
      <c r="J139" s="2" t="s">
        <v>54</v>
      </c>
      <c r="K139">
        <v>0</v>
      </c>
      <c r="L139" s="2" t="s">
        <v>27</v>
      </c>
      <c r="M139" s="2" t="s">
        <v>73</v>
      </c>
      <c r="N139" t="b">
        <v>1</v>
      </c>
      <c r="O139">
        <v>18</v>
      </c>
      <c r="P139" s="2" t="s">
        <v>50</v>
      </c>
      <c r="Q139">
        <v>6</v>
      </c>
      <c r="R139">
        <v>3</v>
      </c>
      <c r="S139">
        <v>1044</v>
      </c>
      <c r="T139" s="2" t="s">
        <v>38</v>
      </c>
    </row>
    <row r="140" spans="1:20" x14ac:dyDescent="0.3">
      <c r="A140" s="1">
        <v>45338</v>
      </c>
      <c r="B140" s="2" t="s">
        <v>68</v>
      </c>
      <c r="C140" s="2" t="s">
        <v>21</v>
      </c>
      <c r="D140" s="2" t="s">
        <v>53</v>
      </c>
      <c r="E140">
        <v>5304</v>
      </c>
      <c r="F140" t="b">
        <v>0</v>
      </c>
      <c r="G140" s="2" t="s">
        <v>65</v>
      </c>
      <c r="H140" s="2" t="s">
        <v>41</v>
      </c>
      <c r="I140" s="2" t="s">
        <v>59</v>
      </c>
      <c r="J140" s="2" t="s">
        <v>54</v>
      </c>
      <c r="K140">
        <v>2</v>
      </c>
      <c r="L140" s="2" t="s">
        <v>36</v>
      </c>
      <c r="M140" s="2" t="s">
        <v>73</v>
      </c>
      <c r="N140" t="b">
        <v>1</v>
      </c>
      <c r="O140">
        <v>20</v>
      </c>
      <c r="P140" s="2" t="s">
        <v>63</v>
      </c>
      <c r="Q140">
        <v>3</v>
      </c>
      <c r="R140">
        <v>1</v>
      </c>
      <c r="S140">
        <v>976</v>
      </c>
      <c r="T140" s="2" t="s">
        <v>51</v>
      </c>
    </row>
    <row r="141" spans="1:20" x14ac:dyDescent="0.3">
      <c r="A141" s="1">
        <v>45339</v>
      </c>
      <c r="B141" s="2" t="s">
        <v>74</v>
      </c>
      <c r="C141" s="2" t="s">
        <v>60</v>
      </c>
      <c r="D141" s="2" t="s">
        <v>53</v>
      </c>
      <c r="E141">
        <v>5589</v>
      </c>
      <c r="F141" t="b">
        <v>1</v>
      </c>
      <c r="G141" s="2" t="s">
        <v>23</v>
      </c>
      <c r="H141" s="2" t="s">
        <v>41</v>
      </c>
      <c r="I141" s="2" t="s">
        <v>59</v>
      </c>
      <c r="J141" s="2" t="s">
        <v>26</v>
      </c>
      <c r="K141">
        <v>1</v>
      </c>
      <c r="L141" s="2" t="s">
        <v>49</v>
      </c>
      <c r="M141" s="2" t="s">
        <v>73</v>
      </c>
      <c r="N141" t="b">
        <v>1</v>
      </c>
      <c r="O141">
        <v>59</v>
      </c>
      <c r="P141" s="2" t="s">
        <v>67</v>
      </c>
      <c r="Q141">
        <v>8</v>
      </c>
      <c r="R141">
        <v>2</v>
      </c>
      <c r="S141">
        <v>2815</v>
      </c>
      <c r="T141" s="2" t="s">
        <v>51</v>
      </c>
    </row>
    <row r="142" spans="1:20" x14ac:dyDescent="0.3">
      <c r="A142" s="1">
        <v>45339</v>
      </c>
      <c r="B142" s="2" t="s">
        <v>71</v>
      </c>
      <c r="C142" s="2" t="s">
        <v>32</v>
      </c>
      <c r="D142" s="2" t="s">
        <v>33</v>
      </c>
      <c r="E142">
        <v>2233</v>
      </c>
      <c r="F142" t="b">
        <v>0</v>
      </c>
      <c r="G142" s="2" t="s">
        <v>23</v>
      </c>
      <c r="H142" s="2" t="s">
        <v>35</v>
      </c>
      <c r="I142" s="2" t="s">
        <v>25</v>
      </c>
      <c r="J142" s="2" t="s">
        <v>26</v>
      </c>
      <c r="K142">
        <v>1</v>
      </c>
      <c r="L142" s="2" t="s">
        <v>36</v>
      </c>
      <c r="M142" s="2" t="s">
        <v>58</v>
      </c>
      <c r="N142" t="b">
        <v>1</v>
      </c>
      <c r="O142">
        <v>8</v>
      </c>
      <c r="P142" s="2" t="s">
        <v>37</v>
      </c>
      <c r="Q142">
        <v>4</v>
      </c>
      <c r="R142">
        <v>1</v>
      </c>
      <c r="S142">
        <v>3022</v>
      </c>
      <c r="T142" s="2" t="s">
        <v>51</v>
      </c>
    </row>
    <row r="143" spans="1:20" x14ac:dyDescent="0.3">
      <c r="A143" s="1">
        <v>45339</v>
      </c>
      <c r="B143" s="2" t="s">
        <v>75</v>
      </c>
      <c r="C143" s="2" t="s">
        <v>60</v>
      </c>
      <c r="D143" s="2" t="s">
        <v>46</v>
      </c>
      <c r="E143">
        <v>1935</v>
      </c>
      <c r="F143" t="b">
        <v>1</v>
      </c>
      <c r="G143" s="2" t="s">
        <v>34</v>
      </c>
      <c r="H143" s="2" t="s">
        <v>70</v>
      </c>
      <c r="I143" s="2" t="s">
        <v>25</v>
      </c>
      <c r="J143" s="2" t="s">
        <v>43</v>
      </c>
      <c r="K143">
        <v>1</v>
      </c>
      <c r="L143" s="2" t="s">
        <v>49</v>
      </c>
      <c r="M143" s="2" t="s">
        <v>58</v>
      </c>
      <c r="N143" t="b">
        <v>1</v>
      </c>
      <c r="O143">
        <v>84</v>
      </c>
      <c r="P143" s="2" t="s">
        <v>50</v>
      </c>
      <c r="Q143">
        <v>1</v>
      </c>
      <c r="R143">
        <v>1</v>
      </c>
      <c r="S143">
        <v>2642</v>
      </c>
      <c r="T143" s="2" t="s">
        <v>51</v>
      </c>
    </row>
    <row r="144" spans="1:20" x14ac:dyDescent="0.3">
      <c r="A144" s="1">
        <v>45340</v>
      </c>
      <c r="B144" s="2" t="s">
        <v>31</v>
      </c>
      <c r="C144" s="2" t="s">
        <v>32</v>
      </c>
      <c r="D144" s="2" t="s">
        <v>33</v>
      </c>
      <c r="E144">
        <v>1826</v>
      </c>
      <c r="F144" t="b">
        <v>0</v>
      </c>
      <c r="G144" s="2" t="s">
        <v>23</v>
      </c>
      <c r="H144" s="2" t="s">
        <v>24</v>
      </c>
      <c r="I144" s="2" t="s">
        <v>25</v>
      </c>
      <c r="J144" s="2" t="s">
        <v>43</v>
      </c>
      <c r="K144">
        <v>2</v>
      </c>
      <c r="L144" s="2" t="s">
        <v>49</v>
      </c>
      <c r="M144" s="2" t="s">
        <v>28</v>
      </c>
      <c r="N144" t="b">
        <v>0</v>
      </c>
      <c r="O144">
        <v>0</v>
      </c>
      <c r="P144" s="2" t="s">
        <v>50</v>
      </c>
      <c r="Q144">
        <v>10</v>
      </c>
      <c r="R144">
        <v>1</v>
      </c>
      <c r="S144">
        <v>4366</v>
      </c>
      <c r="T144" s="2" t="s">
        <v>38</v>
      </c>
    </row>
    <row r="145" spans="1:20" x14ac:dyDescent="0.3">
      <c r="A145" s="1">
        <v>45340</v>
      </c>
      <c r="B145" s="2" t="s">
        <v>20</v>
      </c>
      <c r="C145" s="2" t="s">
        <v>21</v>
      </c>
      <c r="D145" s="2" t="s">
        <v>57</v>
      </c>
      <c r="E145">
        <v>1000</v>
      </c>
      <c r="F145" t="b">
        <v>0</v>
      </c>
      <c r="G145" s="2" t="s">
        <v>23</v>
      </c>
      <c r="H145" s="2" t="s">
        <v>70</v>
      </c>
      <c r="I145" s="2" t="s">
        <v>47</v>
      </c>
      <c r="J145" s="2" t="s">
        <v>54</v>
      </c>
      <c r="K145">
        <v>3</v>
      </c>
      <c r="L145" s="2" t="s">
        <v>27</v>
      </c>
      <c r="M145" s="2" t="s">
        <v>66</v>
      </c>
      <c r="N145" t="b">
        <v>0</v>
      </c>
      <c r="O145">
        <v>32</v>
      </c>
      <c r="P145" s="2" t="s">
        <v>29</v>
      </c>
      <c r="Q145">
        <v>10</v>
      </c>
      <c r="R145">
        <v>3</v>
      </c>
      <c r="S145">
        <v>3121</v>
      </c>
      <c r="T145" s="2" t="s">
        <v>51</v>
      </c>
    </row>
    <row r="146" spans="1:20" x14ac:dyDescent="0.3">
      <c r="A146" s="1">
        <v>45340</v>
      </c>
      <c r="B146" s="2" t="s">
        <v>74</v>
      </c>
      <c r="C146" s="2" t="s">
        <v>45</v>
      </c>
      <c r="D146" s="2" t="s">
        <v>33</v>
      </c>
      <c r="E146">
        <v>4062</v>
      </c>
      <c r="F146" t="b">
        <v>0</v>
      </c>
      <c r="G146" s="2" t="s">
        <v>34</v>
      </c>
      <c r="H146" s="2" t="s">
        <v>70</v>
      </c>
      <c r="I146" s="2" t="s">
        <v>25</v>
      </c>
      <c r="J146" s="2" t="s">
        <v>26</v>
      </c>
      <c r="K146">
        <v>0</v>
      </c>
      <c r="L146" s="2" t="s">
        <v>36</v>
      </c>
      <c r="M146" s="2" t="s">
        <v>28</v>
      </c>
      <c r="N146" t="b">
        <v>1</v>
      </c>
      <c r="O146">
        <v>4</v>
      </c>
      <c r="P146" s="2" t="s">
        <v>37</v>
      </c>
      <c r="Q146">
        <v>9</v>
      </c>
      <c r="R146">
        <v>3</v>
      </c>
      <c r="S146">
        <v>1085</v>
      </c>
      <c r="T146" s="2" t="s">
        <v>30</v>
      </c>
    </row>
    <row r="147" spans="1:20" x14ac:dyDescent="0.3">
      <c r="A147" s="1">
        <v>45341</v>
      </c>
      <c r="B147" s="2" t="s">
        <v>76</v>
      </c>
      <c r="C147" s="2" t="s">
        <v>45</v>
      </c>
      <c r="D147" s="2" t="s">
        <v>57</v>
      </c>
      <c r="E147">
        <v>1000</v>
      </c>
      <c r="F147" t="b">
        <v>0</v>
      </c>
      <c r="G147" s="2" t="s">
        <v>23</v>
      </c>
      <c r="H147" s="2" t="s">
        <v>35</v>
      </c>
      <c r="I147" s="2" t="s">
        <v>42</v>
      </c>
      <c r="J147" s="2" t="s">
        <v>43</v>
      </c>
      <c r="K147">
        <v>1</v>
      </c>
      <c r="L147" s="2" t="s">
        <v>49</v>
      </c>
      <c r="M147" s="2" t="s">
        <v>28</v>
      </c>
      <c r="N147" t="b">
        <v>0</v>
      </c>
      <c r="O147">
        <v>58</v>
      </c>
      <c r="P147" s="2" t="s">
        <v>29</v>
      </c>
      <c r="Q147">
        <v>9</v>
      </c>
      <c r="R147">
        <v>1</v>
      </c>
      <c r="S147">
        <v>4305</v>
      </c>
      <c r="T147" s="2" t="s">
        <v>38</v>
      </c>
    </row>
    <row r="148" spans="1:20" x14ac:dyDescent="0.3">
      <c r="A148" s="1">
        <v>45341</v>
      </c>
      <c r="B148" s="2" t="s">
        <v>44</v>
      </c>
      <c r="C148" s="2" t="s">
        <v>56</v>
      </c>
      <c r="D148" s="2" t="s">
        <v>53</v>
      </c>
      <c r="E148">
        <v>7318</v>
      </c>
      <c r="F148" t="b">
        <v>0</v>
      </c>
      <c r="G148" s="2" t="s">
        <v>34</v>
      </c>
      <c r="H148" s="2" t="s">
        <v>41</v>
      </c>
      <c r="I148" s="2" t="s">
        <v>25</v>
      </c>
      <c r="J148" s="2" t="s">
        <v>43</v>
      </c>
      <c r="K148">
        <v>2</v>
      </c>
      <c r="L148" s="2" t="s">
        <v>27</v>
      </c>
      <c r="M148" s="2" t="s">
        <v>73</v>
      </c>
      <c r="N148" t="b">
        <v>1</v>
      </c>
      <c r="O148">
        <v>79</v>
      </c>
      <c r="P148" s="2" t="s">
        <v>50</v>
      </c>
      <c r="Q148">
        <v>4</v>
      </c>
      <c r="R148">
        <v>2</v>
      </c>
      <c r="S148">
        <v>4544</v>
      </c>
      <c r="T148" s="2" t="s">
        <v>51</v>
      </c>
    </row>
    <row r="149" spans="1:20" x14ac:dyDescent="0.3">
      <c r="A149" s="1">
        <v>45341</v>
      </c>
      <c r="B149" s="2" t="s">
        <v>55</v>
      </c>
      <c r="C149" s="2" t="s">
        <v>45</v>
      </c>
      <c r="D149" s="2" t="s">
        <v>33</v>
      </c>
      <c r="E149">
        <v>4326</v>
      </c>
      <c r="F149" t="b">
        <v>1</v>
      </c>
      <c r="G149" s="2" t="s">
        <v>40</v>
      </c>
      <c r="H149" s="2" t="s">
        <v>35</v>
      </c>
      <c r="I149" s="2" t="s">
        <v>25</v>
      </c>
      <c r="J149" s="2" t="s">
        <v>43</v>
      </c>
      <c r="K149">
        <v>3</v>
      </c>
      <c r="L149" s="2" t="s">
        <v>36</v>
      </c>
      <c r="M149" s="2" t="s">
        <v>28</v>
      </c>
      <c r="N149" t="b">
        <v>0</v>
      </c>
      <c r="O149">
        <v>33</v>
      </c>
      <c r="P149" s="2" t="s">
        <v>67</v>
      </c>
      <c r="Q149">
        <v>7</v>
      </c>
      <c r="R149">
        <v>2</v>
      </c>
      <c r="S149">
        <v>3347</v>
      </c>
      <c r="T149" s="2" t="s">
        <v>51</v>
      </c>
    </row>
    <row r="150" spans="1:20" x14ac:dyDescent="0.3">
      <c r="A150" s="1">
        <v>45342</v>
      </c>
      <c r="B150" s="2" t="s">
        <v>71</v>
      </c>
      <c r="C150" s="2" t="s">
        <v>60</v>
      </c>
      <c r="D150" s="2" t="s">
        <v>61</v>
      </c>
      <c r="E150">
        <v>1000</v>
      </c>
      <c r="F150" t="b">
        <v>1</v>
      </c>
      <c r="G150" s="2" t="s">
        <v>34</v>
      </c>
      <c r="H150" s="2" t="s">
        <v>35</v>
      </c>
      <c r="I150" s="2" t="s">
        <v>59</v>
      </c>
      <c r="J150" s="2" t="s">
        <v>26</v>
      </c>
      <c r="K150">
        <v>3</v>
      </c>
      <c r="L150" s="2" t="s">
        <v>27</v>
      </c>
      <c r="M150" s="2" t="s">
        <v>73</v>
      </c>
      <c r="N150" t="b">
        <v>0</v>
      </c>
      <c r="O150">
        <v>96</v>
      </c>
      <c r="P150" s="2" t="s">
        <v>29</v>
      </c>
      <c r="Q150">
        <v>8</v>
      </c>
      <c r="R150">
        <v>1</v>
      </c>
      <c r="S150">
        <v>4935</v>
      </c>
      <c r="T150" s="2" t="s">
        <v>30</v>
      </c>
    </row>
    <row r="151" spans="1:20" x14ac:dyDescent="0.3">
      <c r="A151" s="1">
        <v>45342</v>
      </c>
      <c r="B151" s="2" t="s">
        <v>20</v>
      </c>
      <c r="C151" s="2" t="s">
        <v>32</v>
      </c>
      <c r="D151" s="2" t="s">
        <v>53</v>
      </c>
      <c r="E151">
        <v>4662</v>
      </c>
      <c r="F151" t="b">
        <v>0</v>
      </c>
      <c r="G151" s="2" t="s">
        <v>65</v>
      </c>
      <c r="H151" s="2" t="s">
        <v>41</v>
      </c>
      <c r="I151" s="2" t="s">
        <v>59</v>
      </c>
      <c r="J151" s="2" t="s">
        <v>26</v>
      </c>
      <c r="K151">
        <v>5</v>
      </c>
      <c r="L151" s="2" t="s">
        <v>49</v>
      </c>
      <c r="M151" s="2" t="s">
        <v>58</v>
      </c>
      <c r="N151" t="b">
        <v>1</v>
      </c>
      <c r="O151">
        <v>110</v>
      </c>
      <c r="P151" s="2" t="s">
        <v>67</v>
      </c>
      <c r="Q151">
        <v>8</v>
      </c>
      <c r="R151">
        <v>3</v>
      </c>
      <c r="S151">
        <v>1893</v>
      </c>
      <c r="T151" s="2" t="s">
        <v>30</v>
      </c>
    </row>
    <row r="152" spans="1:20" x14ac:dyDescent="0.3">
      <c r="A152" s="1">
        <v>45343</v>
      </c>
      <c r="B152" s="2" t="s">
        <v>75</v>
      </c>
      <c r="C152" s="2" t="s">
        <v>45</v>
      </c>
      <c r="D152" s="2" t="s">
        <v>57</v>
      </c>
      <c r="E152">
        <v>1000</v>
      </c>
      <c r="F152" t="b">
        <v>0</v>
      </c>
      <c r="G152" s="2" t="s">
        <v>34</v>
      </c>
      <c r="H152" s="2" t="s">
        <v>24</v>
      </c>
      <c r="I152" s="2" t="s">
        <v>25</v>
      </c>
      <c r="J152" s="2" t="s">
        <v>54</v>
      </c>
      <c r="K152">
        <v>3</v>
      </c>
      <c r="L152" s="2" t="s">
        <v>27</v>
      </c>
      <c r="M152" s="2" t="s">
        <v>58</v>
      </c>
      <c r="N152" t="b">
        <v>1</v>
      </c>
      <c r="O152">
        <v>22</v>
      </c>
      <c r="P152" s="2" t="s">
        <v>29</v>
      </c>
      <c r="Q152">
        <v>3</v>
      </c>
      <c r="R152">
        <v>2</v>
      </c>
      <c r="S152">
        <v>1719</v>
      </c>
      <c r="T152" s="2" t="s">
        <v>51</v>
      </c>
    </row>
    <row r="153" spans="1:20" x14ac:dyDescent="0.3">
      <c r="A153" s="1">
        <v>45343</v>
      </c>
      <c r="B153" s="2" t="s">
        <v>39</v>
      </c>
      <c r="C153" s="2" t="s">
        <v>21</v>
      </c>
      <c r="D153" s="2" t="s">
        <v>46</v>
      </c>
      <c r="E153">
        <v>2838</v>
      </c>
      <c r="F153" t="b">
        <v>0</v>
      </c>
      <c r="G153" s="2" t="s">
        <v>23</v>
      </c>
      <c r="H153" s="2" t="s">
        <v>70</v>
      </c>
      <c r="I153" s="2" t="s">
        <v>59</v>
      </c>
      <c r="J153" s="2" t="s">
        <v>26</v>
      </c>
      <c r="K153">
        <v>1</v>
      </c>
      <c r="L153" s="2" t="s">
        <v>36</v>
      </c>
      <c r="M153" s="2" t="s">
        <v>58</v>
      </c>
      <c r="N153" t="b">
        <v>0</v>
      </c>
      <c r="O153">
        <v>67</v>
      </c>
      <c r="P153" s="2" t="s">
        <v>67</v>
      </c>
      <c r="Q153">
        <v>5</v>
      </c>
      <c r="R153">
        <v>2</v>
      </c>
      <c r="S153">
        <v>4044</v>
      </c>
      <c r="T153" s="2" t="s">
        <v>51</v>
      </c>
    </row>
    <row r="154" spans="1:20" x14ac:dyDescent="0.3">
      <c r="A154" s="1">
        <v>45343</v>
      </c>
      <c r="B154" s="2" t="s">
        <v>71</v>
      </c>
      <c r="C154" s="2" t="s">
        <v>60</v>
      </c>
      <c r="D154" s="2" t="s">
        <v>33</v>
      </c>
      <c r="E154">
        <v>3642</v>
      </c>
      <c r="F154" t="b">
        <v>0</v>
      </c>
      <c r="G154" s="2" t="s">
        <v>23</v>
      </c>
      <c r="H154" s="2" t="s">
        <v>41</v>
      </c>
      <c r="I154" s="2" t="s">
        <v>59</v>
      </c>
      <c r="J154" s="2" t="s">
        <v>43</v>
      </c>
      <c r="K154">
        <v>4</v>
      </c>
      <c r="L154" s="2" t="s">
        <v>49</v>
      </c>
      <c r="M154" s="2" t="s">
        <v>58</v>
      </c>
      <c r="N154" t="b">
        <v>1</v>
      </c>
      <c r="O154">
        <v>111</v>
      </c>
      <c r="P154" s="2" t="s">
        <v>37</v>
      </c>
      <c r="Q154">
        <v>8</v>
      </c>
      <c r="R154">
        <v>1</v>
      </c>
      <c r="S154">
        <v>503</v>
      </c>
      <c r="T154" s="2" t="s">
        <v>38</v>
      </c>
    </row>
    <row r="155" spans="1:20" x14ac:dyDescent="0.3">
      <c r="A155" s="1">
        <v>45343</v>
      </c>
      <c r="B155" s="2" t="s">
        <v>20</v>
      </c>
      <c r="C155" s="2" t="s">
        <v>32</v>
      </c>
      <c r="D155" s="2" t="s">
        <v>46</v>
      </c>
      <c r="E155">
        <v>4393</v>
      </c>
      <c r="F155" t="b">
        <v>0</v>
      </c>
      <c r="G155" s="2" t="s">
        <v>65</v>
      </c>
      <c r="H155" s="2" t="s">
        <v>41</v>
      </c>
      <c r="I155" s="2" t="s">
        <v>42</v>
      </c>
      <c r="J155" s="2" t="s">
        <v>26</v>
      </c>
      <c r="K155">
        <v>0</v>
      </c>
      <c r="L155" s="2" t="s">
        <v>27</v>
      </c>
      <c r="M155" s="2" t="s">
        <v>73</v>
      </c>
      <c r="N155" t="b">
        <v>1</v>
      </c>
      <c r="O155">
        <v>5</v>
      </c>
      <c r="P155" s="2" t="s">
        <v>29</v>
      </c>
      <c r="Q155">
        <v>5</v>
      </c>
      <c r="R155">
        <v>2</v>
      </c>
      <c r="S155">
        <v>1732</v>
      </c>
      <c r="T155" s="2" t="s">
        <v>38</v>
      </c>
    </row>
    <row r="156" spans="1:20" x14ac:dyDescent="0.3">
      <c r="A156" s="1">
        <v>45343</v>
      </c>
      <c r="B156" s="2" t="s">
        <v>55</v>
      </c>
      <c r="C156" s="2" t="s">
        <v>60</v>
      </c>
      <c r="D156" s="2" t="s">
        <v>33</v>
      </c>
      <c r="E156">
        <v>3157</v>
      </c>
      <c r="F156" t="b">
        <v>1</v>
      </c>
      <c r="G156" s="2" t="s">
        <v>40</v>
      </c>
      <c r="H156" s="2" t="s">
        <v>70</v>
      </c>
      <c r="I156" s="2" t="s">
        <v>47</v>
      </c>
      <c r="J156" s="2" t="s">
        <v>26</v>
      </c>
      <c r="K156">
        <v>2</v>
      </c>
      <c r="L156" s="2" t="s">
        <v>36</v>
      </c>
      <c r="M156" s="2" t="s">
        <v>73</v>
      </c>
      <c r="N156" t="b">
        <v>0</v>
      </c>
      <c r="O156">
        <v>101</v>
      </c>
      <c r="P156" s="2" t="s">
        <v>50</v>
      </c>
      <c r="Q156">
        <v>1</v>
      </c>
      <c r="R156">
        <v>3</v>
      </c>
      <c r="S156">
        <v>2434</v>
      </c>
      <c r="T156" s="2" t="s">
        <v>51</v>
      </c>
    </row>
    <row r="157" spans="1:20" x14ac:dyDescent="0.3">
      <c r="A157" s="1">
        <v>45344</v>
      </c>
      <c r="B157" s="2" t="s">
        <v>55</v>
      </c>
      <c r="C157" s="2" t="s">
        <v>32</v>
      </c>
      <c r="D157" s="2" t="s">
        <v>22</v>
      </c>
      <c r="E157">
        <v>6697</v>
      </c>
      <c r="F157" t="b">
        <v>0</v>
      </c>
      <c r="G157" s="2" t="s">
        <v>23</v>
      </c>
      <c r="H157" s="2" t="s">
        <v>35</v>
      </c>
      <c r="I157" s="2" t="s">
        <v>42</v>
      </c>
      <c r="J157" s="2" t="s">
        <v>26</v>
      </c>
      <c r="K157">
        <v>0</v>
      </c>
      <c r="L157" s="2" t="s">
        <v>36</v>
      </c>
      <c r="M157" s="2" t="s">
        <v>66</v>
      </c>
      <c r="N157" t="b">
        <v>0</v>
      </c>
      <c r="O157">
        <v>34</v>
      </c>
      <c r="P157" s="2" t="s">
        <v>37</v>
      </c>
      <c r="Q157">
        <v>7</v>
      </c>
      <c r="R157">
        <v>1</v>
      </c>
      <c r="S157">
        <v>1813</v>
      </c>
      <c r="T157" s="2" t="s">
        <v>51</v>
      </c>
    </row>
    <row r="158" spans="1:20" x14ac:dyDescent="0.3">
      <c r="A158" s="1">
        <v>45344</v>
      </c>
      <c r="B158" s="2" t="s">
        <v>62</v>
      </c>
      <c r="C158" s="2" t="s">
        <v>56</v>
      </c>
      <c r="D158" s="2" t="s">
        <v>53</v>
      </c>
      <c r="E158">
        <v>7566</v>
      </c>
      <c r="F158" t="b">
        <v>0</v>
      </c>
      <c r="G158" s="2" t="s">
        <v>34</v>
      </c>
      <c r="H158" s="2" t="s">
        <v>35</v>
      </c>
      <c r="I158" s="2" t="s">
        <v>59</v>
      </c>
      <c r="J158" s="2" t="s">
        <v>54</v>
      </c>
      <c r="K158">
        <v>2</v>
      </c>
      <c r="L158" s="2" t="s">
        <v>27</v>
      </c>
      <c r="M158" s="2" t="s">
        <v>28</v>
      </c>
      <c r="N158" t="b">
        <v>0</v>
      </c>
      <c r="O158">
        <v>53</v>
      </c>
      <c r="P158" s="2" t="s">
        <v>63</v>
      </c>
      <c r="Q158">
        <v>6</v>
      </c>
      <c r="R158">
        <v>1</v>
      </c>
      <c r="S158">
        <v>4310</v>
      </c>
      <c r="T158" s="2" t="s">
        <v>30</v>
      </c>
    </row>
    <row r="159" spans="1:20" x14ac:dyDescent="0.3">
      <c r="A159" s="1">
        <v>45344</v>
      </c>
      <c r="B159" s="2" t="s">
        <v>39</v>
      </c>
      <c r="C159" s="2" t="s">
        <v>60</v>
      </c>
      <c r="D159" s="2" t="s">
        <v>53</v>
      </c>
      <c r="E159">
        <v>2724</v>
      </c>
      <c r="F159" t="b">
        <v>0</v>
      </c>
      <c r="G159" s="2" t="s">
        <v>40</v>
      </c>
      <c r="H159" s="2" t="s">
        <v>41</v>
      </c>
      <c r="I159" s="2" t="s">
        <v>25</v>
      </c>
      <c r="J159" s="2" t="s">
        <v>26</v>
      </c>
      <c r="K159">
        <v>3</v>
      </c>
      <c r="L159" s="2" t="s">
        <v>27</v>
      </c>
      <c r="M159" s="2" t="s">
        <v>58</v>
      </c>
      <c r="N159" t="b">
        <v>1</v>
      </c>
      <c r="O159">
        <v>90</v>
      </c>
      <c r="P159" s="2" t="s">
        <v>50</v>
      </c>
      <c r="Q159">
        <v>9</v>
      </c>
      <c r="R159">
        <v>3</v>
      </c>
      <c r="S159">
        <v>3333</v>
      </c>
      <c r="T159" s="2" t="s">
        <v>38</v>
      </c>
    </row>
    <row r="160" spans="1:20" x14ac:dyDescent="0.3">
      <c r="A160" s="1">
        <v>45344</v>
      </c>
      <c r="B160" s="2" t="s">
        <v>44</v>
      </c>
      <c r="C160" s="2" t="s">
        <v>60</v>
      </c>
      <c r="D160" s="2" t="s">
        <v>46</v>
      </c>
      <c r="E160">
        <v>4752</v>
      </c>
      <c r="F160" t="b">
        <v>1</v>
      </c>
      <c r="G160" s="2" t="s">
        <v>64</v>
      </c>
      <c r="H160" s="2" t="s">
        <v>35</v>
      </c>
      <c r="I160" s="2" t="s">
        <v>25</v>
      </c>
      <c r="J160" s="2" t="s">
        <v>26</v>
      </c>
      <c r="K160">
        <v>2</v>
      </c>
      <c r="L160" s="2" t="s">
        <v>27</v>
      </c>
      <c r="M160" s="2" t="s">
        <v>66</v>
      </c>
      <c r="N160" t="b">
        <v>1</v>
      </c>
      <c r="O160">
        <v>29</v>
      </c>
      <c r="P160" s="2" t="s">
        <v>37</v>
      </c>
      <c r="Q160">
        <v>7</v>
      </c>
      <c r="R160">
        <v>3</v>
      </c>
      <c r="S160">
        <v>3093</v>
      </c>
      <c r="T160" s="2" t="s">
        <v>38</v>
      </c>
    </row>
    <row r="161" spans="1:20" x14ac:dyDescent="0.3">
      <c r="A161" s="1">
        <v>45344</v>
      </c>
      <c r="B161" s="2" t="s">
        <v>74</v>
      </c>
      <c r="C161" s="2" t="s">
        <v>21</v>
      </c>
      <c r="D161" s="2" t="s">
        <v>22</v>
      </c>
      <c r="E161">
        <v>7754</v>
      </c>
      <c r="F161" t="b">
        <v>0</v>
      </c>
      <c r="G161" s="2" t="s">
        <v>65</v>
      </c>
      <c r="H161" s="2" t="s">
        <v>35</v>
      </c>
      <c r="I161" s="2" t="s">
        <v>25</v>
      </c>
      <c r="J161" s="2" t="s">
        <v>54</v>
      </c>
      <c r="K161">
        <v>1</v>
      </c>
      <c r="L161" s="2" t="s">
        <v>36</v>
      </c>
      <c r="M161" s="2" t="s">
        <v>73</v>
      </c>
      <c r="N161" t="b">
        <v>0</v>
      </c>
      <c r="O161">
        <v>112</v>
      </c>
      <c r="P161" s="2" t="s">
        <v>63</v>
      </c>
      <c r="Q161">
        <v>9</v>
      </c>
      <c r="R161">
        <v>2</v>
      </c>
      <c r="S161">
        <v>1753</v>
      </c>
      <c r="T161" s="2" t="s">
        <v>51</v>
      </c>
    </row>
    <row r="162" spans="1:20" x14ac:dyDescent="0.3">
      <c r="A162" s="1">
        <v>45345</v>
      </c>
      <c r="B162" s="2" t="s">
        <v>44</v>
      </c>
      <c r="C162" s="2" t="s">
        <v>56</v>
      </c>
      <c r="D162" s="2" t="s">
        <v>57</v>
      </c>
      <c r="E162">
        <v>1000</v>
      </c>
      <c r="F162" t="b">
        <v>0</v>
      </c>
      <c r="G162" s="2" t="s">
        <v>23</v>
      </c>
      <c r="H162" s="2" t="s">
        <v>41</v>
      </c>
      <c r="I162" s="2" t="s">
        <v>59</v>
      </c>
      <c r="J162" s="2" t="s">
        <v>43</v>
      </c>
      <c r="K162">
        <v>4</v>
      </c>
      <c r="L162" s="2" t="s">
        <v>49</v>
      </c>
      <c r="M162" s="2" t="s">
        <v>73</v>
      </c>
      <c r="N162" t="b">
        <v>1</v>
      </c>
      <c r="O162">
        <v>110</v>
      </c>
      <c r="P162" s="2" t="s">
        <v>50</v>
      </c>
      <c r="Q162">
        <v>9</v>
      </c>
      <c r="R162">
        <v>2</v>
      </c>
      <c r="S162">
        <v>2153</v>
      </c>
      <c r="T162" s="2" t="s">
        <v>51</v>
      </c>
    </row>
    <row r="163" spans="1:20" x14ac:dyDescent="0.3">
      <c r="A163" s="1">
        <v>45345</v>
      </c>
      <c r="B163" s="2" t="s">
        <v>62</v>
      </c>
      <c r="C163" s="2" t="s">
        <v>32</v>
      </c>
      <c r="D163" s="2" t="s">
        <v>46</v>
      </c>
      <c r="E163">
        <v>2991</v>
      </c>
      <c r="F163" t="b">
        <v>1</v>
      </c>
      <c r="G163" s="2" t="s">
        <v>40</v>
      </c>
      <c r="H163" s="2" t="s">
        <v>35</v>
      </c>
      <c r="I163" s="2" t="s">
        <v>59</v>
      </c>
      <c r="J163" s="2" t="s">
        <v>54</v>
      </c>
      <c r="K163">
        <v>3</v>
      </c>
      <c r="L163" s="2" t="s">
        <v>36</v>
      </c>
      <c r="M163" s="2" t="s">
        <v>73</v>
      </c>
      <c r="N163" t="b">
        <v>1</v>
      </c>
      <c r="O163">
        <v>61</v>
      </c>
      <c r="P163" s="2" t="s">
        <v>63</v>
      </c>
      <c r="Q163">
        <v>9</v>
      </c>
      <c r="R163">
        <v>1</v>
      </c>
      <c r="S163">
        <v>1621</v>
      </c>
      <c r="T163" s="2" t="s">
        <v>38</v>
      </c>
    </row>
    <row r="164" spans="1:20" x14ac:dyDescent="0.3">
      <c r="A164" s="1">
        <v>45345</v>
      </c>
      <c r="B164" s="2" t="s">
        <v>76</v>
      </c>
      <c r="C164" s="2" t="s">
        <v>32</v>
      </c>
      <c r="D164" s="2" t="s">
        <v>33</v>
      </c>
      <c r="E164">
        <v>4880</v>
      </c>
      <c r="F164" t="b">
        <v>0</v>
      </c>
      <c r="G164" s="2" t="s">
        <v>34</v>
      </c>
      <c r="H164" s="2" t="s">
        <v>70</v>
      </c>
      <c r="I164" s="2" t="s">
        <v>25</v>
      </c>
      <c r="J164" s="2" t="s">
        <v>48</v>
      </c>
      <c r="K164">
        <v>3</v>
      </c>
      <c r="L164" s="2" t="s">
        <v>49</v>
      </c>
      <c r="M164" s="2" t="s">
        <v>28</v>
      </c>
      <c r="N164" t="b">
        <v>1</v>
      </c>
      <c r="O164">
        <v>61</v>
      </c>
      <c r="P164" s="2" t="s">
        <v>29</v>
      </c>
      <c r="Q164">
        <v>7</v>
      </c>
      <c r="R164">
        <v>2</v>
      </c>
      <c r="S164">
        <v>2298</v>
      </c>
      <c r="T164" s="2" t="s">
        <v>30</v>
      </c>
    </row>
    <row r="165" spans="1:20" x14ac:dyDescent="0.3">
      <c r="A165" s="1">
        <v>45345</v>
      </c>
      <c r="B165" s="2" t="s">
        <v>76</v>
      </c>
      <c r="C165" s="2" t="s">
        <v>56</v>
      </c>
      <c r="D165" s="2" t="s">
        <v>57</v>
      </c>
      <c r="E165">
        <v>1000</v>
      </c>
      <c r="F165" t="b">
        <v>1</v>
      </c>
      <c r="G165" s="2" t="s">
        <v>40</v>
      </c>
      <c r="H165" s="2" t="s">
        <v>35</v>
      </c>
      <c r="I165" s="2" t="s">
        <v>47</v>
      </c>
      <c r="J165" s="2" t="s">
        <v>26</v>
      </c>
      <c r="K165">
        <v>3</v>
      </c>
      <c r="L165" s="2" t="s">
        <v>36</v>
      </c>
      <c r="M165" s="2" t="s">
        <v>58</v>
      </c>
      <c r="N165" t="b">
        <v>1</v>
      </c>
      <c r="O165">
        <v>29</v>
      </c>
      <c r="P165" s="2" t="s">
        <v>37</v>
      </c>
      <c r="Q165">
        <v>7</v>
      </c>
      <c r="R165">
        <v>3</v>
      </c>
      <c r="S165">
        <v>1938</v>
      </c>
      <c r="T165" s="2" t="s">
        <v>30</v>
      </c>
    </row>
    <row r="166" spans="1:20" x14ac:dyDescent="0.3">
      <c r="A166" s="1">
        <v>45346</v>
      </c>
      <c r="B166" s="2" t="s">
        <v>62</v>
      </c>
      <c r="C166" s="2" t="s">
        <v>60</v>
      </c>
      <c r="D166" s="2" t="s">
        <v>53</v>
      </c>
      <c r="E166">
        <v>7194</v>
      </c>
      <c r="F166" t="b">
        <v>1</v>
      </c>
      <c r="G166" s="2" t="s">
        <v>34</v>
      </c>
      <c r="H166" s="2" t="s">
        <v>35</v>
      </c>
      <c r="I166" s="2" t="s">
        <v>47</v>
      </c>
      <c r="J166" s="2" t="s">
        <v>54</v>
      </c>
      <c r="K166">
        <v>0</v>
      </c>
      <c r="L166" s="2" t="s">
        <v>27</v>
      </c>
      <c r="M166" s="2" t="s">
        <v>58</v>
      </c>
      <c r="N166" t="b">
        <v>0</v>
      </c>
      <c r="O166">
        <v>111</v>
      </c>
      <c r="P166" s="2" t="s">
        <v>50</v>
      </c>
      <c r="Q166">
        <v>7</v>
      </c>
      <c r="R166">
        <v>1</v>
      </c>
      <c r="S166">
        <v>3255</v>
      </c>
      <c r="T166" s="2" t="s">
        <v>38</v>
      </c>
    </row>
    <row r="167" spans="1:20" x14ac:dyDescent="0.3">
      <c r="A167" s="1">
        <v>45346</v>
      </c>
      <c r="B167" s="2" t="s">
        <v>39</v>
      </c>
      <c r="C167" s="2" t="s">
        <v>60</v>
      </c>
      <c r="D167" s="2" t="s">
        <v>53</v>
      </c>
      <c r="E167">
        <v>2107</v>
      </c>
      <c r="F167" t="b">
        <v>0</v>
      </c>
      <c r="G167" s="2" t="s">
        <v>64</v>
      </c>
      <c r="H167" s="2" t="s">
        <v>24</v>
      </c>
      <c r="I167" s="2" t="s">
        <v>47</v>
      </c>
      <c r="J167" s="2" t="s">
        <v>48</v>
      </c>
      <c r="K167">
        <v>3</v>
      </c>
      <c r="L167" s="2" t="s">
        <v>49</v>
      </c>
      <c r="M167" s="2" t="s">
        <v>28</v>
      </c>
      <c r="N167" t="b">
        <v>0</v>
      </c>
      <c r="O167">
        <v>96</v>
      </c>
      <c r="P167" s="2" t="s">
        <v>29</v>
      </c>
      <c r="Q167">
        <v>10</v>
      </c>
      <c r="R167">
        <v>1</v>
      </c>
      <c r="S167">
        <v>3712</v>
      </c>
      <c r="T167" s="2" t="s">
        <v>30</v>
      </c>
    </row>
    <row r="168" spans="1:20" x14ac:dyDescent="0.3">
      <c r="A168" s="1">
        <v>45347</v>
      </c>
      <c r="B168" s="2" t="s">
        <v>52</v>
      </c>
      <c r="C168" s="2" t="s">
        <v>32</v>
      </c>
      <c r="D168" s="2" t="s">
        <v>57</v>
      </c>
      <c r="E168">
        <v>1000</v>
      </c>
      <c r="F168" t="b">
        <v>0</v>
      </c>
      <c r="G168" s="2" t="s">
        <v>34</v>
      </c>
      <c r="H168" s="2" t="s">
        <v>24</v>
      </c>
      <c r="I168" s="2" t="s">
        <v>42</v>
      </c>
      <c r="J168" s="2" t="s">
        <v>26</v>
      </c>
      <c r="K168">
        <v>2</v>
      </c>
      <c r="L168" s="2" t="s">
        <v>49</v>
      </c>
      <c r="M168" s="2" t="s">
        <v>66</v>
      </c>
      <c r="N168" t="b">
        <v>0</v>
      </c>
      <c r="O168">
        <v>18</v>
      </c>
      <c r="P168" s="2" t="s">
        <v>63</v>
      </c>
      <c r="Q168">
        <v>6</v>
      </c>
      <c r="R168">
        <v>3</v>
      </c>
      <c r="S168">
        <v>4787</v>
      </c>
      <c r="T168" s="2" t="s">
        <v>51</v>
      </c>
    </row>
    <row r="169" spans="1:20" x14ac:dyDescent="0.3">
      <c r="A169" s="1">
        <v>45347</v>
      </c>
      <c r="B169" s="2" t="s">
        <v>39</v>
      </c>
      <c r="C169" s="2" t="s">
        <v>21</v>
      </c>
      <c r="D169" s="2" t="s">
        <v>33</v>
      </c>
      <c r="E169">
        <v>1991</v>
      </c>
      <c r="F169" t="b">
        <v>0</v>
      </c>
      <c r="G169" s="2" t="s">
        <v>40</v>
      </c>
      <c r="H169" s="2" t="s">
        <v>70</v>
      </c>
      <c r="I169" s="2" t="s">
        <v>47</v>
      </c>
      <c r="J169" s="2" t="s">
        <v>26</v>
      </c>
      <c r="K169">
        <v>0</v>
      </c>
      <c r="L169" s="2" t="s">
        <v>49</v>
      </c>
      <c r="M169" s="2" t="s">
        <v>73</v>
      </c>
      <c r="N169" t="b">
        <v>0</v>
      </c>
      <c r="O169">
        <v>87</v>
      </c>
      <c r="P169" s="2" t="s">
        <v>29</v>
      </c>
      <c r="Q169">
        <v>9</v>
      </c>
      <c r="R169">
        <v>3</v>
      </c>
      <c r="S169">
        <v>629</v>
      </c>
      <c r="T169" s="2" t="s">
        <v>38</v>
      </c>
    </row>
    <row r="170" spans="1:20" x14ac:dyDescent="0.3">
      <c r="A170" s="1">
        <v>45348</v>
      </c>
      <c r="B170" s="2" t="s">
        <v>62</v>
      </c>
      <c r="C170" s="2" t="s">
        <v>60</v>
      </c>
      <c r="D170" s="2" t="s">
        <v>61</v>
      </c>
      <c r="E170">
        <v>1000</v>
      </c>
      <c r="F170" t="b">
        <v>0</v>
      </c>
      <c r="G170" s="2" t="s">
        <v>34</v>
      </c>
      <c r="H170" s="2" t="s">
        <v>24</v>
      </c>
      <c r="I170" s="2" t="s">
        <v>59</v>
      </c>
      <c r="J170" s="2" t="s">
        <v>26</v>
      </c>
      <c r="K170">
        <v>2</v>
      </c>
      <c r="L170" s="2" t="s">
        <v>36</v>
      </c>
      <c r="M170" s="2" t="s">
        <v>73</v>
      </c>
      <c r="N170" t="b">
        <v>0</v>
      </c>
      <c r="O170">
        <v>95</v>
      </c>
      <c r="P170" s="2" t="s">
        <v>37</v>
      </c>
      <c r="Q170">
        <v>4</v>
      </c>
      <c r="R170">
        <v>1</v>
      </c>
      <c r="S170">
        <v>1997</v>
      </c>
      <c r="T170" s="2" t="s">
        <v>38</v>
      </c>
    </row>
    <row r="171" spans="1:20" x14ac:dyDescent="0.3">
      <c r="A171" s="1">
        <v>45348</v>
      </c>
      <c r="B171" s="2" t="s">
        <v>76</v>
      </c>
      <c r="C171" s="2" t="s">
        <v>45</v>
      </c>
      <c r="D171" s="2" t="s">
        <v>57</v>
      </c>
      <c r="E171">
        <v>1000</v>
      </c>
      <c r="F171" t="b">
        <v>1</v>
      </c>
      <c r="G171" s="2" t="s">
        <v>65</v>
      </c>
      <c r="H171" s="2" t="s">
        <v>35</v>
      </c>
      <c r="I171" s="2" t="s">
        <v>42</v>
      </c>
      <c r="J171" s="2" t="s">
        <v>54</v>
      </c>
      <c r="K171">
        <v>2</v>
      </c>
      <c r="L171" s="2" t="s">
        <v>49</v>
      </c>
      <c r="M171" s="2" t="s">
        <v>66</v>
      </c>
      <c r="N171" t="b">
        <v>1</v>
      </c>
      <c r="O171">
        <v>106</v>
      </c>
      <c r="P171" s="2" t="s">
        <v>50</v>
      </c>
      <c r="Q171">
        <v>2</v>
      </c>
      <c r="R171">
        <v>1</v>
      </c>
      <c r="S171">
        <v>2223</v>
      </c>
      <c r="T171" s="2" t="s">
        <v>38</v>
      </c>
    </row>
    <row r="172" spans="1:20" x14ac:dyDescent="0.3">
      <c r="A172" s="1">
        <v>45348</v>
      </c>
      <c r="B172" s="2" t="s">
        <v>39</v>
      </c>
      <c r="C172" s="2" t="s">
        <v>32</v>
      </c>
      <c r="D172" s="2" t="s">
        <v>33</v>
      </c>
      <c r="E172">
        <v>3924</v>
      </c>
      <c r="F172" t="b">
        <v>1</v>
      </c>
      <c r="G172" s="2" t="s">
        <v>23</v>
      </c>
      <c r="H172" s="2" t="s">
        <v>70</v>
      </c>
      <c r="I172" s="2" t="s">
        <v>59</v>
      </c>
      <c r="J172" s="2" t="s">
        <v>43</v>
      </c>
      <c r="K172">
        <v>5</v>
      </c>
      <c r="L172" s="2" t="s">
        <v>27</v>
      </c>
      <c r="M172" s="2" t="s">
        <v>28</v>
      </c>
      <c r="N172" t="b">
        <v>0</v>
      </c>
      <c r="O172">
        <v>61</v>
      </c>
      <c r="P172" s="2" t="s">
        <v>67</v>
      </c>
      <c r="Q172">
        <v>2</v>
      </c>
      <c r="R172">
        <v>2</v>
      </c>
      <c r="S172">
        <v>1984</v>
      </c>
      <c r="T172" s="2" t="s">
        <v>38</v>
      </c>
    </row>
    <row r="173" spans="1:20" x14ac:dyDescent="0.3">
      <c r="A173" s="1">
        <v>45349</v>
      </c>
      <c r="B173" s="2" t="s">
        <v>44</v>
      </c>
      <c r="C173" s="2" t="s">
        <v>45</v>
      </c>
      <c r="D173" s="2" t="s">
        <v>57</v>
      </c>
      <c r="E173">
        <v>1000</v>
      </c>
      <c r="F173" t="b">
        <v>0</v>
      </c>
      <c r="G173" s="2" t="s">
        <v>64</v>
      </c>
      <c r="H173" s="2" t="s">
        <v>70</v>
      </c>
      <c r="I173" s="2" t="s">
        <v>42</v>
      </c>
      <c r="J173" s="2" t="s">
        <v>48</v>
      </c>
      <c r="K173">
        <v>0</v>
      </c>
      <c r="L173" s="2" t="s">
        <v>49</v>
      </c>
      <c r="M173" s="2" t="s">
        <v>66</v>
      </c>
      <c r="N173" t="b">
        <v>1</v>
      </c>
      <c r="O173">
        <v>114</v>
      </c>
      <c r="P173" s="2" t="s">
        <v>50</v>
      </c>
      <c r="Q173">
        <v>7</v>
      </c>
      <c r="R173">
        <v>1</v>
      </c>
      <c r="S173">
        <v>4217</v>
      </c>
      <c r="T173" s="2" t="s">
        <v>30</v>
      </c>
    </row>
    <row r="174" spans="1:20" x14ac:dyDescent="0.3">
      <c r="A174" s="1">
        <v>45349</v>
      </c>
      <c r="B174" s="2" t="s">
        <v>55</v>
      </c>
      <c r="C174" s="2" t="s">
        <v>60</v>
      </c>
      <c r="D174" s="2" t="s">
        <v>46</v>
      </c>
      <c r="E174">
        <v>2113</v>
      </c>
      <c r="F174" t="b">
        <v>1</v>
      </c>
      <c r="G174" s="2" t="s">
        <v>40</v>
      </c>
      <c r="H174" s="2" t="s">
        <v>35</v>
      </c>
      <c r="I174" s="2" t="s">
        <v>47</v>
      </c>
      <c r="J174" s="2" t="s">
        <v>26</v>
      </c>
      <c r="K174">
        <v>3</v>
      </c>
      <c r="L174" s="2" t="s">
        <v>36</v>
      </c>
      <c r="M174" s="2" t="s">
        <v>28</v>
      </c>
      <c r="N174" t="b">
        <v>1</v>
      </c>
      <c r="O174">
        <v>106</v>
      </c>
      <c r="P174" s="2" t="s">
        <v>37</v>
      </c>
      <c r="Q174">
        <v>4</v>
      </c>
      <c r="R174">
        <v>1</v>
      </c>
      <c r="S174">
        <v>1283</v>
      </c>
      <c r="T174" s="2" t="s">
        <v>30</v>
      </c>
    </row>
    <row r="175" spans="1:20" x14ac:dyDescent="0.3">
      <c r="A175" s="1">
        <v>45350</v>
      </c>
      <c r="B175" s="2" t="s">
        <v>52</v>
      </c>
      <c r="C175" s="2" t="s">
        <v>45</v>
      </c>
      <c r="D175" s="2" t="s">
        <v>53</v>
      </c>
      <c r="E175">
        <v>6020</v>
      </c>
      <c r="F175" t="b">
        <v>0</v>
      </c>
      <c r="G175" s="2" t="s">
        <v>23</v>
      </c>
      <c r="H175" s="2" t="s">
        <v>24</v>
      </c>
      <c r="I175" s="2" t="s">
        <v>42</v>
      </c>
      <c r="J175" s="2" t="s">
        <v>54</v>
      </c>
      <c r="K175">
        <v>2</v>
      </c>
      <c r="L175" s="2" t="s">
        <v>49</v>
      </c>
      <c r="M175" s="2" t="s">
        <v>28</v>
      </c>
      <c r="N175" t="b">
        <v>0</v>
      </c>
      <c r="O175">
        <v>77</v>
      </c>
      <c r="P175" s="2" t="s">
        <v>37</v>
      </c>
      <c r="Q175">
        <v>4</v>
      </c>
      <c r="R175">
        <v>3</v>
      </c>
      <c r="S175">
        <v>1489</v>
      </c>
      <c r="T175" s="2" t="s">
        <v>51</v>
      </c>
    </row>
    <row r="176" spans="1:20" x14ac:dyDescent="0.3">
      <c r="A176" s="1">
        <v>45350</v>
      </c>
      <c r="B176" s="2" t="s">
        <v>52</v>
      </c>
      <c r="C176" s="2" t="s">
        <v>56</v>
      </c>
      <c r="D176" s="2" t="s">
        <v>57</v>
      </c>
      <c r="E176">
        <v>1000</v>
      </c>
      <c r="F176" t="b">
        <v>0</v>
      </c>
      <c r="G176" s="2" t="s">
        <v>65</v>
      </c>
      <c r="H176" s="2" t="s">
        <v>35</v>
      </c>
      <c r="I176" s="2" t="s">
        <v>47</v>
      </c>
      <c r="J176" s="2" t="s">
        <v>26</v>
      </c>
      <c r="K176">
        <v>3</v>
      </c>
      <c r="L176" s="2" t="s">
        <v>27</v>
      </c>
      <c r="M176" s="2" t="s">
        <v>28</v>
      </c>
      <c r="N176" t="b">
        <v>1</v>
      </c>
      <c r="O176">
        <v>78</v>
      </c>
      <c r="P176" s="2" t="s">
        <v>67</v>
      </c>
      <c r="Q176">
        <v>7</v>
      </c>
      <c r="R176">
        <v>3</v>
      </c>
      <c r="S176">
        <v>723</v>
      </c>
      <c r="T176" s="2" t="s">
        <v>51</v>
      </c>
    </row>
    <row r="177" spans="1:20" x14ac:dyDescent="0.3">
      <c r="A177" s="1">
        <v>45350</v>
      </c>
      <c r="B177" s="2" t="s">
        <v>31</v>
      </c>
      <c r="C177" s="2" t="s">
        <v>56</v>
      </c>
      <c r="D177" s="2" t="s">
        <v>57</v>
      </c>
      <c r="E177">
        <v>1000</v>
      </c>
      <c r="F177" t="b">
        <v>1</v>
      </c>
      <c r="G177" s="2" t="s">
        <v>65</v>
      </c>
      <c r="H177" s="2" t="s">
        <v>41</v>
      </c>
      <c r="I177" s="2" t="s">
        <v>47</v>
      </c>
      <c r="J177" s="2" t="s">
        <v>54</v>
      </c>
      <c r="K177">
        <v>3</v>
      </c>
      <c r="L177" s="2" t="s">
        <v>49</v>
      </c>
      <c r="M177" s="2" t="s">
        <v>28</v>
      </c>
      <c r="N177" t="b">
        <v>0</v>
      </c>
      <c r="O177">
        <v>91</v>
      </c>
      <c r="P177" s="2" t="s">
        <v>63</v>
      </c>
      <c r="Q177">
        <v>9</v>
      </c>
      <c r="R177">
        <v>3</v>
      </c>
      <c r="S177">
        <v>593</v>
      </c>
      <c r="T177" s="2" t="s">
        <v>51</v>
      </c>
    </row>
    <row r="178" spans="1:20" x14ac:dyDescent="0.3">
      <c r="A178" s="1">
        <v>45352</v>
      </c>
      <c r="B178" s="2" t="s">
        <v>44</v>
      </c>
      <c r="C178" s="2" t="s">
        <v>45</v>
      </c>
      <c r="D178" s="2" t="s">
        <v>57</v>
      </c>
      <c r="E178">
        <v>1000</v>
      </c>
      <c r="F178" t="b">
        <v>0</v>
      </c>
      <c r="G178" s="2" t="s">
        <v>23</v>
      </c>
      <c r="H178" s="2" t="s">
        <v>70</v>
      </c>
      <c r="I178" s="2" t="s">
        <v>25</v>
      </c>
      <c r="J178" s="2" t="s">
        <v>54</v>
      </c>
      <c r="K178">
        <v>3</v>
      </c>
      <c r="L178" s="2" t="s">
        <v>27</v>
      </c>
      <c r="M178" s="2" t="s">
        <v>28</v>
      </c>
      <c r="N178" t="b">
        <v>1</v>
      </c>
      <c r="O178">
        <v>78</v>
      </c>
      <c r="P178" s="2" t="s">
        <v>29</v>
      </c>
      <c r="Q178">
        <v>5</v>
      </c>
      <c r="R178">
        <v>1</v>
      </c>
      <c r="S178">
        <v>1154</v>
      </c>
      <c r="T178" s="2" t="s">
        <v>51</v>
      </c>
    </row>
    <row r="179" spans="1:20" x14ac:dyDescent="0.3">
      <c r="A179" s="1">
        <v>45352</v>
      </c>
      <c r="B179" s="2" t="s">
        <v>68</v>
      </c>
      <c r="C179" s="2" t="s">
        <v>21</v>
      </c>
      <c r="D179" s="2" t="s">
        <v>46</v>
      </c>
      <c r="E179">
        <v>2370</v>
      </c>
      <c r="F179" t="b">
        <v>0</v>
      </c>
      <c r="G179" s="2" t="s">
        <v>65</v>
      </c>
      <c r="H179" s="2" t="s">
        <v>35</v>
      </c>
      <c r="I179" s="2" t="s">
        <v>42</v>
      </c>
      <c r="J179" s="2" t="s">
        <v>26</v>
      </c>
      <c r="K179">
        <v>0</v>
      </c>
      <c r="L179" s="2" t="s">
        <v>49</v>
      </c>
      <c r="M179" s="2" t="s">
        <v>66</v>
      </c>
      <c r="N179" t="b">
        <v>1</v>
      </c>
      <c r="O179">
        <v>60</v>
      </c>
      <c r="P179" s="2" t="s">
        <v>37</v>
      </c>
      <c r="Q179">
        <v>7</v>
      </c>
      <c r="R179">
        <v>1</v>
      </c>
      <c r="S179">
        <v>3860</v>
      </c>
      <c r="T179" s="2" t="s">
        <v>30</v>
      </c>
    </row>
    <row r="180" spans="1:20" x14ac:dyDescent="0.3">
      <c r="A180" s="1">
        <v>45353</v>
      </c>
      <c r="B180" s="2" t="s">
        <v>75</v>
      </c>
      <c r="C180" s="2" t="s">
        <v>21</v>
      </c>
      <c r="D180" s="2" t="s">
        <v>33</v>
      </c>
      <c r="E180">
        <v>4558</v>
      </c>
      <c r="F180" t="b">
        <v>0</v>
      </c>
      <c r="G180" s="2" t="s">
        <v>40</v>
      </c>
      <c r="H180" s="2" t="s">
        <v>24</v>
      </c>
      <c r="I180" s="2" t="s">
        <v>25</v>
      </c>
      <c r="J180" s="2" t="s">
        <v>26</v>
      </c>
      <c r="K180">
        <v>0</v>
      </c>
      <c r="L180" s="2" t="s">
        <v>27</v>
      </c>
      <c r="M180" s="2" t="s">
        <v>73</v>
      </c>
      <c r="N180" t="b">
        <v>0</v>
      </c>
      <c r="O180">
        <v>20</v>
      </c>
      <c r="P180" s="2" t="s">
        <v>37</v>
      </c>
      <c r="Q180">
        <v>2</v>
      </c>
      <c r="R180">
        <v>3</v>
      </c>
      <c r="S180">
        <v>4513</v>
      </c>
      <c r="T180" s="2" t="s">
        <v>38</v>
      </c>
    </row>
    <row r="181" spans="1:20" x14ac:dyDescent="0.3">
      <c r="A181" s="1">
        <v>45354</v>
      </c>
      <c r="B181" s="2" t="s">
        <v>39</v>
      </c>
      <c r="C181" s="2" t="s">
        <v>56</v>
      </c>
      <c r="D181" s="2" t="s">
        <v>57</v>
      </c>
      <c r="E181">
        <v>1000</v>
      </c>
      <c r="F181" t="b">
        <v>0</v>
      </c>
      <c r="G181" s="2" t="s">
        <v>40</v>
      </c>
      <c r="H181" s="2" t="s">
        <v>70</v>
      </c>
      <c r="I181" s="2" t="s">
        <v>59</v>
      </c>
      <c r="J181" s="2" t="s">
        <v>54</v>
      </c>
      <c r="K181">
        <v>4</v>
      </c>
      <c r="L181" s="2" t="s">
        <v>36</v>
      </c>
      <c r="M181" s="2" t="s">
        <v>28</v>
      </c>
      <c r="N181" t="b">
        <v>1</v>
      </c>
      <c r="O181">
        <v>14</v>
      </c>
      <c r="P181" s="2" t="s">
        <v>63</v>
      </c>
      <c r="Q181">
        <v>7</v>
      </c>
      <c r="R181">
        <v>3</v>
      </c>
      <c r="S181">
        <v>4730</v>
      </c>
      <c r="T181" s="2" t="s">
        <v>38</v>
      </c>
    </row>
    <row r="182" spans="1:20" x14ac:dyDescent="0.3">
      <c r="A182" s="1">
        <v>45354</v>
      </c>
      <c r="B182" s="2" t="s">
        <v>72</v>
      </c>
      <c r="C182" s="2" t="s">
        <v>32</v>
      </c>
      <c r="D182" s="2" t="s">
        <v>46</v>
      </c>
      <c r="E182">
        <v>3940</v>
      </c>
      <c r="F182" t="b">
        <v>1</v>
      </c>
      <c r="G182" s="2" t="s">
        <v>65</v>
      </c>
      <c r="H182" s="2" t="s">
        <v>35</v>
      </c>
      <c r="I182" s="2" t="s">
        <v>59</v>
      </c>
      <c r="J182" s="2" t="s">
        <v>26</v>
      </c>
      <c r="K182">
        <v>5</v>
      </c>
      <c r="L182" s="2" t="s">
        <v>27</v>
      </c>
      <c r="M182" s="2" t="s">
        <v>58</v>
      </c>
      <c r="N182" t="b">
        <v>1</v>
      </c>
      <c r="O182">
        <v>119</v>
      </c>
      <c r="P182" s="2" t="s">
        <v>67</v>
      </c>
      <c r="Q182">
        <v>1</v>
      </c>
      <c r="R182">
        <v>3</v>
      </c>
      <c r="S182">
        <v>2264</v>
      </c>
      <c r="T182" s="2" t="s">
        <v>38</v>
      </c>
    </row>
    <row r="183" spans="1:20" x14ac:dyDescent="0.3">
      <c r="A183" s="1">
        <v>45355</v>
      </c>
      <c r="B183" s="2" t="s">
        <v>71</v>
      </c>
      <c r="C183" s="2" t="s">
        <v>21</v>
      </c>
      <c r="D183" s="2" t="s">
        <v>22</v>
      </c>
      <c r="E183">
        <v>6423</v>
      </c>
      <c r="F183" t="b">
        <v>1</v>
      </c>
      <c r="G183" s="2" t="s">
        <v>34</v>
      </c>
      <c r="H183" s="2" t="s">
        <v>41</v>
      </c>
      <c r="I183" s="2" t="s">
        <v>42</v>
      </c>
      <c r="J183" s="2" t="s">
        <v>43</v>
      </c>
      <c r="K183">
        <v>5</v>
      </c>
      <c r="L183" s="2" t="s">
        <v>27</v>
      </c>
      <c r="M183" s="2" t="s">
        <v>73</v>
      </c>
      <c r="N183" t="b">
        <v>0</v>
      </c>
      <c r="O183">
        <v>103</v>
      </c>
      <c r="P183" s="2" t="s">
        <v>63</v>
      </c>
      <c r="Q183">
        <v>8</v>
      </c>
      <c r="R183">
        <v>3</v>
      </c>
      <c r="S183">
        <v>2274</v>
      </c>
      <c r="T183" s="2" t="s">
        <v>51</v>
      </c>
    </row>
    <row r="184" spans="1:20" x14ac:dyDescent="0.3">
      <c r="A184" s="1">
        <v>45355</v>
      </c>
      <c r="B184" s="2" t="s">
        <v>20</v>
      </c>
      <c r="C184" s="2" t="s">
        <v>56</v>
      </c>
      <c r="D184" s="2" t="s">
        <v>53</v>
      </c>
      <c r="E184">
        <v>6400</v>
      </c>
      <c r="F184" t="b">
        <v>0</v>
      </c>
      <c r="G184" s="2" t="s">
        <v>40</v>
      </c>
      <c r="H184" s="2" t="s">
        <v>70</v>
      </c>
      <c r="I184" s="2" t="s">
        <v>42</v>
      </c>
      <c r="J184" s="2" t="s">
        <v>54</v>
      </c>
      <c r="K184">
        <v>3</v>
      </c>
      <c r="L184" s="2" t="s">
        <v>49</v>
      </c>
      <c r="M184" s="2" t="s">
        <v>28</v>
      </c>
      <c r="N184" t="b">
        <v>1</v>
      </c>
      <c r="O184">
        <v>3</v>
      </c>
      <c r="P184" s="2" t="s">
        <v>50</v>
      </c>
      <c r="Q184">
        <v>9</v>
      </c>
      <c r="R184">
        <v>2</v>
      </c>
      <c r="S184">
        <v>4011</v>
      </c>
      <c r="T184" s="2" t="s">
        <v>51</v>
      </c>
    </row>
    <row r="185" spans="1:20" x14ac:dyDescent="0.3">
      <c r="A185" s="1">
        <v>45356</v>
      </c>
      <c r="B185" s="2" t="s">
        <v>68</v>
      </c>
      <c r="C185" s="2" t="s">
        <v>45</v>
      </c>
      <c r="D185" s="2" t="s">
        <v>22</v>
      </c>
      <c r="E185">
        <v>7583</v>
      </c>
      <c r="F185" t="b">
        <v>0</v>
      </c>
      <c r="G185" s="2" t="s">
        <v>65</v>
      </c>
      <c r="H185" s="2" t="s">
        <v>24</v>
      </c>
      <c r="I185" s="2" t="s">
        <v>59</v>
      </c>
      <c r="J185" s="2" t="s">
        <v>26</v>
      </c>
      <c r="K185">
        <v>3</v>
      </c>
      <c r="L185" s="2" t="s">
        <v>36</v>
      </c>
      <c r="M185" s="2" t="s">
        <v>28</v>
      </c>
      <c r="N185" t="b">
        <v>0</v>
      </c>
      <c r="O185">
        <v>16</v>
      </c>
      <c r="P185" s="2" t="s">
        <v>67</v>
      </c>
      <c r="Q185">
        <v>5</v>
      </c>
      <c r="R185">
        <v>2</v>
      </c>
      <c r="S185">
        <v>3499</v>
      </c>
      <c r="T185" s="2" t="s">
        <v>30</v>
      </c>
    </row>
    <row r="186" spans="1:20" x14ac:dyDescent="0.3">
      <c r="A186" s="1">
        <v>45356</v>
      </c>
      <c r="B186" s="2" t="s">
        <v>62</v>
      </c>
      <c r="C186" s="2" t="s">
        <v>45</v>
      </c>
      <c r="D186" s="2" t="s">
        <v>53</v>
      </c>
      <c r="E186">
        <v>5732</v>
      </c>
      <c r="F186" t="b">
        <v>0</v>
      </c>
      <c r="G186" s="2" t="s">
        <v>40</v>
      </c>
      <c r="H186" s="2" t="s">
        <v>24</v>
      </c>
      <c r="I186" s="2" t="s">
        <v>25</v>
      </c>
      <c r="J186" s="2" t="s">
        <v>43</v>
      </c>
      <c r="K186">
        <v>4</v>
      </c>
      <c r="L186" s="2" t="s">
        <v>49</v>
      </c>
      <c r="M186" s="2" t="s">
        <v>28</v>
      </c>
      <c r="N186" t="b">
        <v>1</v>
      </c>
      <c r="O186">
        <v>102</v>
      </c>
      <c r="P186" s="2" t="s">
        <v>63</v>
      </c>
      <c r="Q186">
        <v>6</v>
      </c>
      <c r="R186">
        <v>3</v>
      </c>
      <c r="S186">
        <v>1800</v>
      </c>
      <c r="T186" s="2" t="s">
        <v>30</v>
      </c>
    </row>
    <row r="187" spans="1:20" x14ac:dyDescent="0.3">
      <c r="A187" s="1">
        <v>45357</v>
      </c>
      <c r="B187" s="2" t="s">
        <v>77</v>
      </c>
      <c r="C187" s="2" t="s">
        <v>32</v>
      </c>
      <c r="D187" s="2" t="s">
        <v>57</v>
      </c>
      <c r="E187">
        <v>1000</v>
      </c>
      <c r="F187" t="b">
        <v>1</v>
      </c>
      <c r="G187" s="2" t="s">
        <v>40</v>
      </c>
      <c r="H187" s="2" t="s">
        <v>24</v>
      </c>
      <c r="I187" s="2" t="s">
        <v>59</v>
      </c>
      <c r="J187" s="2" t="s">
        <v>26</v>
      </c>
      <c r="K187">
        <v>2</v>
      </c>
      <c r="L187" s="2" t="s">
        <v>27</v>
      </c>
      <c r="M187" s="2" t="s">
        <v>58</v>
      </c>
      <c r="N187" t="b">
        <v>1</v>
      </c>
      <c r="O187">
        <v>102</v>
      </c>
      <c r="P187" s="2" t="s">
        <v>50</v>
      </c>
      <c r="Q187">
        <v>9</v>
      </c>
      <c r="R187">
        <v>2</v>
      </c>
      <c r="S187">
        <v>3047</v>
      </c>
      <c r="T187" s="2" t="s">
        <v>51</v>
      </c>
    </row>
    <row r="188" spans="1:20" x14ac:dyDescent="0.3">
      <c r="A188" s="1">
        <v>45357</v>
      </c>
      <c r="B188" s="2" t="s">
        <v>39</v>
      </c>
      <c r="C188" s="2" t="s">
        <v>56</v>
      </c>
      <c r="D188" s="2" t="s">
        <v>46</v>
      </c>
      <c r="E188">
        <v>1013</v>
      </c>
      <c r="F188" t="b">
        <v>1</v>
      </c>
      <c r="G188" s="2" t="s">
        <v>65</v>
      </c>
      <c r="H188" s="2" t="s">
        <v>70</v>
      </c>
      <c r="I188" s="2" t="s">
        <v>47</v>
      </c>
      <c r="J188" s="2" t="s">
        <v>48</v>
      </c>
      <c r="K188">
        <v>5</v>
      </c>
      <c r="L188" s="2" t="s">
        <v>36</v>
      </c>
      <c r="M188" s="2" t="s">
        <v>66</v>
      </c>
      <c r="N188" t="b">
        <v>1</v>
      </c>
      <c r="O188">
        <v>104</v>
      </c>
      <c r="P188" s="2" t="s">
        <v>50</v>
      </c>
      <c r="Q188">
        <v>7</v>
      </c>
      <c r="R188">
        <v>2</v>
      </c>
      <c r="S188">
        <v>4303</v>
      </c>
      <c r="T188" s="2" t="s">
        <v>38</v>
      </c>
    </row>
    <row r="189" spans="1:20" x14ac:dyDescent="0.3">
      <c r="A189" s="1">
        <v>45357</v>
      </c>
      <c r="B189" s="2" t="s">
        <v>69</v>
      </c>
      <c r="C189" s="2" t="s">
        <v>56</v>
      </c>
      <c r="D189" s="2" t="s">
        <v>46</v>
      </c>
      <c r="E189">
        <v>4849</v>
      </c>
      <c r="F189" t="b">
        <v>1</v>
      </c>
      <c r="G189" s="2" t="s">
        <v>64</v>
      </c>
      <c r="H189" s="2" t="s">
        <v>70</v>
      </c>
      <c r="I189" s="2" t="s">
        <v>42</v>
      </c>
      <c r="J189" s="2" t="s">
        <v>26</v>
      </c>
      <c r="K189">
        <v>3</v>
      </c>
      <c r="L189" s="2" t="s">
        <v>49</v>
      </c>
      <c r="M189" s="2" t="s">
        <v>28</v>
      </c>
      <c r="N189" t="b">
        <v>0</v>
      </c>
      <c r="O189">
        <v>22</v>
      </c>
      <c r="P189" s="2" t="s">
        <v>37</v>
      </c>
      <c r="Q189">
        <v>6</v>
      </c>
      <c r="R189">
        <v>2</v>
      </c>
      <c r="S189">
        <v>3840</v>
      </c>
      <c r="T189" s="2" t="s">
        <v>51</v>
      </c>
    </row>
    <row r="190" spans="1:20" x14ac:dyDescent="0.3">
      <c r="A190" s="1">
        <v>45358</v>
      </c>
      <c r="B190" s="2" t="s">
        <v>77</v>
      </c>
      <c r="C190" s="2" t="s">
        <v>21</v>
      </c>
      <c r="D190" s="2" t="s">
        <v>22</v>
      </c>
      <c r="E190">
        <v>6605</v>
      </c>
      <c r="F190" t="b">
        <v>1</v>
      </c>
      <c r="G190" s="2" t="s">
        <v>34</v>
      </c>
      <c r="H190" s="2" t="s">
        <v>35</v>
      </c>
      <c r="I190" s="2" t="s">
        <v>42</v>
      </c>
      <c r="J190" s="2" t="s">
        <v>43</v>
      </c>
      <c r="K190">
        <v>0</v>
      </c>
      <c r="L190" s="2" t="s">
        <v>49</v>
      </c>
      <c r="M190" s="2" t="s">
        <v>73</v>
      </c>
      <c r="N190" t="b">
        <v>1</v>
      </c>
      <c r="O190">
        <v>101</v>
      </c>
      <c r="P190" s="2" t="s">
        <v>67</v>
      </c>
      <c r="Q190">
        <v>2</v>
      </c>
      <c r="R190">
        <v>1</v>
      </c>
      <c r="S190">
        <v>2580</v>
      </c>
      <c r="T190" s="2" t="s">
        <v>30</v>
      </c>
    </row>
    <row r="191" spans="1:20" x14ac:dyDescent="0.3">
      <c r="A191" s="1">
        <v>45358</v>
      </c>
      <c r="B191" s="2" t="s">
        <v>39</v>
      </c>
      <c r="C191" s="2" t="s">
        <v>45</v>
      </c>
      <c r="D191" s="2" t="s">
        <v>57</v>
      </c>
      <c r="E191">
        <v>1000</v>
      </c>
      <c r="F191" t="b">
        <v>1</v>
      </c>
      <c r="G191" s="2" t="s">
        <v>65</v>
      </c>
      <c r="H191" s="2" t="s">
        <v>70</v>
      </c>
      <c r="I191" s="2" t="s">
        <v>47</v>
      </c>
      <c r="J191" s="2" t="s">
        <v>54</v>
      </c>
      <c r="K191">
        <v>3</v>
      </c>
      <c r="L191" s="2" t="s">
        <v>49</v>
      </c>
      <c r="M191" s="2" t="s">
        <v>28</v>
      </c>
      <c r="N191" t="b">
        <v>0</v>
      </c>
      <c r="O191">
        <v>24</v>
      </c>
      <c r="P191" s="2" t="s">
        <v>50</v>
      </c>
      <c r="Q191">
        <v>1</v>
      </c>
      <c r="R191">
        <v>1</v>
      </c>
      <c r="S191">
        <v>1220</v>
      </c>
      <c r="T191" s="2" t="s">
        <v>30</v>
      </c>
    </row>
    <row r="192" spans="1:20" x14ac:dyDescent="0.3">
      <c r="A192" s="1">
        <v>45359</v>
      </c>
      <c r="B192" s="2" t="s">
        <v>52</v>
      </c>
      <c r="C192" s="2" t="s">
        <v>60</v>
      </c>
      <c r="D192" s="2" t="s">
        <v>22</v>
      </c>
      <c r="E192">
        <v>9524</v>
      </c>
      <c r="F192" t="b">
        <v>0</v>
      </c>
      <c r="G192" s="2" t="s">
        <v>23</v>
      </c>
      <c r="H192" s="2" t="s">
        <v>41</v>
      </c>
      <c r="I192" s="2" t="s">
        <v>25</v>
      </c>
      <c r="J192" s="2" t="s">
        <v>43</v>
      </c>
      <c r="K192">
        <v>3</v>
      </c>
      <c r="L192" s="2" t="s">
        <v>27</v>
      </c>
      <c r="M192" s="2" t="s">
        <v>28</v>
      </c>
      <c r="N192" t="b">
        <v>1</v>
      </c>
      <c r="O192">
        <v>93</v>
      </c>
      <c r="P192" s="2" t="s">
        <v>63</v>
      </c>
      <c r="Q192">
        <v>10</v>
      </c>
      <c r="R192">
        <v>2</v>
      </c>
      <c r="S192">
        <v>4906</v>
      </c>
      <c r="T192" s="2" t="s">
        <v>51</v>
      </c>
    </row>
    <row r="193" spans="1:20" x14ac:dyDescent="0.3">
      <c r="A193" s="1">
        <v>45359</v>
      </c>
      <c r="B193" s="2" t="s">
        <v>44</v>
      </c>
      <c r="C193" s="2" t="s">
        <v>21</v>
      </c>
      <c r="D193" s="2" t="s">
        <v>53</v>
      </c>
      <c r="E193">
        <v>3425</v>
      </c>
      <c r="F193" t="b">
        <v>1</v>
      </c>
      <c r="G193" s="2" t="s">
        <v>40</v>
      </c>
      <c r="H193" s="2" t="s">
        <v>41</v>
      </c>
      <c r="I193" s="2" t="s">
        <v>42</v>
      </c>
      <c r="J193" s="2" t="s">
        <v>43</v>
      </c>
      <c r="K193">
        <v>0</v>
      </c>
      <c r="L193" s="2" t="s">
        <v>49</v>
      </c>
      <c r="M193" s="2" t="s">
        <v>58</v>
      </c>
      <c r="N193" t="b">
        <v>1</v>
      </c>
      <c r="O193">
        <v>32</v>
      </c>
      <c r="P193" s="2" t="s">
        <v>63</v>
      </c>
      <c r="Q193">
        <v>6</v>
      </c>
      <c r="R193">
        <v>3</v>
      </c>
      <c r="S193">
        <v>1664</v>
      </c>
      <c r="T193" s="2" t="s">
        <v>51</v>
      </c>
    </row>
    <row r="194" spans="1:20" x14ac:dyDescent="0.3">
      <c r="A194" s="1">
        <v>45359</v>
      </c>
      <c r="B194" s="2" t="s">
        <v>39</v>
      </c>
      <c r="C194" s="2" t="s">
        <v>56</v>
      </c>
      <c r="D194" s="2" t="s">
        <v>33</v>
      </c>
      <c r="E194">
        <v>4050</v>
      </c>
      <c r="F194" t="b">
        <v>0</v>
      </c>
      <c r="G194" s="2" t="s">
        <v>23</v>
      </c>
      <c r="H194" s="2" t="s">
        <v>24</v>
      </c>
      <c r="I194" s="2" t="s">
        <v>47</v>
      </c>
      <c r="J194" s="2" t="s">
        <v>54</v>
      </c>
      <c r="K194">
        <v>1</v>
      </c>
      <c r="L194" s="2" t="s">
        <v>49</v>
      </c>
      <c r="M194" s="2" t="s">
        <v>66</v>
      </c>
      <c r="N194" t="b">
        <v>0</v>
      </c>
      <c r="O194">
        <v>42</v>
      </c>
      <c r="P194" s="2" t="s">
        <v>29</v>
      </c>
      <c r="Q194">
        <v>9</v>
      </c>
      <c r="R194">
        <v>2</v>
      </c>
      <c r="S194">
        <v>1206</v>
      </c>
      <c r="T194" s="2" t="s">
        <v>51</v>
      </c>
    </row>
    <row r="195" spans="1:20" x14ac:dyDescent="0.3">
      <c r="A195" s="1">
        <v>45361</v>
      </c>
      <c r="B195" s="2" t="s">
        <v>68</v>
      </c>
      <c r="C195" s="2" t="s">
        <v>21</v>
      </c>
      <c r="D195" s="2" t="s">
        <v>22</v>
      </c>
      <c r="E195">
        <v>9543</v>
      </c>
      <c r="F195" t="b">
        <v>1</v>
      </c>
      <c r="G195" s="2" t="s">
        <v>65</v>
      </c>
      <c r="H195" s="2" t="s">
        <v>35</v>
      </c>
      <c r="I195" s="2" t="s">
        <v>25</v>
      </c>
      <c r="J195" s="2" t="s">
        <v>43</v>
      </c>
      <c r="K195">
        <v>4</v>
      </c>
      <c r="L195" s="2" t="s">
        <v>36</v>
      </c>
      <c r="M195" s="2" t="s">
        <v>58</v>
      </c>
      <c r="N195" t="b">
        <v>1</v>
      </c>
      <c r="O195">
        <v>96</v>
      </c>
      <c r="P195" s="2" t="s">
        <v>29</v>
      </c>
      <c r="Q195">
        <v>6</v>
      </c>
      <c r="R195">
        <v>3</v>
      </c>
      <c r="S195">
        <v>3807</v>
      </c>
      <c r="T195" s="2" t="s">
        <v>51</v>
      </c>
    </row>
    <row r="196" spans="1:20" x14ac:dyDescent="0.3">
      <c r="A196" s="1">
        <v>45362</v>
      </c>
      <c r="B196" s="2" t="s">
        <v>77</v>
      </c>
      <c r="C196" s="2" t="s">
        <v>32</v>
      </c>
      <c r="D196" s="2" t="s">
        <v>57</v>
      </c>
      <c r="E196">
        <v>1000</v>
      </c>
      <c r="F196" t="b">
        <v>1</v>
      </c>
      <c r="G196" s="2" t="s">
        <v>34</v>
      </c>
      <c r="H196" s="2" t="s">
        <v>24</v>
      </c>
      <c r="I196" s="2" t="s">
        <v>47</v>
      </c>
      <c r="J196" s="2" t="s">
        <v>26</v>
      </c>
      <c r="K196">
        <v>2</v>
      </c>
      <c r="L196" s="2" t="s">
        <v>36</v>
      </c>
      <c r="M196" s="2" t="s">
        <v>28</v>
      </c>
      <c r="N196" t="b">
        <v>0</v>
      </c>
      <c r="O196">
        <v>39</v>
      </c>
      <c r="P196" s="2" t="s">
        <v>50</v>
      </c>
      <c r="Q196">
        <v>3</v>
      </c>
      <c r="R196">
        <v>3</v>
      </c>
      <c r="S196">
        <v>2362</v>
      </c>
      <c r="T196" s="2" t="s">
        <v>38</v>
      </c>
    </row>
    <row r="197" spans="1:20" x14ac:dyDescent="0.3">
      <c r="A197" s="1">
        <v>45362</v>
      </c>
      <c r="B197" s="2" t="s">
        <v>55</v>
      </c>
      <c r="C197" s="2" t="s">
        <v>56</v>
      </c>
      <c r="D197" s="2" t="s">
        <v>57</v>
      </c>
      <c r="E197">
        <v>1000</v>
      </c>
      <c r="F197" t="b">
        <v>0</v>
      </c>
      <c r="G197" s="2" t="s">
        <v>34</v>
      </c>
      <c r="H197" s="2" t="s">
        <v>41</v>
      </c>
      <c r="I197" s="2" t="s">
        <v>25</v>
      </c>
      <c r="J197" s="2" t="s">
        <v>43</v>
      </c>
      <c r="K197">
        <v>0</v>
      </c>
      <c r="L197" s="2" t="s">
        <v>36</v>
      </c>
      <c r="M197" s="2" t="s">
        <v>73</v>
      </c>
      <c r="N197" t="b">
        <v>1</v>
      </c>
      <c r="O197">
        <v>34</v>
      </c>
      <c r="P197" s="2" t="s">
        <v>29</v>
      </c>
      <c r="Q197">
        <v>1</v>
      </c>
      <c r="R197">
        <v>1</v>
      </c>
      <c r="S197">
        <v>850</v>
      </c>
      <c r="T197" s="2" t="s">
        <v>51</v>
      </c>
    </row>
    <row r="198" spans="1:20" x14ac:dyDescent="0.3">
      <c r="A198" s="1">
        <v>45362</v>
      </c>
      <c r="B198" s="2" t="s">
        <v>76</v>
      </c>
      <c r="C198" s="2" t="s">
        <v>60</v>
      </c>
      <c r="D198" s="2" t="s">
        <v>61</v>
      </c>
      <c r="E198">
        <v>1000</v>
      </c>
      <c r="F198" t="b">
        <v>0</v>
      </c>
      <c r="G198" s="2" t="s">
        <v>40</v>
      </c>
      <c r="H198" s="2" t="s">
        <v>35</v>
      </c>
      <c r="I198" s="2" t="s">
        <v>42</v>
      </c>
      <c r="J198" s="2" t="s">
        <v>48</v>
      </c>
      <c r="K198">
        <v>1</v>
      </c>
      <c r="L198" s="2" t="s">
        <v>49</v>
      </c>
      <c r="M198" s="2" t="s">
        <v>28</v>
      </c>
      <c r="N198" t="b">
        <v>0</v>
      </c>
      <c r="O198">
        <v>10</v>
      </c>
      <c r="P198" s="2" t="s">
        <v>50</v>
      </c>
      <c r="Q198">
        <v>9</v>
      </c>
      <c r="R198">
        <v>1</v>
      </c>
      <c r="S198">
        <v>2655</v>
      </c>
      <c r="T198" s="2" t="s">
        <v>30</v>
      </c>
    </row>
    <row r="199" spans="1:20" x14ac:dyDescent="0.3">
      <c r="A199" s="1">
        <v>45362</v>
      </c>
      <c r="B199" s="2" t="s">
        <v>39</v>
      </c>
      <c r="C199" s="2" t="s">
        <v>21</v>
      </c>
      <c r="D199" s="2" t="s">
        <v>33</v>
      </c>
      <c r="E199">
        <v>8170</v>
      </c>
      <c r="F199" t="b">
        <v>1</v>
      </c>
      <c r="G199" s="2" t="s">
        <v>23</v>
      </c>
      <c r="H199" s="2" t="s">
        <v>35</v>
      </c>
      <c r="I199" s="2" t="s">
        <v>59</v>
      </c>
      <c r="J199" s="2" t="s">
        <v>54</v>
      </c>
      <c r="K199">
        <v>3</v>
      </c>
      <c r="L199" s="2" t="s">
        <v>49</v>
      </c>
      <c r="M199" s="2" t="s">
        <v>28</v>
      </c>
      <c r="N199" t="b">
        <v>1</v>
      </c>
      <c r="O199">
        <v>46</v>
      </c>
      <c r="P199" s="2" t="s">
        <v>29</v>
      </c>
      <c r="Q199">
        <v>2</v>
      </c>
      <c r="R199">
        <v>3</v>
      </c>
      <c r="S199">
        <v>1893</v>
      </c>
      <c r="T199" s="2" t="s">
        <v>38</v>
      </c>
    </row>
    <row r="200" spans="1:20" x14ac:dyDescent="0.3">
      <c r="A200" s="1">
        <v>45362</v>
      </c>
      <c r="B200" s="2" t="s">
        <v>71</v>
      </c>
      <c r="C200" s="2" t="s">
        <v>45</v>
      </c>
      <c r="D200" s="2" t="s">
        <v>53</v>
      </c>
      <c r="E200">
        <v>20565</v>
      </c>
      <c r="F200" t="b">
        <v>0</v>
      </c>
      <c r="G200" s="2" t="s">
        <v>40</v>
      </c>
      <c r="H200" s="2" t="s">
        <v>24</v>
      </c>
      <c r="I200" s="2" t="s">
        <v>59</v>
      </c>
      <c r="J200" s="2" t="s">
        <v>48</v>
      </c>
      <c r="K200">
        <v>2</v>
      </c>
      <c r="L200" s="2" t="s">
        <v>27</v>
      </c>
      <c r="M200" s="2" t="s">
        <v>66</v>
      </c>
      <c r="N200" t="b">
        <v>1</v>
      </c>
      <c r="O200">
        <v>17</v>
      </c>
      <c r="P200" s="2" t="s">
        <v>37</v>
      </c>
      <c r="Q200">
        <v>2</v>
      </c>
      <c r="R200">
        <v>3</v>
      </c>
      <c r="S200">
        <v>1311</v>
      </c>
      <c r="T200" s="2" t="s">
        <v>30</v>
      </c>
    </row>
    <row r="201" spans="1:20" x14ac:dyDescent="0.3">
      <c r="A201" s="1">
        <v>45364</v>
      </c>
      <c r="B201" s="2" t="s">
        <v>77</v>
      </c>
      <c r="C201" s="2" t="s">
        <v>60</v>
      </c>
      <c r="D201" s="2" t="s">
        <v>61</v>
      </c>
      <c r="E201">
        <v>1000</v>
      </c>
      <c r="F201" t="b">
        <v>1</v>
      </c>
      <c r="G201" s="2" t="s">
        <v>64</v>
      </c>
      <c r="H201" s="2" t="s">
        <v>35</v>
      </c>
      <c r="I201" s="2" t="s">
        <v>25</v>
      </c>
      <c r="J201" s="2" t="s">
        <v>43</v>
      </c>
      <c r="K201">
        <v>2</v>
      </c>
      <c r="L201" s="2" t="s">
        <v>36</v>
      </c>
      <c r="M201" s="2" t="s">
        <v>28</v>
      </c>
      <c r="N201" t="b">
        <v>0</v>
      </c>
      <c r="O201">
        <v>29</v>
      </c>
      <c r="P201" s="2" t="s">
        <v>50</v>
      </c>
      <c r="Q201">
        <v>2</v>
      </c>
      <c r="R201">
        <v>1</v>
      </c>
      <c r="S201">
        <v>3358</v>
      </c>
      <c r="T201" s="2" t="s">
        <v>38</v>
      </c>
    </row>
    <row r="202" spans="1:20" x14ac:dyDescent="0.3">
      <c r="A202" s="1">
        <v>45364</v>
      </c>
      <c r="B202" s="2" t="s">
        <v>31</v>
      </c>
      <c r="C202" s="2" t="s">
        <v>21</v>
      </c>
      <c r="D202" s="2" t="s">
        <v>57</v>
      </c>
      <c r="E202">
        <v>1000</v>
      </c>
      <c r="F202" t="b">
        <v>0</v>
      </c>
      <c r="G202" s="2" t="s">
        <v>23</v>
      </c>
      <c r="H202" s="2" t="s">
        <v>24</v>
      </c>
      <c r="I202" s="2" t="s">
        <v>42</v>
      </c>
      <c r="J202" s="2" t="s">
        <v>54</v>
      </c>
      <c r="K202">
        <v>5</v>
      </c>
      <c r="L202" s="2" t="s">
        <v>36</v>
      </c>
      <c r="M202" s="2" t="s">
        <v>73</v>
      </c>
      <c r="N202" t="b">
        <v>1</v>
      </c>
      <c r="O202">
        <v>19</v>
      </c>
      <c r="P202" s="2" t="s">
        <v>50</v>
      </c>
      <c r="Q202">
        <v>2</v>
      </c>
      <c r="R202">
        <v>1</v>
      </c>
      <c r="S202">
        <v>1062</v>
      </c>
      <c r="T202" s="2" t="s">
        <v>38</v>
      </c>
    </row>
    <row r="203" spans="1:20" x14ac:dyDescent="0.3">
      <c r="A203" s="1">
        <v>45364</v>
      </c>
      <c r="B203" s="2" t="s">
        <v>20</v>
      </c>
      <c r="C203" s="2" t="s">
        <v>45</v>
      </c>
      <c r="D203" s="2" t="s">
        <v>57</v>
      </c>
      <c r="E203">
        <v>1000</v>
      </c>
      <c r="F203" t="b">
        <v>0</v>
      </c>
      <c r="G203" s="2" t="s">
        <v>23</v>
      </c>
      <c r="H203" s="2" t="s">
        <v>70</v>
      </c>
      <c r="I203" s="2" t="s">
        <v>42</v>
      </c>
      <c r="J203" s="2" t="s">
        <v>54</v>
      </c>
      <c r="K203">
        <v>0</v>
      </c>
      <c r="L203" s="2" t="s">
        <v>27</v>
      </c>
      <c r="M203" s="2" t="s">
        <v>28</v>
      </c>
      <c r="N203" t="b">
        <v>1</v>
      </c>
      <c r="O203">
        <v>9</v>
      </c>
      <c r="P203" s="2" t="s">
        <v>50</v>
      </c>
      <c r="Q203">
        <v>3</v>
      </c>
      <c r="R203">
        <v>1</v>
      </c>
      <c r="S203">
        <v>3908</v>
      </c>
      <c r="T203" s="2" t="s">
        <v>30</v>
      </c>
    </row>
    <row r="204" spans="1:20" x14ac:dyDescent="0.3">
      <c r="A204" s="1">
        <v>45365</v>
      </c>
      <c r="B204" s="2" t="s">
        <v>31</v>
      </c>
      <c r="C204" s="2" t="s">
        <v>21</v>
      </c>
      <c r="D204" s="2" t="s">
        <v>22</v>
      </c>
      <c r="E204">
        <v>8928</v>
      </c>
      <c r="F204" t="b">
        <v>1</v>
      </c>
      <c r="G204" s="2" t="s">
        <v>40</v>
      </c>
      <c r="H204" s="2" t="s">
        <v>24</v>
      </c>
      <c r="I204" s="2" t="s">
        <v>42</v>
      </c>
      <c r="J204" s="2" t="s">
        <v>43</v>
      </c>
      <c r="K204">
        <v>3</v>
      </c>
      <c r="L204" s="2" t="s">
        <v>49</v>
      </c>
      <c r="M204" s="2" t="s">
        <v>66</v>
      </c>
      <c r="N204" t="b">
        <v>0</v>
      </c>
      <c r="O204">
        <v>1</v>
      </c>
      <c r="P204" s="2" t="s">
        <v>29</v>
      </c>
      <c r="Q204">
        <v>6</v>
      </c>
      <c r="R204">
        <v>3</v>
      </c>
      <c r="S204">
        <v>3045</v>
      </c>
      <c r="T204" s="2" t="s">
        <v>51</v>
      </c>
    </row>
    <row r="205" spans="1:20" x14ac:dyDescent="0.3">
      <c r="A205" s="1">
        <v>45365</v>
      </c>
      <c r="B205" s="2" t="s">
        <v>69</v>
      </c>
      <c r="C205" s="2" t="s">
        <v>60</v>
      </c>
      <c r="D205" s="2" t="s">
        <v>22</v>
      </c>
      <c r="E205">
        <v>7190</v>
      </c>
      <c r="F205" t="b">
        <v>0</v>
      </c>
      <c r="G205" s="2" t="s">
        <v>34</v>
      </c>
      <c r="H205" s="2" t="s">
        <v>41</v>
      </c>
      <c r="I205" s="2" t="s">
        <v>59</v>
      </c>
      <c r="J205" s="2" t="s">
        <v>48</v>
      </c>
      <c r="K205">
        <v>4</v>
      </c>
      <c r="L205" s="2" t="s">
        <v>27</v>
      </c>
      <c r="M205" s="2" t="s">
        <v>73</v>
      </c>
      <c r="N205" t="b">
        <v>0</v>
      </c>
      <c r="O205">
        <v>23</v>
      </c>
      <c r="P205" s="2" t="s">
        <v>67</v>
      </c>
      <c r="Q205">
        <v>1</v>
      </c>
      <c r="R205">
        <v>2</v>
      </c>
      <c r="S205">
        <v>4779</v>
      </c>
      <c r="T205" s="2" t="s">
        <v>51</v>
      </c>
    </row>
    <row r="206" spans="1:20" x14ac:dyDescent="0.3">
      <c r="A206" s="1">
        <v>45366</v>
      </c>
      <c r="B206" s="2" t="s">
        <v>77</v>
      </c>
      <c r="C206" s="2" t="s">
        <v>32</v>
      </c>
      <c r="D206" s="2" t="s">
        <v>22</v>
      </c>
      <c r="E206">
        <v>9455</v>
      </c>
      <c r="F206" t="b">
        <v>0</v>
      </c>
      <c r="G206" s="2" t="s">
        <v>40</v>
      </c>
      <c r="H206" s="2" t="s">
        <v>35</v>
      </c>
      <c r="I206" s="2" t="s">
        <v>47</v>
      </c>
      <c r="J206" s="2" t="s">
        <v>26</v>
      </c>
      <c r="K206">
        <v>2</v>
      </c>
      <c r="L206" s="2" t="s">
        <v>49</v>
      </c>
      <c r="M206" s="2" t="s">
        <v>66</v>
      </c>
      <c r="N206" t="b">
        <v>1</v>
      </c>
      <c r="O206">
        <v>94</v>
      </c>
      <c r="P206" s="2" t="s">
        <v>37</v>
      </c>
      <c r="Q206">
        <v>9</v>
      </c>
      <c r="R206">
        <v>1</v>
      </c>
      <c r="S206">
        <v>1414</v>
      </c>
      <c r="T206" s="2" t="s">
        <v>51</v>
      </c>
    </row>
    <row r="207" spans="1:20" x14ac:dyDescent="0.3">
      <c r="A207" s="1">
        <v>45366</v>
      </c>
      <c r="B207" s="2" t="s">
        <v>52</v>
      </c>
      <c r="C207" s="2" t="s">
        <v>32</v>
      </c>
      <c r="D207" s="2" t="s">
        <v>53</v>
      </c>
      <c r="E207">
        <v>6200</v>
      </c>
      <c r="F207" t="b">
        <v>0</v>
      </c>
      <c r="G207" s="2" t="s">
        <v>34</v>
      </c>
      <c r="H207" s="2" t="s">
        <v>24</v>
      </c>
      <c r="I207" s="2" t="s">
        <v>25</v>
      </c>
      <c r="J207" s="2" t="s">
        <v>48</v>
      </c>
      <c r="K207">
        <v>3</v>
      </c>
      <c r="L207" s="2" t="s">
        <v>49</v>
      </c>
      <c r="M207" s="2" t="s">
        <v>28</v>
      </c>
      <c r="N207" t="b">
        <v>1</v>
      </c>
      <c r="O207">
        <v>47</v>
      </c>
      <c r="P207" s="2" t="s">
        <v>29</v>
      </c>
      <c r="Q207">
        <v>5</v>
      </c>
      <c r="R207">
        <v>3</v>
      </c>
      <c r="S207">
        <v>2006</v>
      </c>
      <c r="T207" s="2" t="s">
        <v>38</v>
      </c>
    </row>
    <row r="208" spans="1:20" x14ac:dyDescent="0.3">
      <c r="A208" s="1">
        <v>45367</v>
      </c>
      <c r="B208" s="2" t="s">
        <v>77</v>
      </c>
      <c r="C208" s="2" t="s">
        <v>45</v>
      </c>
      <c r="D208" s="2" t="s">
        <v>53</v>
      </c>
      <c r="E208">
        <v>3649</v>
      </c>
      <c r="F208" t="b">
        <v>0</v>
      </c>
      <c r="G208" s="2" t="s">
        <v>40</v>
      </c>
      <c r="H208" s="2" t="s">
        <v>24</v>
      </c>
      <c r="I208" s="2" t="s">
        <v>59</v>
      </c>
      <c r="J208" s="2" t="s">
        <v>48</v>
      </c>
      <c r="K208">
        <v>5</v>
      </c>
      <c r="L208" s="2" t="s">
        <v>27</v>
      </c>
      <c r="M208" s="2" t="s">
        <v>66</v>
      </c>
      <c r="N208" t="b">
        <v>1</v>
      </c>
      <c r="O208">
        <v>114</v>
      </c>
      <c r="P208" s="2" t="s">
        <v>50</v>
      </c>
      <c r="Q208">
        <v>10</v>
      </c>
      <c r="R208">
        <v>2</v>
      </c>
      <c r="S208">
        <v>4559</v>
      </c>
      <c r="T208" s="2" t="s">
        <v>38</v>
      </c>
    </row>
    <row r="209" spans="1:20" x14ac:dyDescent="0.3">
      <c r="A209" s="1">
        <v>45367</v>
      </c>
      <c r="B209" s="2" t="s">
        <v>55</v>
      </c>
      <c r="C209" s="2" t="s">
        <v>56</v>
      </c>
      <c r="D209" s="2" t="s">
        <v>33</v>
      </c>
      <c r="E209">
        <v>2656</v>
      </c>
      <c r="F209" t="b">
        <v>1</v>
      </c>
      <c r="G209" s="2" t="s">
        <v>65</v>
      </c>
      <c r="H209" s="2" t="s">
        <v>41</v>
      </c>
      <c r="I209" s="2" t="s">
        <v>47</v>
      </c>
      <c r="J209" s="2" t="s">
        <v>48</v>
      </c>
      <c r="K209">
        <v>5</v>
      </c>
      <c r="L209" s="2" t="s">
        <v>27</v>
      </c>
      <c r="M209" s="2" t="s">
        <v>73</v>
      </c>
      <c r="N209" t="b">
        <v>1</v>
      </c>
      <c r="O209">
        <v>107</v>
      </c>
      <c r="P209" s="2" t="s">
        <v>29</v>
      </c>
      <c r="Q209">
        <v>9</v>
      </c>
      <c r="R209">
        <v>1</v>
      </c>
      <c r="S209">
        <v>2052</v>
      </c>
      <c r="T209" s="2" t="s">
        <v>51</v>
      </c>
    </row>
    <row r="210" spans="1:20" x14ac:dyDescent="0.3">
      <c r="A210" s="1">
        <v>45367</v>
      </c>
      <c r="B210" s="2" t="s">
        <v>74</v>
      </c>
      <c r="C210" s="2" t="s">
        <v>45</v>
      </c>
      <c r="D210" s="2" t="s">
        <v>46</v>
      </c>
      <c r="E210">
        <v>2864</v>
      </c>
      <c r="F210" t="b">
        <v>1</v>
      </c>
      <c r="G210" s="2" t="s">
        <v>40</v>
      </c>
      <c r="H210" s="2" t="s">
        <v>35</v>
      </c>
      <c r="I210" s="2" t="s">
        <v>59</v>
      </c>
      <c r="J210" s="2" t="s">
        <v>43</v>
      </c>
      <c r="K210">
        <v>1</v>
      </c>
      <c r="L210" s="2" t="s">
        <v>49</v>
      </c>
      <c r="M210" s="2" t="s">
        <v>28</v>
      </c>
      <c r="N210" t="b">
        <v>0</v>
      </c>
      <c r="O210">
        <v>5</v>
      </c>
      <c r="P210" s="2" t="s">
        <v>63</v>
      </c>
      <c r="Q210">
        <v>1</v>
      </c>
      <c r="R210">
        <v>2</v>
      </c>
      <c r="S210">
        <v>3092</v>
      </c>
      <c r="T210" s="2" t="s">
        <v>38</v>
      </c>
    </row>
    <row r="211" spans="1:20" x14ac:dyDescent="0.3">
      <c r="A211" s="1">
        <v>45367</v>
      </c>
      <c r="B211" s="2" t="s">
        <v>76</v>
      </c>
      <c r="C211" s="2" t="s">
        <v>56</v>
      </c>
      <c r="D211" s="2" t="s">
        <v>53</v>
      </c>
      <c r="E211">
        <v>7437</v>
      </c>
      <c r="F211" t="b">
        <v>1</v>
      </c>
      <c r="G211" s="2" t="s">
        <v>40</v>
      </c>
      <c r="H211" s="2" t="s">
        <v>35</v>
      </c>
      <c r="I211" s="2" t="s">
        <v>59</v>
      </c>
      <c r="J211" s="2" t="s">
        <v>54</v>
      </c>
      <c r="K211">
        <v>2</v>
      </c>
      <c r="L211" s="2" t="s">
        <v>49</v>
      </c>
      <c r="M211" s="2" t="s">
        <v>58</v>
      </c>
      <c r="N211" t="b">
        <v>1</v>
      </c>
      <c r="O211">
        <v>85</v>
      </c>
      <c r="P211" s="2" t="s">
        <v>63</v>
      </c>
      <c r="Q211">
        <v>9</v>
      </c>
      <c r="R211">
        <v>2</v>
      </c>
      <c r="S211">
        <v>4192</v>
      </c>
      <c r="T211" s="2" t="s">
        <v>38</v>
      </c>
    </row>
    <row r="212" spans="1:20" x14ac:dyDescent="0.3">
      <c r="A212" s="1">
        <v>45367</v>
      </c>
      <c r="B212" s="2" t="s">
        <v>39</v>
      </c>
      <c r="C212" s="2" t="s">
        <v>21</v>
      </c>
      <c r="D212" s="2" t="s">
        <v>53</v>
      </c>
      <c r="E212">
        <v>29415</v>
      </c>
      <c r="F212" t="b">
        <v>0</v>
      </c>
      <c r="G212" s="2" t="s">
        <v>65</v>
      </c>
      <c r="H212" s="2" t="s">
        <v>24</v>
      </c>
      <c r="I212" s="2" t="s">
        <v>59</v>
      </c>
      <c r="J212" s="2" t="s">
        <v>54</v>
      </c>
      <c r="K212">
        <v>0</v>
      </c>
      <c r="L212" s="2" t="s">
        <v>27</v>
      </c>
      <c r="M212" s="2" t="s">
        <v>58</v>
      </c>
      <c r="N212" t="b">
        <v>0</v>
      </c>
      <c r="O212">
        <v>72</v>
      </c>
      <c r="P212" s="2" t="s">
        <v>29</v>
      </c>
      <c r="Q212">
        <v>10</v>
      </c>
      <c r="R212">
        <v>1</v>
      </c>
      <c r="S212">
        <v>4743</v>
      </c>
      <c r="T212" s="2" t="s">
        <v>38</v>
      </c>
    </row>
    <row r="213" spans="1:20" x14ac:dyDescent="0.3">
      <c r="A213" s="1">
        <v>45367</v>
      </c>
      <c r="B213" s="2" t="s">
        <v>52</v>
      </c>
      <c r="C213" s="2" t="s">
        <v>32</v>
      </c>
      <c r="D213" s="2" t="s">
        <v>57</v>
      </c>
      <c r="E213">
        <v>1000</v>
      </c>
      <c r="F213" t="b">
        <v>0</v>
      </c>
      <c r="G213" s="2" t="s">
        <v>65</v>
      </c>
      <c r="H213" s="2" t="s">
        <v>41</v>
      </c>
      <c r="I213" s="2" t="s">
        <v>42</v>
      </c>
      <c r="J213" s="2" t="s">
        <v>48</v>
      </c>
      <c r="K213">
        <v>4</v>
      </c>
      <c r="L213" s="2" t="s">
        <v>27</v>
      </c>
      <c r="M213" s="2" t="s">
        <v>66</v>
      </c>
      <c r="N213" t="b">
        <v>0</v>
      </c>
      <c r="O213">
        <v>65</v>
      </c>
      <c r="P213" s="2" t="s">
        <v>50</v>
      </c>
      <c r="Q213">
        <v>2</v>
      </c>
      <c r="R213">
        <v>3</v>
      </c>
      <c r="S213">
        <v>1227</v>
      </c>
      <c r="T213" s="2" t="s">
        <v>51</v>
      </c>
    </row>
    <row r="214" spans="1:20" x14ac:dyDescent="0.3">
      <c r="A214" s="1">
        <v>45367</v>
      </c>
      <c r="B214" s="2" t="s">
        <v>71</v>
      </c>
      <c r="C214" s="2" t="s">
        <v>56</v>
      </c>
      <c r="D214" s="2" t="s">
        <v>46</v>
      </c>
      <c r="E214">
        <v>4009</v>
      </c>
      <c r="F214" t="b">
        <v>0</v>
      </c>
      <c r="G214" s="2" t="s">
        <v>34</v>
      </c>
      <c r="H214" s="2" t="s">
        <v>35</v>
      </c>
      <c r="I214" s="2" t="s">
        <v>42</v>
      </c>
      <c r="J214" s="2" t="s">
        <v>43</v>
      </c>
      <c r="K214">
        <v>5</v>
      </c>
      <c r="L214" s="2" t="s">
        <v>49</v>
      </c>
      <c r="M214" s="2" t="s">
        <v>73</v>
      </c>
      <c r="N214" t="b">
        <v>1</v>
      </c>
      <c r="O214">
        <v>12</v>
      </c>
      <c r="P214" s="2" t="s">
        <v>67</v>
      </c>
      <c r="Q214">
        <v>5</v>
      </c>
      <c r="R214">
        <v>1</v>
      </c>
      <c r="S214">
        <v>2209</v>
      </c>
      <c r="T214" s="2" t="s">
        <v>51</v>
      </c>
    </row>
    <row r="215" spans="1:20" x14ac:dyDescent="0.3">
      <c r="A215" s="1">
        <v>45367</v>
      </c>
      <c r="B215" s="2" t="s">
        <v>44</v>
      </c>
      <c r="C215" s="2" t="s">
        <v>21</v>
      </c>
      <c r="D215" s="2" t="s">
        <v>57</v>
      </c>
      <c r="E215">
        <v>1000</v>
      </c>
      <c r="F215" t="b">
        <v>0</v>
      </c>
      <c r="G215" s="2" t="s">
        <v>34</v>
      </c>
      <c r="H215" s="2" t="s">
        <v>35</v>
      </c>
      <c r="I215" s="2" t="s">
        <v>59</v>
      </c>
      <c r="J215" s="2" t="s">
        <v>54</v>
      </c>
      <c r="K215">
        <v>1</v>
      </c>
      <c r="L215" s="2" t="s">
        <v>27</v>
      </c>
      <c r="M215" s="2" t="s">
        <v>28</v>
      </c>
      <c r="N215" t="b">
        <v>1</v>
      </c>
      <c r="O215">
        <v>67</v>
      </c>
      <c r="P215" s="2" t="s">
        <v>37</v>
      </c>
      <c r="Q215">
        <v>5</v>
      </c>
      <c r="R215">
        <v>3</v>
      </c>
      <c r="S215">
        <v>4506</v>
      </c>
      <c r="T215" s="2" t="s">
        <v>30</v>
      </c>
    </row>
    <row r="216" spans="1:20" x14ac:dyDescent="0.3">
      <c r="A216" s="1">
        <v>45368</v>
      </c>
      <c r="B216" s="2" t="s">
        <v>76</v>
      </c>
      <c r="C216" s="2" t="s">
        <v>21</v>
      </c>
      <c r="D216" s="2" t="s">
        <v>57</v>
      </c>
      <c r="E216">
        <v>1000</v>
      </c>
      <c r="F216" t="b">
        <v>1</v>
      </c>
      <c r="G216" s="2" t="s">
        <v>65</v>
      </c>
      <c r="H216" s="2" t="s">
        <v>24</v>
      </c>
      <c r="I216" s="2" t="s">
        <v>59</v>
      </c>
      <c r="J216" s="2" t="s">
        <v>43</v>
      </c>
      <c r="K216">
        <v>2</v>
      </c>
      <c r="L216" s="2" t="s">
        <v>49</v>
      </c>
      <c r="M216" s="2" t="s">
        <v>66</v>
      </c>
      <c r="N216" t="b">
        <v>0</v>
      </c>
      <c r="O216">
        <v>87</v>
      </c>
      <c r="P216" s="2" t="s">
        <v>50</v>
      </c>
      <c r="Q216">
        <v>9</v>
      </c>
      <c r="R216">
        <v>1</v>
      </c>
      <c r="S216">
        <v>759</v>
      </c>
      <c r="T216" s="2" t="s">
        <v>38</v>
      </c>
    </row>
    <row r="217" spans="1:20" x14ac:dyDescent="0.3">
      <c r="A217" s="1">
        <v>45368</v>
      </c>
      <c r="B217" s="2" t="s">
        <v>44</v>
      </c>
      <c r="C217" s="2" t="s">
        <v>56</v>
      </c>
      <c r="D217" s="2" t="s">
        <v>33</v>
      </c>
      <c r="E217">
        <v>4565</v>
      </c>
      <c r="F217" t="b">
        <v>0</v>
      </c>
      <c r="G217" s="2" t="s">
        <v>65</v>
      </c>
      <c r="H217" s="2" t="s">
        <v>35</v>
      </c>
      <c r="I217" s="2" t="s">
        <v>25</v>
      </c>
      <c r="J217" s="2" t="s">
        <v>43</v>
      </c>
      <c r="K217">
        <v>1</v>
      </c>
      <c r="L217" s="2" t="s">
        <v>49</v>
      </c>
      <c r="M217" s="2" t="s">
        <v>73</v>
      </c>
      <c r="N217" t="b">
        <v>1</v>
      </c>
      <c r="O217">
        <v>115</v>
      </c>
      <c r="P217" s="2" t="s">
        <v>67</v>
      </c>
      <c r="Q217">
        <v>6</v>
      </c>
      <c r="R217">
        <v>1</v>
      </c>
      <c r="S217">
        <v>1044</v>
      </c>
      <c r="T217" s="2" t="s">
        <v>51</v>
      </c>
    </row>
    <row r="218" spans="1:20" x14ac:dyDescent="0.3">
      <c r="A218" s="1">
        <v>45369</v>
      </c>
      <c r="B218" s="2" t="s">
        <v>69</v>
      </c>
      <c r="C218" s="2" t="s">
        <v>45</v>
      </c>
      <c r="D218" s="2" t="s">
        <v>22</v>
      </c>
      <c r="E218">
        <v>8640</v>
      </c>
      <c r="F218" t="b">
        <v>0</v>
      </c>
      <c r="G218" s="2" t="s">
        <v>34</v>
      </c>
      <c r="H218" s="2" t="s">
        <v>70</v>
      </c>
      <c r="I218" s="2" t="s">
        <v>59</v>
      </c>
      <c r="J218" s="2" t="s">
        <v>48</v>
      </c>
      <c r="K218">
        <v>0</v>
      </c>
      <c r="L218" s="2" t="s">
        <v>49</v>
      </c>
      <c r="M218" s="2" t="s">
        <v>73</v>
      </c>
      <c r="N218" t="b">
        <v>0</v>
      </c>
      <c r="O218">
        <v>103</v>
      </c>
      <c r="P218" s="2" t="s">
        <v>37</v>
      </c>
      <c r="Q218">
        <v>10</v>
      </c>
      <c r="R218">
        <v>2</v>
      </c>
      <c r="S218">
        <v>2065</v>
      </c>
      <c r="T218" s="2" t="s">
        <v>51</v>
      </c>
    </row>
    <row r="219" spans="1:20" x14ac:dyDescent="0.3">
      <c r="A219" s="1">
        <v>45369</v>
      </c>
      <c r="B219" s="2" t="s">
        <v>71</v>
      </c>
      <c r="C219" s="2" t="s">
        <v>32</v>
      </c>
      <c r="D219" s="2" t="s">
        <v>22</v>
      </c>
      <c r="E219">
        <v>8231</v>
      </c>
      <c r="F219" t="b">
        <v>0</v>
      </c>
      <c r="G219" s="2" t="s">
        <v>64</v>
      </c>
      <c r="H219" s="2" t="s">
        <v>41</v>
      </c>
      <c r="I219" s="2" t="s">
        <v>25</v>
      </c>
      <c r="J219" s="2" t="s">
        <v>48</v>
      </c>
      <c r="K219">
        <v>5</v>
      </c>
      <c r="L219" s="2" t="s">
        <v>49</v>
      </c>
      <c r="M219" s="2" t="s">
        <v>58</v>
      </c>
      <c r="N219" t="b">
        <v>1</v>
      </c>
      <c r="O219">
        <v>110</v>
      </c>
      <c r="P219" s="2" t="s">
        <v>50</v>
      </c>
      <c r="Q219">
        <v>5</v>
      </c>
      <c r="R219">
        <v>1</v>
      </c>
      <c r="S219">
        <v>1719</v>
      </c>
      <c r="T219" s="2" t="s">
        <v>51</v>
      </c>
    </row>
    <row r="220" spans="1:20" x14ac:dyDescent="0.3">
      <c r="A220" s="1">
        <v>45370</v>
      </c>
      <c r="B220" s="2" t="s">
        <v>44</v>
      </c>
      <c r="C220" s="2" t="s">
        <v>21</v>
      </c>
      <c r="D220" s="2" t="s">
        <v>22</v>
      </c>
      <c r="E220">
        <v>6970</v>
      </c>
      <c r="F220" t="b">
        <v>0</v>
      </c>
      <c r="G220" s="2" t="s">
        <v>40</v>
      </c>
      <c r="H220" s="2" t="s">
        <v>35</v>
      </c>
      <c r="I220" s="2" t="s">
        <v>59</v>
      </c>
      <c r="J220" s="2" t="s">
        <v>26</v>
      </c>
      <c r="K220">
        <v>3</v>
      </c>
      <c r="L220" s="2" t="s">
        <v>36</v>
      </c>
      <c r="M220" s="2" t="s">
        <v>28</v>
      </c>
      <c r="N220" t="b">
        <v>1</v>
      </c>
      <c r="O220">
        <v>88</v>
      </c>
      <c r="P220" s="2" t="s">
        <v>29</v>
      </c>
      <c r="Q220">
        <v>10</v>
      </c>
      <c r="R220">
        <v>3</v>
      </c>
      <c r="S220">
        <v>1644</v>
      </c>
      <c r="T220" s="2" t="s">
        <v>30</v>
      </c>
    </row>
    <row r="221" spans="1:20" x14ac:dyDescent="0.3">
      <c r="A221" s="1">
        <v>45370</v>
      </c>
      <c r="B221" s="2" t="s">
        <v>44</v>
      </c>
      <c r="C221" s="2" t="s">
        <v>60</v>
      </c>
      <c r="D221" s="2" t="s">
        <v>61</v>
      </c>
      <c r="E221">
        <v>1000</v>
      </c>
      <c r="F221" t="b">
        <v>0</v>
      </c>
      <c r="G221" s="2" t="s">
        <v>34</v>
      </c>
      <c r="H221" s="2" t="s">
        <v>70</v>
      </c>
      <c r="I221" s="2" t="s">
        <v>42</v>
      </c>
      <c r="J221" s="2" t="s">
        <v>43</v>
      </c>
      <c r="K221">
        <v>0</v>
      </c>
      <c r="L221" s="2" t="s">
        <v>27</v>
      </c>
      <c r="M221" s="2" t="s">
        <v>28</v>
      </c>
      <c r="N221" t="b">
        <v>1</v>
      </c>
      <c r="O221">
        <v>21</v>
      </c>
      <c r="P221" s="2" t="s">
        <v>37</v>
      </c>
      <c r="Q221">
        <v>6</v>
      </c>
      <c r="R221">
        <v>2</v>
      </c>
      <c r="S221">
        <v>4364</v>
      </c>
      <c r="T221" s="2" t="s">
        <v>30</v>
      </c>
    </row>
    <row r="222" spans="1:20" x14ac:dyDescent="0.3">
      <c r="A222" s="1">
        <v>45370</v>
      </c>
      <c r="B222" s="2" t="s">
        <v>74</v>
      </c>
      <c r="C222" s="2" t="s">
        <v>45</v>
      </c>
      <c r="D222" s="2" t="s">
        <v>33</v>
      </c>
      <c r="E222">
        <v>4151</v>
      </c>
      <c r="F222" t="b">
        <v>0</v>
      </c>
      <c r="G222" s="2" t="s">
        <v>40</v>
      </c>
      <c r="H222" s="2" t="s">
        <v>24</v>
      </c>
      <c r="I222" s="2" t="s">
        <v>59</v>
      </c>
      <c r="J222" s="2" t="s">
        <v>26</v>
      </c>
      <c r="K222">
        <v>3</v>
      </c>
      <c r="L222" s="2" t="s">
        <v>49</v>
      </c>
      <c r="M222" s="2" t="s">
        <v>73</v>
      </c>
      <c r="N222" t="b">
        <v>0</v>
      </c>
      <c r="O222">
        <v>16</v>
      </c>
      <c r="P222" s="2" t="s">
        <v>67</v>
      </c>
      <c r="Q222">
        <v>6</v>
      </c>
      <c r="R222">
        <v>3</v>
      </c>
      <c r="S222">
        <v>1942</v>
      </c>
      <c r="T222" s="2" t="s">
        <v>30</v>
      </c>
    </row>
    <row r="223" spans="1:20" x14ac:dyDescent="0.3">
      <c r="A223" s="1">
        <v>45370</v>
      </c>
      <c r="B223" s="2" t="s">
        <v>39</v>
      </c>
      <c r="C223" s="2" t="s">
        <v>32</v>
      </c>
      <c r="D223" s="2" t="s">
        <v>57</v>
      </c>
      <c r="E223">
        <v>1000</v>
      </c>
      <c r="F223" t="b">
        <v>0</v>
      </c>
      <c r="G223" s="2" t="s">
        <v>23</v>
      </c>
      <c r="H223" s="2" t="s">
        <v>35</v>
      </c>
      <c r="I223" s="2" t="s">
        <v>47</v>
      </c>
      <c r="J223" s="2" t="s">
        <v>54</v>
      </c>
      <c r="K223">
        <v>3</v>
      </c>
      <c r="L223" s="2" t="s">
        <v>49</v>
      </c>
      <c r="M223" s="2" t="s">
        <v>73</v>
      </c>
      <c r="N223" t="b">
        <v>0</v>
      </c>
      <c r="O223">
        <v>77</v>
      </c>
      <c r="P223" s="2" t="s">
        <v>50</v>
      </c>
      <c r="Q223">
        <v>1</v>
      </c>
      <c r="R223">
        <v>1</v>
      </c>
      <c r="S223">
        <v>3878</v>
      </c>
      <c r="T223" s="2" t="s">
        <v>30</v>
      </c>
    </row>
    <row r="224" spans="1:20" x14ac:dyDescent="0.3">
      <c r="A224" s="1">
        <v>45371</v>
      </c>
      <c r="B224" s="2" t="s">
        <v>55</v>
      </c>
      <c r="C224" s="2" t="s">
        <v>56</v>
      </c>
      <c r="D224" s="2" t="s">
        <v>22</v>
      </c>
      <c r="E224">
        <v>9390</v>
      </c>
      <c r="F224" t="b">
        <v>0</v>
      </c>
      <c r="G224" s="2" t="s">
        <v>65</v>
      </c>
      <c r="H224" s="2" t="s">
        <v>35</v>
      </c>
      <c r="I224" s="2" t="s">
        <v>59</v>
      </c>
      <c r="J224" s="2" t="s">
        <v>54</v>
      </c>
      <c r="K224">
        <v>5</v>
      </c>
      <c r="L224" s="2" t="s">
        <v>49</v>
      </c>
      <c r="M224" s="2" t="s">
        <v>58</v>
      </c>
      <c r="N224" t="b">
        <v>1</v>
      </c>
      <c r="O224">
        <v>59</v>
      </c>
      <c r="P224" s="2" t="s">
        <v>67</v>
      </c>
      <c r="Q224">
        <v>1</v>
      </c>
      <c r="R224">
        <v>2</v>
      </c>
      <c r="S224">
        <v>4971</v>
      </c>
      <c r="T224" s="2" t="s">
        <v>38</v>
      </c>
    </row>
    <row r="225" spans="1:20" x14ac:dyDescent="0.3">
      <c r="A225" s="1">
        <v>45371</v>
      </c>
      <c r="B225" s="2" t="s">
        <v>62</v>
      </c>
      <c r="C225" s="2" t="s">
        <v>21</v>
      </c>
      <c r="D225" s="2" t="s">
        <v>46</v>
      </c>
      <c r="E225">
        <v>3435</v>
      </c>
      <c r="F225" t="b">
        <v>0</v>
      </c>
      <c r="G225" s="2" t="s">
        <v>40</v>
      </c>
      <c r="H225" s="2" t="s">
        <v>70</v>
      </c>
      <c r="I225" s="2" t="s">
        <v>25</v>
      </c>
      <c r="J225" s="2" t="s">
        <v>48</v>
      </c>
      <c r="K225">
        <v>5</v>
      </c>
      <c r="L225" s="2" t="s">
        <v>36</v>
      </c>
      <c r="M225" s="2" t="s">
        <v>66</v>
      </c>
      <c r="N225" t="b">
        <v>0</v>
      </c>
      <c r="O225">
        <v>20</v>
      </c>
      <c r="P225" s="2" t="s">
        <v>63</v>
      </c>
      <c r="Q225">
        <v>6</v>
      </c>
      <c r="R225">
        <v>3</v>
      </c>
      <c r="S225">
        <v>4713</v>
      </c>
      <c r="T225" s="2" t="s">
        <v>51</v>
      </c>
    </row>
    <row r="226" spans="1:20" x14ac:dyDescent="0.3">
      <c r="A226" s="1">
        <v>45371</v>
      </c>
      <c r="B226" s="2" t="s">
        <v>68</v>
      </c>
      <c r="C226" s="2" t="s">
        <v>45</v>
      </c>
      <c r="D226" s="2" t="s">
        <v>33</v>
      </c>
      <c r="E226">
        <v>4219</v>
      </c>
      <c r="F226" t="b">
        <v>0</v>
      </c>
      <c r="G226" s="2" t="s">
        <v>64</v>
      </c>
      <c r="H226" s="2" t="s">
        <v>24</v>
      </c>
      <c r="I226" s="2" t="s">
        <v>42</v>
      </c>
      <c r="J226" s="2" t="s">
        <v>54</v>
      </c>
      <c r="K226">
        <v>5</v>
      </c>
      <c r="L226" s="2" t="s">
        <v>36</v>
      </c>
      <c r="M226" s="2" t="s">
        <v>28</v>
      </c>
      <c r="N226" t="b">
        <v>1</v>
      </c>
      <c r="O226">
        <v>47</v>
      </c>
      <c r="P226" s="2" t="s">
        <v>29</v>
      </c>
      <c r="Q226">
        <v>2</v>
      </c>
      <c r="R226">
        <v>3</v>
      </c>
      <c r="S226">
        <v>2190</v>
      </c>
      <c r="T226" s="2" t="s">
        <v>51</v>
      </c>
    </row>
    <row r="227" spans="1:20" x14ac:dyDescent="0.3">
      <c r="A227" s="1">
        <v>45372</v>
      </c>
      <c r="B227" s="2" t="s">
        <v>75</v>
      </c>
      <c r="C227" s="2" t="s">
        <v>45</v>
      </c>
      <c r="D227" s="2" t="s">
        <v>22</v>
      </c>
      <c r="E227">
        <v>9292</v>
      </c>
      <c r="F227" t="b">
        <v>0</v>
      </c>
      <c r="G227" s="2" t="s">
        <v>40</v>
      </c>
      <c r="H227" s="2" t="s">
        <v>24</v>
      </c>
      <c r="I227" s="2" t="s">
        <v>59</v>
      </c>
      <c r="J227" s="2" t="s">
        <v>48</v>
      </c>
      <c r="K227">
        <v>0</v>
      </c>
      <c r="L227" s="2" t="s">
        <v>49</v>
      </c>
      <c r="M227" s="2" t="s">
        <v>28</v>
      </c>
      <c r="N227" t="b">
        <v>1</v>
      </c>
      <c r="O227">
        <v>103</v>
      </c>
      <c r="P227" s="2" t="s">
        <v>63</v>
      </c>
      <c r="Q227">
        <v>4</v>
      </c>
      <c r="R227">
        <v>1</v>
      </c>
      <c r="S227">
        <v>528</v>
      </c>
      <c r="T227" s="2" t="s">
        <v>38</v>
      </c>
    </row>
    <row r="228" spans="1:20" x14ac:dyDescent="0.3">
      <c r="A228" s="1">
        <v>45374</v>
      </c>
      <c r="B228" s="2" t="s">
        <v>72</v>
      </c>
      <c r="C228" s="2" t="s">
        <v>32</v>
      </c>
      <c r="D228" s="2" t="s">
        <v>53</v>
      </c>
      <c r="E228">
        <v>7714</v>
      </c>
      <c r="F228" t="b">
        <v>1</v>
      </c>
      <c r="G228" s="2" t="s">
        <v>40</v>
      </c>
      <c r="H228" s="2" t="s">
        <v>70</v>
      </c>
      <c r="I228" s="2" t="s">
        <v>25</v>
      </c>
      <c r="J228" s="2" t="s">
        <v>43</v>
      </c>
      <c r="K228">
        <v>3</v>
      </c>
      <c r="L228" s="2" t="s">
        <v>49</v>
      </c>
      <c r="M228" s="2" t="s">
        <v>28</v>
      </c>
      <c r="N228" t="b">
        <v>0</v>
      </c>
      <c r="O228">
        <v>116</v>
      </c>
      <c r="P228" s="2" t="s">
        <v>67</v>
      </c>
      <c r="Q228">
        <v>10</v>
      </c>
      <c r="R228">
        <v>1</v>
      </c>
      <c r="S228">
        <v>850</v>
      </c>
      <c r="T228" s="2" t="s">
        <v>38</v>
      </c>
    </row>
    <row r="229" spans="1:20" x14ac:dyDescent="0.3">
      <c r="A229" s="1">
        <v>45374</v>
      </c>
      <c r="B229" s="2" t="s">
        <v>76</v>
      </c>
      <c r="C229" s="2" t="s">
        <v>60</v>
      </c>
      <c r="D229" s="2" t="s">
        <v>61</v>
      </c>
      <c r="E229">
        <v>1000</v>
      </c>
      <c r="F229" t="b">
        <v>1</v>
      </c>
      <c r="G229" s="2" t="s">
        <v>65</v>
      </c>
      <c r="H229" s="2" t="s">
        <v>35</v>
      </c>
      <c r="I229" s="2" t="s">
        <v>47</v>
      </c>
      <c r="J229" s="2" t="s">
        <v>26</v>
      </c>
      <c r="K229">
        <v>1</v>
      </c>
      <c r="L229" s="2" t="s">
        <v>36</v>
      </c>
      <c r="M229" s="2" t="s">
        <v>73</v>
      </c>
      <c r="N229" t="b">
        <v>0</v>
      </c>
      <c r="O229">
        <v>3</v>
      </c>
      <c r="P229" s="2" t="s">
        <v>29</v>
      </c>
      <c r="Q229">
        <v>6</v>
      </c>
      <c r="R229">
        <v>3</v>
      </c>
      <c r="S229">
        <v>3241</v>
      </c>
      <c r="T229" s="2" t="s">
        <v>38</v>
      </c>
    </row>
    <row r="230" spans="1:20" x14ac:dyDescent="0.3">
      <c r="A230" s="1">
        <v>45375</v>
      </c>
      <c r="B230" s="2" t="s">
        <v>74</v>
      </c>
      <c r="C230" s="2" t="s">
        <v>56</v>
      </c>
      <c r="D230" s="2" t="s">
        <v>22</v>
      </c>
      <c r="E230">
        <v>6223</v>
      </c>
      <c r="F230" t="b">
        <v>0</v>
      </c>
      <c r="G230" s="2" t="s">
        <v>40</v>
      </c>
      <c r="H230" s="2" t="s">
        <v>24</v>
      </c>
      <c r="I230" s="2" t="s">
        <v>59</v>
      </c>
      <c r="J230" s="2" t="s">
        <v>48</v>
      </c>
      <c r="K230">
        <v>1</v>
      </c>
      <c r="L230" s="2" t="s">
        <v>49</v>
      </c>
      <c r="M230" s="2" t="s">
        <v>58</v>
      </c>
      <c r="N230" t="b">
        <v>0</v>
      </c>
      <c r="O230">
        <v>85</v>
      </c>
      <c r="P230" s="2" t="s">
        <v>29</v>
      </c>
      <c r="Q230">
        <v>10</v>
      </c>
      <c r="R230">
        <v>2</v>
      </c>
      <c r="S230">
        <v>1677</v>
      </c>
      <c r="T230" s="2" t="s">
        <v>38</v>
      </c>
    </row>
    <row r="231" spans="1:20" x14ac:dyDescent="0.3">
      <c r="A231" s="1">
        <v>45375</v>
      </c>
      <c r="B231" s="2" t="s">
        <v>68</v>
      </c>
      <c r="C231" s="2" t="s">
        <v>60</v>
      </c>
      <c r="D231" s="2" t="s">
        <v>61</v>
      </c>
      <c r="E231">
        <v>1000</v>
      </c>
      <c r="F231" t="b">
        <v>1</v>
      </c>
      <c r="G231" s="2" t="s">
        <v>23</v>
      </c>
      <c r="H231" s="2" t="s">
        <v>35</v>
      </c>
      <c r="I231" s="2" t="s">
        <v>59</v>
      </c>
      <c r="J231" s="2" t="s">
        <v>26</v>
      </c>
      <c r="K231">
        <v>2</v>
      </c>
      <c r="L231" s="2" t="s">
        <v>49</v>
      </c>
      <c r="M231" s="2" t="s">
        <v>28</v>
      </c>
      <c r="N231" t="b">
        <v>1</v>
      </c>
      <c r="O231">
        <v>56</v>
      </c>
      <c r="P231" s="2" t="s">
        <v>37</v>
      </c>
      <c r="Q231">
        <v>3</v>
      </c>
      <c r="R231">
        <v>1</v>
      </c>
      <c r="S231">
        <v>3941</v>
      </c>
      <c r="T231" s="2" t="s">
        <v>51</v>
      </c>
    </row>
    <row r="232" spans="1:20" x14ac:dyDescent="0.3">
      <c r="A232" s="1">
        <v>45376</v>
      </c>
      <c r="B232" s="2" t="s">
        <v>68</v>
      </c>
      <c r="C232" s="2" t="s">
        <v>45</v>
      </c>
      <c r="D232" s="2" t="s">
        <v>22</v>
      </c>
      <c r="E232">
        <v>7195</v>
      </c>
      <c r="F232" t="b">
        <v>1</v>
      </c>
      <c r="G232" s="2" t="s">
        <v>64</v>
      </c>
      <c r="H232" s="2" t="s">
        <v>35</v>
      </c>
      <c r="I232" s="2" t="s">
        <v>25</v>
      </c>
      <c r="J232" s="2" t="s">
        <v>54</v>
      </c>
      <c r="K232">
        <v>0</v>
      </c>
      <c r="L232" s="2" t="s">
        <v>49</v>
      </c>
      <c r="M232" s="2" t="s">
        <v>73</v>
      </c>
      <c r="N232" t="b">
        <v>1</v>
      </c>
      <c r="O232">
        <v>110</v>
      </c>
      <c r="P232" s="2" t="s">
        <v>37</v>
      </c>
      <c r="Q232">
        <v>7</v>
      </c>
      <c r="R232">
        <v>2</v>
      </c>
      <c r="S232">
        <v>1344</v>
      </c>
      <c r="T232" s="2" t="s">
        <v>30</v>
      </c>
    </row>
    <row r="233" spans="1:20" x14ac:dyDescent="0.3">
      <c r="A233" s="1">
        <v>45376</v>
      </c>
      <c r="B233" s="2" t="s">
        <v>52</v>
      </c>
      <c r="C233" s="2" t="s">
        <v>45</v>
      </c>
      <c r="D233" s="2" t="s">
        <v>53</v>
      </c>
      <c r="E233">
        <v>6178</v>
      </c>
      <c r="F233" t="b">
        <v>0</v>
      </c>
      <c r="G233" s="2" t="s">
        <v>65</v>
      </c>
      <c r="H233" s="2" t="s">
        <v>70</v>
      </c>
      <c r="I233" s="2" t="s">
        <v>25</v>
      </c>
      <c r="J233" s="2" t="s">
        <v>43</v>
      </c>
      <c r="K233">
        <v>1</v>
      </c>
      <c r="L233" s="2" t="s">
        <v>49</v>
      </c>
      <c r="M233" s="2" t="s">
        <v>73</v>
      </c>
      <c r="N233" t="b">
        <v>0</v>
      </c>
      <c r="O233">
        <v>29</v>
      </c>
      <c r="P233" s="2" t="s">
        <v>67</v>
      </c>
      <c r="Q233">
        <v>9</v>
      </c>
      <c r="R233">
        <v>3</v>
      </c>
      <c r="S233">
        <v>1608</v>
      </c>
      <c r="T233" s="2" t="s">
        <v>51</v>
      </c>
    </row>
    <row r="234" spans="1:20" x14ac:dyDescent="0.3">
      <c r="A234" s="1">
        <v>45377</v>
      </c>
      <c r="B234" s="2" t="s">
        <v>44</v>
      </c>
      <c r="C234" s="2" t="s">
        <v>60</v>
      </c>
      <c r="D234" s="2" t="s">
        <v>61</v>
      </c>
      <c r="E234">
        <v>1000</v>
      </c>
      <c r="F234" t="b">
        <v>0</v>
      </c>
      <c r="G234" s="2" t="s">
        <v>34</v>
      </c>
      <c r="H234" s="2" t="s">
        <v>35</v>
      </c>
      <c r="I234" s="2" t="s">
        <v>47</v>
      </c>
      <c r="J234" s="2" t="s">
        <v>26</v>
      </c>
      <c r="K234">
        <v>2</v>
      </c>
      <c r="L234" s="2" t="s">
        <v>49</v>
      </c>
      <c r="M234" s="2" t="s">
        <v>28</v>
      </c>
      <c r="N234" t="b">
        <v>0</v>
      </c>
      <c r="O234">
        <v>83</v>
      </c>
      <c r="P234" s="2" t="s">
        <v>29</v>
      </c>
      <c r="Q234">
        <v>9</v>
      </c>
      <c r="R234">
        <v>1</v>
      </c>
      <c r="S234">
        <v>2362</v>
      </c>
      <c r="T234" s="2" t="s">
        <v>38</v>
      </c>
    </row>
    <row r="235" spans="1:20" x14ac:dyDescent="0.3">
      <c r="A235" s="1">
        <v>45377</v>
      </c>
      <c r="B235" s="2" t="s">
        <v>74</v>
      </c>
      <c r="C235" s="2" t="s">
        <v>60</v>
      </c>
      <c r="D235" s="2" t="s">
        <v>61</v>
      </c>
      <c r="E235">
        <v>1000</v>
      </c>
      <c r="F235" t="b">
        <v>0</v>
      </c>
      <c r="G235" s="2" t="s">
        <v>34</v>
      </c>
      <c r="H235" s="2" t="s">
        <v>24</v>
      </c>
      <c r="I235" s="2" t="s">
        <v>59</v>
      </c>
      <c r="J235" s="2" t="s">
        <v>48</v>
      </c>
      <c r="K235">
        <v>1</v>
      </c>
      <c r="L235" s="2" t="s">
        <v>49</v>
      </c>
      <c r="M235" s="2" t="s">
        <v>66</v>
      </c>
      <c r="N235" t="b">
        <v>1</v>
      </c>
      <c r="O235">
        <v>87</v>
      </c>
      <c r="P235" s="2" t="s">
        <v>37</v>
      </c>
      <c r="Q235">
        <v>3</v>
      </c>
      <c r="R235">
        <v>2</v>
      </c>
      <c r="S235">
        <v>3121</v>
      </c>
      <c r="T235" s="2" t="s">
        <v>38</v>
      </c>
    </row>
    <row r="236" spans="1:20" x14ac:dyDescent="0.3">
      <c r="A236" s="1">
        <v>45377</v>
      </c>
      <c r="B236" s="2" t="s">
        <v>77</v>
      </c>
      <c r="C236" s="2" t="s">
        <v>45</v>
      </c>
      <c r="D236" s="2" t="s">
        <v>33</v>
      </c>
      <c r="E236">
        <v>3939</v>
      </c>
      <c r="F236" t="b">
        <v>0</v>
      </c>
      <c r="G236" s="2" t="s">
        <v>64</v>
      </c>
      <c r="H236" s="2" t="s">
        <v>24</v>
      </c>
      <c r="I236" s="2" t="s">
        <v>42</v>
      </c>
      <c r="J236" s="2" t="s">
        <v>26</v>
      </c>
      <c r="K236">
        <v>1</v>
      </c>
      <c r="L236" s="2" t="s">
        <v>36</v>
      </c>
      <c r="M236" s="2" t="s">
        <v>66</v>
      </c>
      <c r="N236" t="b">
        <v>1</v>
      </c>
      <c r="O236">
        <v>27</v>
      </c>
      <c r="P236" s="2" t="s">
        <v>29</v>
      </c>
      <c r="Q236">
        <v>6</v>
      </c>
      <c r="R236">
        <v>2</v>
      </c>
      <c r="S236">
        <v>3484</v>
      </c>
      <c r="T236" s="2" t="s">
        <v>38</v>
      </c>
    </row>
    <row r="237" spans="1:20" x14ac:dyDescent="0.3">
      <c r="A237" s="1">
        <v>45377</v>
      </c>
      <c r="B237" s="2" t="s">
        <v>55</v>
      </c>
      <c r="C237" s="2" t="s">
        <v>32</v>
      </c>
      <c r="D237" s="2" t="s">
        <v>33</v>
      </c>
      <c r="E237">
        <v>3825</v>
      </c>
      <c r="F237" t="b">
        <v>0</v>
      </c>
      <c r="G237" s="2" t="s">
        <v>40</v>
      </c>
      <c r="H237" s="2" t="s">
        <v>35</v>
      </c>
      <c r="I237" s="2" t="s">
        <v>25</v>
      </c>
      <c r="J237" s="2" t="s">
        <v>26</v>
      </c>
      <c r="K237">
        <v>2</v>
      </c>
      <c r="L237" s="2" t="s">
        <v>27</v>
      </c>
      <c r="M237" s="2" t="s">
        <v>66</v>
      </c>
      <c r="N237" t="b">
        <v>1</v>
      </c>
      <c r="O237">
        <v>52</v>
      </c>
      <c r="P237" s="2" t="s">
        <v>63</v>
      </c>
      <c r="Q237">
        <v>9</v>
      </c>
      <c r="R237">
        <v>3</v>
      </c>
      <c r="S237">
        <v>2517</v>
      </c>
      <c r="T237" s="2" t="s">
        <v>51</v>
      </c>
    </row>
    <row r="238" spans="1:20" x14ac:dyDescent="0.3">
      <c r="A238" s="1">
        <v>45377</v>
      </c>
      <c r="B238" s="2" t="s">
        <v>39</v>
      </c>
      <c r="C238" s="2" t="s">
        <v>56</v>
      </c>
      <c r="D238" s="2" t="s">
        <v>22</v>
      </c>
      <c r="E238">
        <v>9931</v>
      </c>
      <c r="F238" t="b">
        <v>0</v>
      </c>
      <c r="G238" s="2" t="s">
        <v>40</v>
      </c>
      <c r="H238" s="2" t="s">
        <v>35</v>
      </c>
      <c r="I238" s="2" t="s">
        <v>59</v>
      </c>
      <c r="J238" s="2" t="s">
        <v>26</v>
      </c>
      <c r="K238">
        <v>5</v>
      </c>
      <c r="L238" s="2" t="s">
        <v>36</v>
      </c>
      <c r="M238" s="2" t="s">
        <v>28</v>
      </c>
      <c r="N238" t="b">
        <v>1</v>
      </c>
      <c r="O238">
        <v>1</v>
      </c>
      <c r="P238" s="2" t="s">
        <v>63</v>
      </c>
      <c r="Q238">
        <v>6</v>
      </c>
      <c r="R238">
        <v>2</v>
      </c>
      <c r="S238">
        <v>1020</v>
      </c>
      <c r="T238" s="2" t="s">
        <v>30</v>
      </c>
    </row>
    <row r="239" spans="1:20" x14ac:dyDescent="0.3">
      <c r="A239" s="1">
        <v>45377</v>
      </c>
      <c r="B239" s="2" t="s">
        <v>75</v>
      </c>
      <c r="C239" s="2" t="s">
        <v>60</v>
      </c>
      <c r="D239" s="2" t="s">
        <v>61</v>
      </c>
      <c r="E239">
        <v>1000</v>
      </c>
      <c r="F239" t="b">
        <v>1</v>
      </c>
      <c r="G239" s="2" t="s">
        <v>64</v>
      </c>
      <c r="H239" s="2" t="s">
        <v>24</v>
      </c>
      <c r="I239" s="2" t="s">
        <v>47</v>
      </c>
      <c r="J239" s="2" t="s">
        <v>43</v>
      </c>
      <c r="K239">
        <v>0</v>
      </c>
      <c r="L239" s="2" t="s">
        <v>36</v>
      </c>
      <c r="M239" s="2" t="s">
        <v>28</v>
      </c>
      <c r="N239" t="b">
        <v>0</v>
      </c>
      <c r="O239">
        <v>75</v>
      </c>
      <c r="P239" s="2" t="s">
        <v>37</v>
      </c>
      <c r="Q239">
        <v>8</v>
      </c>
      <c r="R239">
        <v>3</v>
      </c>
      <c r="S239">
        <v>1119</v>
      </c>
      <c r="T239" s="2" t="s">
        <v>51</v>
      </c>
    </row>
    <row r="240" spans="1:20" x14ac:dyDescent="0.3">
      <c r="A240" s="1">
        <v>45377</v>
      </c>
      <c r="B240" s="2" t="s">
        <v>69</v>
      </c>
      <c r="C240" s="2" t="s">
        <v>56</v>
      </c>
      <c r="D240" s="2" t="s">
        <v>53</v>
      </c>
      <c r="E240">
        <v>4521</v>
      </c>
      <c r="F240" t="b">
        <v>1</v>
      </c>
      <c r="G240" s="2" t="s">
        <v>34</v>
      </c>
      <c r="H240" s="2" t="s">
        <v>35</v>
      </c>
      <c r="I240" s="2" t="s">
        <v>47</v>
      </c>
      <c r="J240" s="2" t="s">
        <v>26</v>
      </c>
      <c r="K240">
        <v>2</v>
      </c>
      <c r="L240" s="2" t="s">
        <v>36</v>
      </c>
      <c r="M240" s="2" t="s">
        <v>73</v>
      </c>
      <c r="N240" t="b">
        <v>1</v>
      </c>
      <c r="O240">
        <v>27</v>
      </c>
      <c r="P240" s="2" t="s">
        <v>50</v>
      </c>
      <c r="Q240">
        <v>5</v>
      </c>
      <c r="R240">
        <v>3</v>
      </c>
      <c r="S240">
        <v>3801</v>
      </c>
      <c r="T240" s="2" t="s">
        <v>51</v>
      </c>
    </row>
    <row r="241" spans="1:20" x14ac:dyDescent="0.3">
      <c r="A241" s="1">
        <v>45378</v>
      </c>
      <c r="B241" s="2" t="s">
        <v>39</v>
      </c>
      <c r="C241" s="2" t="s">
        <v>45</v>
      </c>
      <c r="D241" s="2" t="s">
        <v>57</v>
      </c>
      <c r="E241">
        <v>5000</v>
      </c>
      <c r="F241" t="b">
        <v>1</v>
      </c>
      <c r="G241" s="2" t="s">
        <v>40</v>
      </c>
      <c r="H241" s="2" t="s">
        <v>24</v>
      </c>
      <c r="I241" s="2" t="s">
        <v>42</v>
      </c>
      <c r="J241" s="2" t="s">
        <v>48</v>
      </c>
      <c r="K241">
        <v>3</v>
      </c>
      <c r="L241" s="2" t="s">
        <v>27</v>
      </c>
      <c r="M241" s="2" t="s">
        <v>66</v>
      </c>
      <c r="N241" t="b">
        <v>1</v>
      </c>
      <c r="O241">
        <v>65</v>
      </c>
      <c r="P241" s="2" t="s">
        <v>67</v>
      </c>
      <c r="Q241">
        <v>4</v>
      </c>
      <c r="R241">
        <v>2</v>
      </c>
      <c r="S241">
        <v>4073</v>
      </c>
      <c r="T241" s="2" t="s">
        <v>38</v>
      </c>
    </row>
    <row r="242" spans="1:20" x14ac:dyDescent="0.3">
      <c r="A242" s="1">
        <v>45378</v>
      </c>
      <c r="B242" s="2" t="s">
        <v>20</v>
      </c>
      <c r="C242" s="2" t="s">
        <v>56</v>
      </c>
      <c r="D242" s="2" t="s">
        <v>33</v>
      </c>
      <c r="E242">
        <v>2882</v>
      </c>
      <c r="F242" t="b">
        <v>1</v>
      </c>
      <c r="G242" s="2" t="s">
        <v>65</v>
      </c>
      <c r="H242" s="2" t="s">
        <v>70</v>
      </c>
      <c r="I242" s="2" t="s">
        <v>59</v>
      </c>
      <c r="J242" s="2" t="s">
        <v>43</v>
      </c>
      <c r="K242">
        <v>4</v>
      </c>
      <c r="L242" s="2" t="s">
        <v>49</v>
      </c>
      <c r="M242" s="2" t="s">
        <v>58</v>
      </c>
      <c r="N242" t="b">
        <v>1</v>
      </c>
      <c r="O242">
        <v>68</v>
      </c>
      <c r="P242" s="2" t="s">
        <v>63</v>
      </c>
      <c r="Q242">
        <v>3</v>
      </c>
      <c r="R242">
        <v>1</v>
      </c>
      <c r="S242">
        <v>2797</v>
      </c>
      <c r="T242" s="2" t="s">
        <v>38</v>
      </c>
    </row>
    <row r="243" spans="1:20" x14ac:dyDescent="0.3">
      <c r="A243" s="1">
        <v>45378</v>
      </c>
      <c r="B243" s="2" t="s">
        <v>44</v>
      </c>
      <c r="C243" s="2" t="s">
        <v>32</v>
      </c>
      <c r="D243" s="2" t="s">
        <v>46</v>
      </c>
      <c r="E243">
        <v>3944</v>
      </c>
      <c r="F243" t="b">
        <v>1</v>
      </c>
      <c r="G243" s="2" t="s">
        <v>64</v>
      </c>
      <c r="H243" s="2" t="s">
        <v>70</v>
      </c>
      <c r="I243" s="2" t="s">
        <v>47</v>
      </c>
      <c r="J243" s="2" t="s">
        <v>43</v>
      </c>
      <c r="K243">
        <v>5</v>
      </c>
      <c r="L243" s="2" t="s">
        <v>49</v>
      </c>
      <c r="M243" s="2" t="s">
        <v>66</v>
      </c>
      <c r="N243" t="b">
        <v>1</v>
      </c>
      <c r="O243">
        <v>55</v>
      </c>
      <c r="P243" s="2" t="s">
        <v>50</v>
      </c>
      <c r="Q243">
        <v>1</v>
      </c>
      <c r="R243">
        <v>3</v>
      </c>
      <c r="S243">
        <v>2288</v>
      </c>
      <c r="T243" s="2" t="s">
        <v>38</v>
      </c>
    </row>
    <row r="244" spans="1:20" x14ac:dyDescent="0.3">
      <c r="A244" s="1">
        <v>45378</v>
      </c>
      <c r="B244" s="2" t="s">
        <v>77</v>
      </c>
      <c r="C244" s="2" t="s">
        <v>45</v>
      </c>
      <c r="D244" s="2" t="s">
        <v>57</v>
      </c>
      <c r="E244">
        <v>1000</v>
      </c>
      <c r="F244" t="b">
        <v>0</v>
      </c>
      <c r="G244" s="2" t="s">
        <v>40</v>
      </c>
      <c r="H244" s="2" t="s">
        <v>70</v>
      </c>
      <c r="I244" s="2" t="s">
        <v>59</v>
      </c>
      <c r="J244" s="2" t="s">
        <v>43</v>
      </c>
      <c r="K244">
        <v>5</v>
      </c>
      <c r="L244" s="2" t="s">
        <v>36</v>
      </c>
      <c r="M244" s="2" t="s">
        <v>73</v>
      </c>
      <c r="N244" t="b">
        <v>0</v>
      </c>
      <c r="O244">
        <v>11</v>
      </c>
      <c r="P244" s="2" t="s">
        <v>67</v>
      </c>
      <c r="Q244">
        <v>1</v>
      </c>
      <c r="R244">
        <v>2</v>
      </c>
      <c r="S244">
        <v>2142</v>
      </c>
      <c r="T244" s="2" t="s">
        <v>38</v>
      </c>
    </row>
    <row r="245" spans="1:20" x14ac:dyDescent="0.3">
      <c r="A245" s="1">
        <v>45379</v>
      </c>
      <c r="B245" s="2" t="s">
        <v>74</v>
      </c>
      <c r="C245" s="2" t="s">
        <v>32</v>
      </c>
      <c r="D245" s="2" t="s">
        <v>22</v>
      </c>
      <c r="E245">
        <v>8744</v>
      </c>
      <c r="F245" t="b">
        <v>0</v>
      </c>
      <c r="G245" s="2" t="s">
        <v>34</v>
      </c>
      <c r="H245" s="2" t="s">
        <v>70</v>
      </c>
      <c r="I245" s="2" t="s">
        <v>59</v>
      </c>
      <c r="J245" s="2" t="s">
        <v>48</v>
      </c>
      <c r="K245">
        <v>1</v>
      </c>
      <c r="L245" s="2" t="s">
        <v>49</v>
      </c>
      <c r="M245" s="2" t="s">
        <v>66</v>
      </c>
      <c r="N245" t="b">
        <v>0</v>
      </c>
      <c r="O245">
        <v>62</v>
      </c>
      <c r="P245" s="2" t="s">
        <v>50</v>
      </c>
      <c r="Q245">
        <v>6</v>
      </c>
      <c r="R245">
        <v>3</v>
      </c>
      <c r="S245">
        <v>4591</v>
      </c>
      <c r="T245" s="2" t="s">
        <v>30</v>
      </c>
    </row>
    <row r="246" spans="1:20" x14ac:dyDescent="0.3">
      <c r="A246" s="1">
        <v>45379</v>
      </c>
      <c r="B246" s="2" t="s">
        <v>77</v>
      </c>
      <c r="C246" s="2" t="s">
        <v>45</v>
      </c>
      <c r="D246" s="2" t="s">
        <v>53</v>
      </c>
      <c r="E246">
        <v>3015</v>
      </c>
      <c r="F246" t="b">
        <v>1</v>
      </c>
      <c r="G246" s="2" t="s">
        <v>65</v>
      </c>
      <c r="H246" s="2" t="s">
        <v>70</v>
      </c>
      <c r="I246" s="2" t="s">
        <v>47</v>
      </c>
      <c r="J246" s="2" t="s">
        <v>54</v>
      </c>
      <c r="K246">
        <v>2</v>
      </c>
      <c r="L246" s="2" t="s">
        <v>36</v>
      </c>
      <c r="M246" s="2" t="s">
        <v>28</v>
      </c>
      <c r="N246" t="b">
        <v>0</v>
      </c>
      <c r="O246">
        <v>99</v>
      </c>
      <c r="P246" s="2" t="s">
        <v>29</v>
      </c>
      <c r="Q246">
        <v>9</v>
      </c>
      <c r="R246">
        <v>2</v>
      </c>
      <c r="S246">
        <v>1712</v>
      </c>
      <c r="T246" s="2" t="s">
        <v>38</v>
      </c>
    </row>
    <row r="247" spans="1:20" x14ac:dyDescent="0.3">
      <c r="A247" s="1">
        <v>45383</v>
      </c>
      <c r="B247" s="2" t="s">
        <v>75</v>
      </c>
      <c r="C247" s="2" t="s">
        <v>32</v>
      </c>
      <c r="D247" s="2" t="s">
        <v>53</v>
      </c>
      <c r="E247">
        <v>3853</v>
      </c>
      <c r="F247" t="b">
        <v>1</v>
      </c>
      <c r="G247" s="2" t="s">
        <v>40</v>
      </c>
      <c r="H247" s="2" t="s">
        <v>35</v>
      </c>
      <c r="I247" s="2" t="s">
        <v>47</v>
      </c>
      <c r="J247" s="2" t="s">
        <v>43</v>
      </c>
      <c r="K247">
        <v>0</v>
      </c>
      <c r="L247" s="2" t="s">
        <v>36</v>
      </c>
      <c r="M247" s="2" t="s">
        <v>58</v>
      </c>
      <c r="N247" t="b">
        <v>1</v>
      </c>
      <c r="O247">
        <v>116</v>
      </c>
      <c r="P247" s="2" t="s">
        <v>37</v>
      </c>
      <c r="Q247">
        <v>6</v>
      </c>
      <c r="R247">
        <v>2</v>
      </c>
      <c r="S247">
        <v>3124</v>
      </c>
      <c r="T247" s="2" t="s">
        <v>38</v>
      </c>
    </row>
    <row r="248" spans="1:20" x14ac:dyDescent="0.3">
      <c r="A248" s="1">
        <v>45383</v>
      </c>
      <c r="B248" s="2" t="s">
        <v>71</v>
      </c>
      <c r="C248" s="2" t="s">
        <v>32</v>
      </c>
      <c r="D248" s="2" t="s">
        <v>33</v>
      </c>
      <c r="E248">
        <v>2850</v>
      </c>
      <c r="F248" t="b">
        <v>0</v>
      </c>
      <c r="G248" s="2" t="s">
        <v>64</v>
      </c>
      <c r="H248" s="2" t="s">
        <v>70</v>
      </c>
      <c r="I248" s="2" t="s">
        <v>47</v>
      </c>
      <c r="J248" s="2" t="s">
        <v>48</v>
      </c>
      <c r="K248">
        <v>1</v>
      </c>
      <c r="L248" s="2" t="s">
        <v>27</v>
      </c>
      <c r="M248" s="2" t="s">
        <v>66</v>
      </c>
      <c r="N248" t="b">
        <v>1</v>
      </c>
      <c r="O248">
        <v>1</v>
      </c>
      <c r="P248" s="2" t="s">
        <v>67</v>
      </c>
      <c r="Q248">
        <v>8</v>
      </c>
      <c r="R248">
        <v>1</v>
      </c>
      <c r="S248">
        <v>4305</v>
      </c>
      <c r="T248" s="2" t="s">
        <v>38</v>
      </c>
    </row>
    <row r="249" spans="1:20" x14ac:dyDescent="0.3">
      <c r="A249" s="1">
        <v>45383</v>
      </c>
      <c r="B249" s="2" t="s">
        <v>62</v>
      </c>
      <c r="C249" s="2" t="s">
        <v>45</v>
      </c>
      <c r="D249" s="2" t="s">
        <v>22</v>
      </c>
      <c r="E249">
        <v>6924</v>
      </c>
      <c r="F249" t="b">
        <v>1</v>
      </c>
      <c r="G249" s="2" t="s">
        <v>34</v>
      </c>
      <c r="H249" s="2" t="s">
        <v>41</v>
      </c>
      <c r="I249" s="2" t="s">
        <v>25</v>
      </c>
      <c r="J249" s="2" t="s">
        <v>43</v>
      </c>
      <c r="K249">
        <v>5</v>
      </c>
      <c r="L249" s="2" t="s">
        <v>49</v>
      </c>
      <c r="M249" s="2" t="s">
        <v>66</v>
      </c>
      <c r="N249" t="b">
        <v>1</v>
      </c>
      <c r="O249">
        <v>83</v>
      </c>
      <c r="P249" s="2" t="s">
        <v>29</v>
      </c>
      <c r="Q249">
        <v>2</v>
      </c>
      <c r="R249">
        <v>2</v>
      </c>
      <c r="S249">
        <v>1213</v>
      </c>
      <c r="T249" s="2" t="s">
        <v>38</v>
      </c>
    </row>
    <row r="250" spans="1:20" x14ac:dyDescent="0.3">
      <c r="A250" s="1">
        <v>45383</v>
      </c>
      <c r="B250" s="2" t="s">
        <v>75</v>
      </c>
      <c r="C250" s="2" t="s">
        <v>32</v>
      </c>
      <c r="D250" s="2" t="s">
        <v>46</v>
      </c>
      <c r="E250">
        <v>1729</v>
      </c>
      <c r="F250" t="b">
        <v>0</v>
      </c>
      <c r="G250" s="2" t="s">
        <v>34</v>
      </c>
      <c r="H250" s="2" t="s">
        <v>70</v>
      </c>
      <c r="I250" s="2" t="s">
        <v>42</v>
      </c>
      <c r="J250" s="2" t="s">
        <v>54</v>
      </c>
      <c r="K250">
        <v>1</v>
      </c>
      <c r="L250" s="2" t="s">
        <v>27</v>
      </c>
      <c r="M250" s="2" t="s">
        <v>73</v>
      </c>
      <c r="N250" t="b">
        <v>1</v>
      </c>
      <c r="O250">
        <v>48</v>
      </c>
      <c r="P250" s="2" t="s">
        <v>29</v>
      </c>
      <c r="Q250">
        <v>2</v>
      </c>
      <c r="R250">
        <v>3</v>
      </c>
      <c r="S250">
        <v>1318</v>
      </c>
      <c r="T250" s="2" t="s">
        <v>30</v>
      </c>
    </row>
    <row r="251" spans="1:20" x14ac:dyDescent="0.3">
      <c r="A251" s="1">
        <v>45387</v>
      </c>
      <c r="B251" s="2" t="s">
        <v>68</v>
      </c>
      <c r="C251" s="2" t="s">
        <v>60</v>
      </c>
      <c r="D251" s="2" t="s">
        <v>61</v>
      </c>
      <c r="E251">
        <v>1000</v>
      </c>
      <c r="F251" t="b">
        <v>1</v>
      </c>
      <c r="G251" s="2" t="s">
        <v>65</v>
      </c>
      <c r="H251" s="2" t="s">
        <v>70</v>
      </c>
      <c r="I251" s="2" t="s">
        <v>42</v>
      </c>
      <c r="J251" s="2" t="s">
        <v>26</v>
      </c>
      <c r="K251">
        <v>2</v>
      </c>
      <c r="L251" s="2" t="s">
        <v>36</v>
      </c>
      <c r="M251" s="2" t="s">
        <v>58</v>
      </c>
      <c r="N251" t="b">
        <v>1</v>
      </c>
      <c r="O251">
        <v>16</v>
      </c>
      <c r="P251" s="2" t="s">
        <v>29</v>
      </c>
      <c r="Q251">
        <v>10</v>
      </c>
      <c r="R251">
        <v>2</v>
      </c>
      <c r="S251">
        <v>2235</v>
      </c>
      <c r="T251" s="2" t="s">
        <v>30</v>
      </c>
    </row>
    <row r="252" spans="1:20" x14ac:dyDescent="0.3">
      <c r="A252" s="1">
        <v>45387</v>
      </c>
      <c r="B252" s="2" t="s">
        <v>77</v>
      </c>
      <c r="C252" s="2" t="s">
        <v>32</v>
      </c>
      <c r="D252" s="2" t="s">
        <v>57</v>
      </c>
      <c r="E252">
        <v>1000</v>
      </c>
      <c r="F252" t="b">
        <v>0</v>
      </c>
      <c r="G252" s="2" t="s">
        <v>65</v>
      </c>
      <c r="H252" s="2" t="s">
        <v>24</v>
      </c>
      <c r="I252" s="2" t="s">
        <v>42</v>
      </c>
      <c r="J252" s="2" t="s">
        <v>43</v>
      </c>
      <c r="K252">
        <v>4</v>
      </c>
      <c r="L252" s="2" t="s">
        <v>36</v>
      </c>
      <c r="M252" s="2" t="s">
        <v>66</v>
      </c>
      <c r="N252" t="b">
        <v>1</v>
      </c>
      <c r="O252">
        <v>117</v>
      </c>
      <c r="P252" s="2" t="s">
        <v>29</v>
      </c>
      <c r="Q252">
        <v>1</v>
      </c>
      <c r="R252">
        <v>3</v>
      </c>
      <c r="S252">
        <v>1550</v>
      </c>
      <c r="T252" s="2" t="s">
        <v>51</v>
      </c>
    </row>
    <row r="253" spans="1:20" x14ac:dyDescent="0.3">
      <c r="A253" s="1">
        <v>45387</v>
      </c>
      <c r="B253" s="2" t="s">
        <v>69</v>
      </c>
      <c r="C253" s="2" t="s">
        <v>32</v>
      </c>
      <c r="D253" s="2" t="s">
        <v>33</v>
      </c>
      <c r="E253">
        <v>2520</v>
      </c>
      <c r="F253" t="b">
        <v>0</v>
      </c>
      <c r="G253" s="2" t="s">
        <v>65</v>
      </c>
      <c r="H253" s="2" t="s">
        <v>24</v>
      </c>
      <c r="I253" s="2" t="s">
        <v>25</v>
      </c>
      <c r="J253" s="2" t="s">
        <v>48</v>
      </c>
      <c r="K253">
        <v>1</v>
      </c>
      <c r="L253" s="2" t="s">
        <v>49</v>
      </c>
      <c r="M253" s="2" t="s">
        <v>73</v>
      </c>
      <c r="N253" t="b">
        <v>0</v>
      </c>
      <c r="O253">
        <v>50</v>
      </c>
      <c r="P253" s="2" t="s">
        <v>63</v>
      </c>
      <c r="Q253">
        <v>8</v>
      </c>
      <c r="R253">
        <v>2</v>
      </c>
      <c r="S253">
        <v>1306</v>
      </c>
      <c r="T253" s="2" t="s">
        <v>30</v>
      </c>
    </row>
    <row r="254" spans="1:20" x14ac:dyDescent="0.3">
      <c r="A254" s="1">
        <v>45388</v>
      </c>
      <c r="B254" s="2" t="s">
        <v>71</v>
      </c>
      <c r="C254" s="2" t="s">
        <v>45</v>
      </c>
      <c r="D254" s="2" t="s">
        <v>33</v>
      </c>
      <c r="E254">
        <v>2595</v>
      </c>
      <c r="F254" t="b">
        <v>0</v>
      </c>
      <c r="G254" s="2" t="s">
        <v>40</v>
      </c>
      <c r="H254" s="2" t="s">
        <v>24</v>
      </c>
      <c r="I254" s="2" t="s">
        <v>59</v>
      </c>
      <c r="J254" s="2" t="s">
        <v>43</v>
      </c>
      <c r="K254">
        <v>4</v>
      </c>
      <c r="L254" s="2" t="s">
        <v>49</v>
      </c>
      <c r="M254" s="2" t="s">
        <v>66</v>
      </c>
      <c r="N254" t="b">
        <v>1</v>
      </c>
      <c r="O254">
        <v>27</v>
      </c>
      <c r="P254" s="2" t="s">
        <v>37</v>
      </c>
      <c r="Q254">
        <v>7</v>
      </c>
      <c r="R254">
        <v>3</v>
      </c>
      <c r="S254">
        <v>568</v>
      </c>
      <c r="T254" s="2" t="s">
        <v>38</v>
      </c>
    </row>
    <row r="255" spans="1:20" x14ac:dyDescent="0.3">
      <c r="A255" s="1">
        <v>45388</v>
      </c>
      <c r="B255" s="2" t="s">
        <v>52</v>
      </c>
      <c r="C255" s="2" t="s">
        <v>56</v>
      </c>
      <c r="D255" s="2" t="s">
        <v>53</v>
      </c>
      <c r="E255">
        <v>6172</v>
      </c>
      <c r="F255" t="b">
        <v>0</v>
      </c>
      <c r="G255" s="2" t="s">
        <v>23</v>
      </c>
      <c r="H255" s="2" t="s">
        <v>35</v>
      </c>
      <c r="I255" s="2" t="s">
        <v>47</v>
      </c>
      <c r="J255" s="2" t="s">
        <v>43</v>
      </c>
      <c r="K255">
        <v>5</v>
      </c>
      <c r="L255" s="2" t="s">
        <v>36</v>
      </c>
      <c r="M255" s="2" t="s">
        <v>58</v>
      </c>
      <c r="N255" t="b">
        <v>0</v>
      </c>
      <c r="O255">
        <v>86</v>
      </c>
      <c r="P255" s="2" t="s">
        <v>37</v>
      </c>
      <c r="Q255">
        <v>7</v>
      </c>
      <c r="R255">
        <v>3</v>
      </c>
      <c r="S255">
        <v>3519</v>
      </c>
      <c r="T255" s="2" t="s">
        <v>38</v>
      </c>
    </row>
    <row r="256" spans="1:20" x14ac:dyDescent="0.3">
      <c r="A256" s="1">
        <v>45388</v>
      </c>
      <c r="B256" s="2" t="s">
        <v>52</v>
      </c>
      <c r="C256" s="2" t="s">
        <v>60</v>
      </c>
      <c r="D256" s="2" t="s">
        <v>53</v>
      </c>
      <c r="E256">
        <v>3488</v>
      </c>
      <c r="F256" t="b">
        <v>0</v>
      </c>
      <c r="G256" s="2" t="s">
        <v>34</v>
      </c>
      <c r="H256" s="2" t="s">
        <v>70</v>
      </c>
      <c r="I256" s="2" t="s">
        <v>25</v>
      </c>
      <c r="J256" s="2" t="s">
        <v>43</v>
      </c>
      <c r="K256">
        <v>2</v>
      </c>
      <c r="L256" s="2" t="s">
        <v>27</v>
      </c>
      <c r="M256" s="2" t="s">
        <v>28</v>
      </c>
      <c r="N256" t="b">
        <v>1</v>
      </c>
      <c r="O256">
        <v>55</v>
      </c>
      <c r="P256" s="2" t="s">
        <v>63</v>
      </c>
      <c r="Q256">
        <v>2</v>
      </c>
      <c r="R256">
        <v>2</v>
      </c>
      <c r="S256">
        <v>1899</v>
      </c>
      <c r="T256" s="2" t="s">
        <v>38</v>
      </c>
    </row>
    <row r="257" spans="1:20" x14ac:dyDescent="0.3">
      <c r="A257" s="1">
        <v>45389</v>
      </c>
      <c r="B257" s="2" t="s">
        <v>68</v>
      </c>
      <c r="C257" s="2" t="s">
        <v>21</v>
      </c>
      <c r="D257" s="2" t="s">
        <v>46</v>
      </c>
      <c r="E257">
        <v>3161</v>
      </c>
      <c r="F257" t="b">
        <v>1</v>
      </c>
      <c r="G257" s="2" t="s">
        <v>23</v>
      </c>
      <c r="H257" s="2" t="s">
        <v>70</v>
      </c>
      <c r="I257" s="2" t="s">
        <v>42</v>
      </c>
      <c r="J257" s="2" t="s">
        <v>54</v>
      </c>
      <c r="K257">
        <v>5</v>
      </c>
      <c r="L257" s="2" t="s">
        <v>36</v>
      </c>
      <c r="M257" s="2" t="s">
        <v>58</v>
      </c>
      <c r="N257" t="b">
        <v>0</v>
      </c>
      <c r="O257">
        <v>12</v>
      </c>
      <c r="P257" s="2" t="s">
        <v>29</v>
      </c>
      <c r="Q257">
        <v>9</v>
      </c>
      <c r="R257">
        <v>1</v>
      </c>
      <c r="S257">
        <v>3737</v>
      </c>
      <c r="T257" s="2" t="s">
        <v>38</v>
      </c>
    </row>
    <row r="258" spans="1:20" x14ac:dyDescent="0.3">
      <c r="A258" s="1">
        <v>45389</v>
      </c>
      <c r="B258" s="2" t="s">
        <v>74</v>
      </c>
      <c r="C258" s="2" t="s">
        <v>56</v>
      </c>
      <c r="D258" s="2" t="s">
        <v>57</v>
      </c>
      <c r="E258">
        <v>1000</v>
      </c>
      <c r="F258" t="b">
        <v>0</v>
      </c>
      <c r="G258" s="2" t="s">
        <v>40</v>
      </c>
      <c r="H258" s="2" t="s">
        <v>24</v>
      </c>
      <c r="I258" s="2" t="s">
        <v>25</v>
      </c>
      <c r="J258" s="2" t="s">
        <v>54</v>
      </c>
      <c r="K258">
        <v>5</v>
      </c>
      <c r="L258" s="2" t="s">
        <v>36</v>
      </c>
      <c r="M258" s="2" t="s">
        <v>28</v>
      </c>
      <c r="N258" t="b">
        <v>0</v>
      </c>
      <c r="O258">
        <v>8</v>
      </c>
      <c r="P258" s="2" t="s">
        <v>29</v>
      </c>
      <c r="Q258">
        <v>5</v>
      </c>
      <c r="R258">
        <v>2</v>
      </c>
      <c r="S258">
        <v>4001</v>
      </c>
      <c r="T258" s="2" t="s">
        <v>51</v>
      </c>
    </row>
    <row r="259" spans="1:20" x14ac:dyDescent="0.3">
      <c r="A259" s="1">
        <v>45389</v>
      </c>
      <c r="B259" s="2" t="s">
        <v>75</v>
      </c>
      <c r="C259" s="2" t="s">
        <v>60</v>
      </c>
      <c r="D259" s="2" t="s">
        <v>53</v>
      </c>
      <c r="E259">
        <v>6115</v>
      </c>
      <c r="F259" t="b">
        <v>0</v>
      </c>
      <c r="G259" s="2" t="s">
        <v>34</v>
      </c>
      <c r="H259" s="2" t="s">
        <v>41</v>
      </c>
      <c r="I259" s="2" t="s">
        <v>59</v>
      </c>
      <c r="J259" s="2" t="s">
        <v>48</v>
      </c>
      <c r="K259">
        <v>3</v>
      </c>
      <c r="L259" s="2" t="s">
        <v>49</v>
      </c>
      <c r="M259" s="2" t="s">
        <v>66</v>
      </c>
      <c r="N259" t="b">
        <v>0</v>
      </c>
      <c r="O259">
        <v>74</v>
      </c>
      <c r="P259" s="2" t="s">
        <v>50</v>
      </c>
      <c r="Q259">
        <v>2</v>
      </c>
      <c r="R259">
        <v>3</v>
      </c>
      <c r="S259">
        <v>1380</v>
      </c>
      <c r="T259" s="2" t="s">
        <v>51</v>
      </c>
    </row>
    <row r="260" spans="1:20" x14ac:dyDescent="0.3">
      <c r="A260" s="1">
        <v>45389</v>
      </c>
      <c r="B260" s="2" t="s">
        <v>20</v>
      </c>
      <c r="C260" s="2" t="s">
        <v>21</v>
      </c>
      <c r="D260" s="2" t="s">
        <v>57</v>
      </c>
      <c r="E260">
        <v>1000</v>
      </c>
      <c r="F260" t="b">
        <v>0</v>
      </c>
      <c r="G260" s="2" t="s">
        <v>64</v>
      </c>
      <c r="H260" s="2" t="s">
        <v>41</v>
      </c>
      <c r="I260" s="2" t="s">
        <v>47</v>
      </c>
      <c r="J260" s="2" t="s">
        <v>48</v>
      </c>
      <c r="K260">
        <v>1</v>
      </c>
      <c r="L260" s="2" t="s">
        <v>36</v>
      </c>
      <c r="M260" s="2" t="s">
        <v>66</v>
      </c>
      <c r="N260" t="b">
        <v>1</v>
      </c>
      <c r="O260">
        <v>70</v>
      </c>
      <c r="P260" s="2" t="s">
        <v>37</v>
      </c>
      <c r="Q260">
        <v>4</v>
      </c>
      <c r="R260">
        <v>2</v>
      </c>
      <c r="S260">
        <v>3842</v>
      </c>
      <c r="T260" s="2" t="s">
        <v>38</v>
      </c>
    </row>
    <row r="261" spans="1:20" x14ac:dyDescent="0.3">
      <c r="A261" s="1">
        <v>45389</v>
      </c>
      <c r="B261" s="2" t="s">
        <v>68</v>
      </c>
      <c r="C261" s="2" t="s">
        <v>45</v>
      </c>
      <c r="D261" s="2" t="s">
        <v>22</v>
      </c>
      <c r="E261">
        <v>6344</v>
      </c>
      <c r="F261" t="b">
        <v>0</v>
      </c>
      <c r="G261" s="2" t="s">
        <v>65</v>
      </c>
      <c r="H261" s="2" t="s">
        <v>41</v>
      </c>
      <c r="I261" s="2" t="s">
        <v>42</v>
      </c>
      <c r="J261" s="2" t="s">
        <v>26</v>
      </c>
      <c r="K261">
        <v>2</v>
      </c>
      <c r="L261" s="2" t="s">
        <v>49</v>
      </c>
      <c r="M261" s="2" t="s">
        <v>58</v>
      </c>
      <c r="N261" t="b">
        <v>0</v>
      </c>
      <c r="O261">
        <v>29</v>
      </c>
      <c r="P261" s="2" t="s">
        <v>29</v>
      </c>
      <c r="Q261">
        <v>10</v>
      </c>
      <c r="R261">
        <v>3</v>
      </c>
      <c r="S261">
        <v>4027</v>
      </c>
      <c r="T261" s="2" t="s">
        <v>38</v>
      </c>
    </row>
    <row r="262" spans="1:20" x14ac:dyDescent="0.3">
      <c r="A262" s="1">
        <v>45390</v>
      </c>
      <c r="B262" s="2" t="s">
        <v>55</v>
      </c>
      <c r="C262" s="2" t="s">
        <v>56</v>
      </c>
      <c r="D262" s="2" t="s">
        <v>22</v>
      </c>
      <c r="E262">
        <v>5407</v>
      </c>
      <c r="F262" t="b">
        <v>0</v>
      </c>
      <c r="G262" s="2" t="s">
        <v>40</v>
      </c>
      <c r="H262" s="2" t="s">
        <v>41</v>
      </c>
      <c r="I262" s="2" t="s">
        <v>25</v>
      </c>
      <c r="J262" s="2" t="s">
        <v>43</v>
      </c>
      <c r="K262">
        <v>1</v>
      </c>
      <c r="L262" s="2" t="s">
        <v>36</v>
      </c>
      <c r="M262" s="2" t="s">
        <v>58</v>
      </c>
      <c r="N262" t="b">
        <v>0</v>
      </c>
      <c r="O262">
        <v>12</v>
      </c>
      <c r="P262" s="2" t="s">
        <v>50</v>
      </c>
      <c r="Q262">
        <v>4</v>
      </c>
      <c r="R262">
        <v>1</v>
      </c>
      <c r="S262">
        <v>4023</v>
      </c>
      <c r="T262" s="2" t="s">
        <v>30</v>
      </c>
    </row>
    <row r="263" spans="1:20" x14ac:dyDescent="0.3">
      <c r="A263" s="1">
        <v>45390</v>
      </c>
      <c r="B263" s="2" t="s">
        <v>74</v>
      </c>
      <c r="C263" s="2" t="s">
        <v>32</v>
      </c>
      <c r="D263" s="2" t="s">
        <v>33</v>
      </c>
      <c r="E263">
        <v>3752</v>
      </c>
      <c r="F263" t="b">
        <v>0</v>
      </c>
      <c r="G263" s="2" t="s">
        <v>40</v>
      </c>
      <c r="H263" s="2" t="s">
        <v>35</v>
      </c>
      <c r="I263" s="2" t="s">
        <v>42</v>
      </c>
      <c r="J263" s="2" t="s">
        <v>43</v>
      </c>
      <c r="K263">
        <v>0</v>
      </c>
      <c r="L263" s="2" t="s">
        <v>36</v>
      </c>
      <c r="M263" s="2" t="s">
        <v>73</v>
      </c>
      <c r="N263" t="b">
        <v>1</v>
      </c>
      <c r="O263">
        <v>28</v>
      </c>
      <c r="P263" s="2" t="s">
        <v>50</v>
      </c>
      <c r="Q263">
        <v>4</v>
      </c>
      <c r="R263">
        <v>1</v>
      </c>
      <c r="S263">
        <v>1920</v>
      </c>
      <c r="T263" s="2" t="s">
        <v>51</v>
      </c>
    </row>
    <row r="264" spans="1:20" x14ac:dyDescent="0.3">
      <c r="A264" s="1">
        <v>45390</v>
      </c>
      <c r="B264" s="2" t="s">
        <v>74</v>
      </c>
      <c r="C264" s="2" t="s">
        <v>32</v>
      </c>
      <c r="D264" s="2" t="s">
        <v>57</v>
      </c>
      <c r="E264">
        <v>1000</v>
      </c>
      <c r="F264" t="b">
        <v>1</v>
      </c>
      <c r="G264" s="2" t="s">
        <v>40</v>
      </c>
      <c r="H264" s="2" t="s">
        <v>24</v>
      </c>
      <c r="I264" s="2" t="s">
        <v>42</v>
      </c>
      <c r="J264" s="2" t="s">
        <v>26</v>
      </c>
      <c r="K264">
        <v>5</v>
      </c>
      <c r="L264" s="2" t="s">
        <v>27</v>
      </c>
      <c r="M264" s="2" t="s">
        <v>73</v>
      </c>
      <c r="N264" t="b">
        <v>1</v>
      </c>
      <c r="O264">
        <v>41</v>
      </c>
      <c r="P264" s="2" t="s">
        <v>50</v>
      </c>
      <c r="Q264">
        <v>9</v>
      </c>
      <c r="R264">
        <v>2</v>
      </c>
      <c r="S264">
        <v>3283</v>
      </c>
      <c r="T264" s="2" t="s">
        <v>51</v>
      </c>
    </row>
    <row r="265" spans="1:20" x14ac:dyDescent="0.3">
      <c r="A265" s="1">
        <v>45390</v>
      </c>
      <c r="B265" s="2" t="s">
        <v>69</v>
      </c>
      <c r="C265" s="2" t="s">
        <v>32</v>
      </c>
      <c r="D265" s="2" t="s">
        <v>46</v>
      </c>
      <c r="E265">
        <v>2447</v>
      </c>
      <c r="F265" t="b">
        <v>1</v>
      </c>
      <c r="G265" s="2" t="s">
        <v>64</v>
      </c>
      <c r="H265" s="2" t="s">
        <v>35</v>
      </c>
      <c r="I265" s="2" t="s">
        <v>47</v>
      </c>
      <c r="J265" s="2" t="s">
        <v>26</v>
      </c>
      <c r="K265">
        <v>0</v>
      </c>
      <c r="L265" s="2" t="s">
        <v>49</v>
      </c>
      <c r="M265" s="2" t="s">
        <v>66</v>
      </c>
      <c r="N265" t="b">
        <v>0</v>
      </c>
      <c r="O265">
        <v>9</v>
      </c>
      <c r="P265" s="2" t="s">
        <v>63</v>
      </c>
      <c r="Q265">
        <v>9</v>
      </c>
      <c r="R265">
        <v>3</v>
      </c>
      <c r="S265">
        <v>827</v>
      </c>
      <c r="T265" s="2" t="s">
        <v>30</v>
      </c>
    </row>
    <row r="266" spans="1:20" x14ac:dyDescent="0.3">
      <c r="A266" s="1">
        <v>45392</v>
      </c>
      <c r="B266" s="2" t="s">
        <v>74</v>
      </c>
      <c r="C266" s="2" t="s">
        <v>21</v>
      </c>
      <c r="D266" s="2" t="s">
        <v>22</v>
      </c>
      <c r="E266">
        <v>8389</v>
      </c>
      <c r="F266" t="b">
        <v>0</v>
      </c>
      <c r="G266" s="2" t="s">
        <v>65</v>
      </c>
      <c r="H266" s="2" t="s">
        <v>41</v>
      </c>
      <c r="I266" s="2" t="s">
        <v>42</v>
      </c>
      <c r="J266" s="2" t="s">
        <v>54</v>
      </c>
      <c r="K266">
        <v>4</v>
      </c>
      <c r="L266" s="2" t="s">
        <v>27</v>
      </c>
      <c r="M266" s="2" t="s">
        <v>58</v>
      </c>
      <c r="N266" t="b">
        <v>1</v>
      </c>
      <c r="O266">
        <v>18</v>
      </c>
      <c r="P266" s="2" t="s">
        <v>37</v>
      </c>
      <c r="Q266">
        <v>6</v>
      </c>
      <c r="R266">
        <v>1</v>
      </c>
      <c r="S266">
        <v>4594</v>
      </c>
      <c r="T266" s="2" t="s">
        <v>51</v>
      </c>
    </row>
    <row r="267" spans="1:20" x14ac:dyDescent="0.3">
      <c r="A267" s="1">
        <v>45393</v>
      </c>
      <c r="B267" s="2" t="s">
        <v>39</v>
      </c>
      <c r="C267" s="2" t="s">
        <v>21</v>
      </c>
      <c r="D267" s="2" t="s">
        <v>53</v>
      </c>
      <c r="E267">
        <v>3204</v>
      </c>
      <c r="F267" t="b">
        <v>0</v>
      </c>
      <c r="G267" s="2" t="s">
        <v>64</v>
      </c>
      <c r="H267" s="2" t="s">
        <v>41</v>
      </c>
      <c r="I267" s="2" t="s">
        <v>25</v>
      </c>
      <c r="J267" s="2" t="s">
        <v>54</v>
      </c>
      <c r="K267">
        <v>1</v>
      </c>
      <c r="L267" s="2" t="s">
        <v>49</v>
      </c>
      <c r="M267" s="2" t="s">
        <v>58</v>
      </c>
      <c r="N267" t="b">
        <v>0</v>
      </c>
      <c r="O267">
        <v>40</v>
      </c>
      <c r="P267" s="2" t="s">
        <v>67</v>
      </c>
      <c r="Q267">
        <v>8</v>
      </c>
      <c r="R267">
        <v>2</v>
      </c>
      <c r="S267">
        <v>2433</v>
      </c>
      <c r="T267" s="2" t="s">
        <v>51</v>
      </c>
    </row>
    <row r="268" spans="1:20" x14ac:dyDescent="0.3">
      <c r="A268" s="1">
        <v>45393</v>
      </c>
      <c r="B268" s="2" t="s">
        <v>72</v>
      </c>
      <c r="C268" s="2" t="s">
        <v>60</v>
      </c>
      <c r="D268" s="2" t="s">
        <v>61</v>
      </c>
      <c r="E268">
        <v>1000</v>
      </c>
      <c r="F268" t="b">
        <v>0</v>
      </c>
      <c r="G268" s="2" t="s">
        <v>65</v>
      </c>
      <c r="H268" s="2" t="s">
        <v>41</v>
      </c>
      <c r="I268" s="2" t="s">
        <v>47</v>
      </c>
      <c r="J268" s="2" t="s">
        <v>48</v>
      </c>
      <c r="K268">
        <v>3</v>
      </c>
      <c r="L268" s="2" t="s">
        <v>36</v>
      </c>
      <c r="M268" s="2" t="s">
        <v>73</v>
      </c>
      <c r="N268" t="b">
        <v>0</v>
      </c>
      <c r="O268">
        <v>43</v>
      </c>
      <c r="P268" s="2" t="s">
        <v>29</v>
      </c>
      <c r="Q268">
        <v>4</v>
      </c>
      <c r="R268">
        <v>1</v>
      </c>
      <c r="S268">
        <v>2835</v>
      </c>
      <c r="T268" s="2" t="s">
        <v>51</v>
      </c>
    </row>
    <row r="269" spans="1:20" x14ac:dyDescent="0.3">
      <c r="A269" s="1">
        <v>45393</v>
      </c>
      <c r="B269" s="2" t="s">
        <v>68</v>
      </c>
      <c r="C269" s="2" t="s">
        <v>32</v>
      </c>
      <c r="D269" s="2" t="s">
        <v>22</v>
      </c>
      <c r="E269">
        <v>6696</v>
      </c>
      <c r="F269" t="b">
        <v>1</v>
      </c>
      <c r="G269" s="2" t="s">
        <v>65</v>
      </c>
      <c r="H269" s="2" t="s">
        <v>24</v>
      </c>
      <c r="I269" s="2" t="s">
        <v>25</v>
      </c>
      <c r="J269" s="2" t="s">
        <v>48</v>
      </c>
      <c r="K269">
        <v>2</v>
      </c>
      <c r="L269" s="2" t="s">
        <v>49</v>
      </c>
      <c r="M269" s="2" t="s">
        <v>66</v>
      </c>
      <c r="N269" t="b">
        <v>0</v>
      </c>
      <c r="O269">
        <v>119</v>
      </c>
      <c r="P269" s="2" t="s">
        <v>37</v>
      </c>
      <c r="Q269">
        <v>6</v>
      </c>
      <c r="R269">
        <v>3</v>
      </c>
      <c r="S269">
        <v>4419</v>
      </c>
      <c r="T269" s="2" t="s">
        <v>38</v>
      </c>
    </row>
    <row r="270" spans="1:20" x14ac:dyDescent="0.3">
      <c r="A270" s="1">
        <v>45395</v>
      </c>
      <c r="B270" s="2" t="s">
        <v>52</v>
      </c>
      <c r="C270" s="2" t="s">
        <v>56</v>
      </c>
      <c r="D270" s="2" t="s">
        <v>33</v>
      </c>
      <c r="E270">
        <v>3391</v>
      </c>
      <c r="F270" t="b">
        <v>1</v>
      </c>
      <c r="G270" s="2" t="s">
        <v>65</v>
      </c>
      <c r="H270" s="2" t="s">
        <v>70</v>
      </c>
      <c r="I270" s="2" t="s">
        <v>47</v>
      </c>
      <c r="J270" s="2" t="s">
        <v>26</v>
      </c>
      <c r="K270">
        <v>4</v>
      </c>
      <c r="L270" s="2" t="s">
        <v>27</v>
      </c>
      <c r="M270" s="2" t="s">
        <v>28</v>
      </c>
      <c r="N270" t="b">
        <v>1</v>
      </c>
      <c r="O270">
        <v>12</v>
      </c>
      <c r="P270" s="2" t="s">
        <v>67</v>
      </c>
      <c r="Q270">
        <v>3</v>
      </c>
      <c r="R270">
        <v>2</v>
      </c>
      <c r="S270">
        <v>655</v>
      </c>
      <c r="T270" s="2" t="s">
        <v>30</v>
      </c>
    </row>
    <row r="271" spans="1:20" x14ac:dyDescent="0.3">
      <c r="A271" s="1">
        <v>45395</v>
      </c>
      <c r="B271" s="2" t="s">
        <v>55</v>
      </c>
      <c r="C271" s="2" t="s">
        <v>32</v>
      </c>
      <c r="D271" s="2" t="s">
        <v>46</v>
      </c>
      <c r="E271">
        <v>4207</v>
      </c>
      <c r="F271" t="b">
        <v>1</v>
      </c>
      <c r="G271" s="2" t="s">
        <v>23</v>
      </c>
      <c r="H271" s="2" t="s">
        <v>35</v>
      </c>
      <c r="I271" s="2" t="s">
        <v>25</v>
      </c>
      <c r="J271" s="2" t="s">
        <v>26</v>
      </c>
      <c r="K271">
        <v>3</v>
      </c>
      <c r="L271" s="2" t="s">
        <v>49</v>
      </c>
      <c r="M271" s="2" t="s">
        <v>28</v>
      </c>
      <c r="N271" t="b">
        <v>0</v>
      </c>
      <c r="O271">
        <v>88</v>
      </c>
      <c r="P271" s="2" t="s">
        <v>29</v>
      </c>
      <c r="Q271">
        <v>9</v>
      </c>
      <c r="R271">
        <v>3</v>
      </c>
      <c r="S271">
        <v>988</v>
      </c>
      <c r="T271" s="2" t="s">
        <v>38</v>
      </c>
    </row>
    <row r="272" spans="1:20" x14ac:dyDescent="0.3">
      <c r="A272" s="1">
        <v>45396</v>
      </c>
      <c r="B272" s="2" t="s">
        <v>44</v>
      </c>
      <c r="C272" s="2" t="s">
        <v>45</v>
      </c>
      <c r="D272" s="2" t="s">
        <v>53</v>
      </c>
      <c r="E272">
        <v>6756</v>
      </c>
      <c r="F272" t="b">
        <v>1</v>
      </c>
      <c r="G272" s="2" t="s">
        <v>40</v>
      </c>
      <c r="H272" s="2" t="s">
        <v>41</v>
      </c>
      <c r="I272" s="2" t="s">
        <v>59</v>
      </c>
      <c r="J272" s="2" t="s">
        <v>54</v>
      </c>
      <c r="K272">
        <v>0</v>
      </c>
      <c r="L272" s="2" t="s">
        <v>49</v>
      </c>
      <c r="M272" s="2" t="s">
        <v>58</v>
      </c>
      <c r="N272" t="b">
        <v>1</v>
      </c>
      <c r="O272">
        <v>98</v>
      </c>
      <c r="P272" s="2" t="s">
        <v>67</v>
      </c>
      <c r="Q272">
        <v>7</v>
      </c>
      <c r="R272">
        <v>3</v>
      </c>
      <c r="S272">
        <v>3864</v>
      </c>
      <c r="T272" s="2" t="s">
        <v>30</v>
      </c>
    </row>
    <row r="273" spans="1:20" x14ac:dyDescent="0.3">
      <c r="A273" s="1">
        <v>45397</v>
      </c>
      <c r="B273" s="2" t="s">
        <v>55</v>
      </c>
      <c r="C273" s="2" t="s">
        <v>56</v>
      </c>
      <c r="D273" s="2" t="s">
        <v>46</v>
      </c>
      <c r="E273">
        <v>1899</v>
      </c>
      <c r="F273" t="b">
        <v>0</v>
      </c>
      <c r="G273" s="2" t="s">
        <v>40</v>
      </c>
      <c r="H273" s="2" t="s">
        <v>24</v>
      </c>
      <c r="I273" s="2" t="s">
        <v>47</v>
      </c>
      <c r="J273" s="2" t="s">
        <v>26</v>
      </c>
      <c r="K273">
        <v>4</v>
      </c>
      <c r="L273" s="2" t="s">
        <v>36</v>
      </c>
      <c r="M273" s="2" t="s">
        <v>73</v>
      </c>
      <c r="N273" t="b">
        <v>0</v>
      </c>
      <c r="O273">
        <v>28</v>
      </c>
      <c r="P273" s="2" t="s">
        <v>67</v>
      </c>
      <c r="Q273">
        <v>10</v>
      </c>
      <c r="R273">
        <v>3</v>
      </c>
      <c r="S273">
        <v>768</v>
      </c>
      <c r="T273" s="2" t="s">
        <v>51</v>
      </c>
    </row>
    <row r="274" spans="1:20" x14ac:dyDescent="0.3">
      <c r="A274" s="1">
        <v>45398</v>
      </c>
      <c r="B274" s="2" t="s">
        <v>68</v>
      </c>
      <c r="C274" s="2" t="s">
        <v>56</v>
      </c>
      <c r="D274" s="2" t="s">
        <v>33</v>
      </c>
      <c r="E274">
        <v>2433</v>
      </c>
      <c r="F274" t="b">
        <v>0</v>
      </c>
      <c r="G274" s="2" t="s">
        <v>64</v>
      </c>
      <c r="H274" s="2" t="s">
        <v>24</v>
      </c>
      <c r="I274" s="2" t="s">
        <v>25</v>
      </c>
      <c r="J274" s="2" t="s">
        <v>54</v>
      </c>
      <c r="K274">
        <v>1</v>
      </c>
      <c r="L274" s="2" t="s">
        <v>49</v>
      </c>
      <c r="M274" s="2" t="s">
        <v>66</v>
      </c>
      <c r="N274" t="b">
        <v>1</v>
      </c>
      <c r="O274">
        <v>59</v>
      </c>
      <c r="P274" s="2" t="s">
        <v>29</v>
      </c>
      <c r="Q274">
        <v>5</v>
      </c>
      <c r="R274">
        <v>1</v>
      </c>
      <c r="S274">
        <v>1479</v>
      </c>
      <c r="T274" s="2" t="s">
        <v>38</v>
      </c>
    </row>
    <row r="275" spans="1:20" x14ac:dyDescent="0.3">
      <c r="A275" s="1">
        <v>45398</v>
      </c>
      <c r="B275" s="2" t="s">
        <v>72</v>
      </c>
      <c r="C275" s="2" t="s">
        <v>60</v>
      </c>
      <c r="D275" s="2" t="s">
        <v>33</v>
      </c>
      <c r="E275">
        <v>4507</v>
      </c>
      <c r="F275" t="b">
        <v>0</v>
      </c>
      <c r="G275" s="2" t="s">
        <v>65</v>
      </c>
      <c r="H275" s="2" t="s">
        <v>41</v>
      </c>
      <c r="I275" s="2" t="s">
        <v>47</v>
      </c>
      <c r="J275" s="2" t="s">
        <v>26</v>
      </c>
      <c r="K275">
        <v>2</v>
      </c>
      <c r="L275" s="2" t="s">
        <v>36</v>
      </c>
      <c r="M275" s="2" t="s">
        <v>58</v>
      </c>
      <c r="N275" t="b">
        <v>0</v>
      </c>
      <c r="O275">
        <v>46</v>
      </c>
      <c r="P275" s="2" t="s">
        <v>50</v>
      </c>
      <c r="Q275">
        <v>10</v>
      </c>
      <c r="R275">
        <v>1</v>
      </c>
      <c r="S275">
        <v>519</v>
      </c>
      <c r="T275" s="2" t="s">
        <v>30</v>
      </c>
    </row>
    <row r="276" spans="1:20" x14ac:dyDescent="0.3">
      <c r="A276" s="1">
        <v>45398</v>
      </c>
      <c r="B276" s="2" t="s">
        <v>31</v>
      </c>
      <c r="C276" s="2" t="s">
        <v>60</v>
      </c>
      <c r="D276" s="2" t="s">
        <v>46</v>
      </c>
      <c r="E276">
        <v>3781</v>
      </c>
      <c r="F276" t="b">
        <v>0</v>
      </c>
      <c r="G276" s="2" t="s">
        <v>23</v>
      </c>
      <c r="H276" s="2" t="s">
        <v>35</v>
      </c>
      <c r="I276" s="2" t="s">
        <v>47</v>
      </c>
      <c r="J276" s="2" t="s">
        <v>43</v>
      </c>
      <c r="K276">
        <v>4</v>
      </c>
      <c r="L276" s="2" t="s">
        <v>27</v>
      </c>
      <c r="M276" s="2" t="s">
        <v>73</v>
      </c>
      <c r="N276" t="b">
        <v>0</v>
      </c>
      <c r="O276">
        <v>87</v>
      </c>
      <c r="P276" s="2" t="s">
        <v>67</v>
      </c>
      <c r="Q276">
        <v>3</v>
      </c>
      <c r="R276">
        <v>2</v>
      </c>
      <c r="S276">
        <v>2163</v>
      </c>
      <c r="T276" s="2" t="s">
        <v>38</v>
      </c>
    </row>
    <row r="277" spans="1:20" x14ac:dyDescent="0.3">
      <c r="A277" s="1">
        <v>45399</v>
      </c>
      <c r="B277" s="2" t="s">
        <v>44</v>
      </c>
      <c r="C277" s="2" t="s">
        <v>32</v>
      </c>
      <c r="D277" s="2" t="s">
        <v>57</v>
      </c>
      <c r="E277">
        <v>1000</v>
      </c>
      <c r="F277" t="b">
        <v>0</v>
      </c>
      <c r="G277" s="2" t="s">
        <v>40</v>
      </c>
      <c r="H277" s="2" t="s">
        <v>24</v>
      </c>
      <c r="I277" s="2" t="s">
        <v>59</v>
      </c>
      <c r="J277" s="2" t="s">
        <v>54</v>
      </c>
      <c r="K277">
        <v>0</v>
      </c>
      <c r="L277" s="2" t="s">
        <v>49</v>
      </c>
      <c r="M277" s="2" t="s">
        <v>66</v>
      </c>
      <c r="N277" t="b">
        <v>0</v>
      </c>
      <c r="O277">
        <v>70</v>
      </c>
      <c r="P277" s="2" t="s">
        <v>50</v>
      </c>
      <c r="Q277">
        <v>10</v>
      </c>
      <c r="R277">
        <v>1</v>
      </c>
      <c r="S277">
        <v>1495</v>
      </c>
      <c r="T277" s="2" t="s">
        <v>30</v>
      </c>
    </row>
    <row r="278" spans="1:20" x14ac:dyDescent="0.3">
      <c r="A278" s="1">
        <v>45399</v>
      </c>
      <c r="B278" s="2" t="s">
        <v>72</v>
      </c>
      <c r="C278" s="2" t="s">
        <v>21</v>
      </c>
      <c r="D278" s="2" t="s">
        <v>53</v>
      </c>
      <c r="E278">
        <v>6476</v>
      </c>
      <c r="F278" t="b">
        <v>1</v>
      </c>
      <c r="G278" s="2" t="s">
        <v>65</v>
      </c>
      <c r="H278" s="2" t="s">
        <v>35</v>
      </c>
      <c r="I278" s="2" t="s">
        <v>59</v>
      </c>
      <c r="J278" s="2" t="s">
        <v>48</v>
      </c>
      <c r="K278">
        <v>4</v>
      </c>
      <c r="L278" s="2" t="s">
        <v>36</v>
      </c>
      <c r="M278" s="2" t="s">
        <v>28</v>
      </c>
      <c r="N278" t="b">
        <v>1</v>
      </c>
      <c r="O278">
        <v>95</v>
      </c>
      <c r="P278" s="2" t="s">
        <v>37</v>
      </c>
      <c r="Q278">
        <v>1</v>
      </c>
      <c r="R278">
        <v>2</v>
      </c>
      <c r="S278">
        <v>2242</v>
      </c>
      <c r="T278" s="2" t="s">
        <v>51</v>
      </c>
    </row>
    <row r="279" spans="1:20" x14ac:dyDescent="0.3">
      <c r="A279" s="1">
        <v>45399</v>
      </c>
      <c r="B279" s="2" t="s">
        <v>68</v>
      </c>
      <c r="C279" s="2" t="s">
        <v>32</v>
      </c>
      <c r="D279" s="2" t="s">
        <v>53</v>
      </c>
      <c r="E279">
        <v>7712</v>
      </c>
      <c r="F279" t="b">
        <v>0</v>
      </c>
      <c r="G279" s="2" t="s">
        <v>64</v>
      </c>
      <c r="H279" s="2" t="s">
        <v>70</v>
      </c>
      <c r="I279" s="2" t="s">
        <v>25</v>
      </c>
      <c r="J279" s="2" t="s">
        <v>54</v>
      </c>
      <c r="K279">
        <v>3</v>
      </c>
      <c r="L279" s="2" t="s">
        <v>49</v>
      </c>
      <c r="M279" s="2" t="s">
        <v>58</v>
      </c>
      <c r="N279" t="b">
        <v>0</v>
      </c>
      <c r="O279">
        <v>110</v>
      </c>
      <c r="P279" s="2" t="s">
        <v>50</v>
      </c>
      <c r="Q279">
        <v>10</v>
      </c>
      <c r="R279">
        <v>1</v>
      </c>
      <c r="S279">
        <v>1048</v>
      </c>
      <c r="T279" s="2" t="s">
        <v>51</v>
      </c>
    </row>
    <row r="280" spans="1:20" x14ac:dyDescent="0.3">
      <c r="A280" s="1">
        <v>45400</v>
      </c>
      <c r="B280" s="2" t="s">
        <v>62</v>
      </c>
      <c r="C280" s="2" t="s">
        <v>45</v>
      </c>
      <c r="D280" s="2" t="s">
        <v>46</v>
      </c>
      <c r="E280">
        <v>1385</v>
      </c>
      <c r="F280" t="b">
        <v>1</v>
      </c>
      <c r="G280" s="2" t="s">
        <v>23</v>
      </c>
      <c r="H280" s="2" t="s">
        <v>41</v>
      </c>
      <c r="I280" s="2" t="s">
        <v>25</v>
      </c>
      <c r="J280" s="2" t="s">
        <v>48</v>
      </c>
      <c r="K280">
        <v>5</v>
      </c>
      <c r="L280" s="2" t="s">
        <v>36</v>
      </c>
      <c r="M280" s="2" t="s">
        <v>73</v>
      </c>
      <c r="N280" t="b">
        <v>0</v>
      </c>
      <c r="O280">
        <v>11</v>
      </c>
      <c r="P280" s="2" t="s">
        <v>37</v>
      </c>
      <c r="Q280">
        <v>6</v>
      </c>
      <c r="R280">
        <v>1</v>
      </c>
      <c r="S280">
        <v>2577</v>
      </c>
      <c r="T280" s="2" t="s">
        <v>51</v>
      </c>
    </row>
    <row r="281" spans="1:20" x14ac:dyDescent="0.3">
      <c r="A281" s="1">
        <v>45400</v>
      </c>
      <c r="B281" s="2" t="s">
        <v>44</v>
      </c>
      <c r="C281" s="2" t="s">
        <v>56</v>
      </c>
      <c r="D281" s="2" t="s">
        <v>46</v>
      </c>
      <c r="E281">
        <v>4260</v>
      </c>
      <c r="F281" t="b">
        <v>1</v>
      </c>
      <c r="G281" s="2" t="s">
        <v>40</v>
      </c>
      <c r="H281" s="2" t="s">
        <v>24</v>
      </c>
      <c r="I281" s="2" t="s">
        <v>42</v>
      </c>
      <c r="J281" s="2" t="s">
        <v>48</v>
      </c>
      <c r="K281">
        <v>0</v>
      </c>
      <c r="L281" s="2" t="s">
        <v>49</v>
      </c>
      <c r="M281" s="2" t="s">
        <v>66</v>
      </c>
      <c r="N281" t="b">
        <v>1</v>
      </c>
      <c r="O281">
        <v>105</v>
      </c>
      <c r="P281" s="2" t="s">
        <v>29</v>
      </c>
      <c r="Q281">
        <v>1</v>
      </c>
      <c r="R281">
        <v>1</v>
      </c>
      <c r="S281">
        <v>4455</v>
      </c>
      <c r="T281" s="2" t="s">
        <v>51</v>
      </c>
    </row>
    <row r="282" spans="1:20" x14ac:dyDescent="0.3">
      <c r="A282" s="1">
        <v>45402</v>
      </c>
      <c r="B282" s="2" t="s">
        <v>72</v>
      </c>
      <c r="C282" s="2" t="s">
        <v>56</v>
      </c>
      <c r="D282" s="2" t="s">
        <v>57</v>
      </c>
      <c r="E282">
        <v>1000</v>
      </c>
      <c r="F282" t="b">
        <v>0</v>
      </c>
      <c r="G282" s="2" t="s">
        <v>40</v>
      </c>
      <c r="H282" s="2" t="s">
        <v>24</v>
      </c>
      <c r="I282" s="2" t="s">
        <v>42</v>
      </c>
      <c r="J282" s="2" t="s">
        <v>54</v>
      </c>
      <c r="K282">
        <v>3</v>
      </c>
      <c r="L282" s="2" t="s">
        <v>36</v>
      </c>
      <c r="M282" s="2" t="s">
        <v>73</v>
      </c>
      <c r="N282" t="b">
        <v>0</v>
      </c>
      <c r="O282">
        <v>50</v>
      </c>
      <c r="P282" s="2" t="s">
        <v>67</v>
      </c>
      <c r="Q282">
        <v>1</v>
      </c>
      <c r="R282">
        <v>1</v>
      </c>
      <c r="S282">
        <v>4727</v>
      </c>
      <c r="T282" s="2" t="s">
        <v>51</v>
      </c>
    </row>
    <row r="283" spans="1:20" x14ac:dyDescent="0.3">
      <c r="A283" s="1">
        <v>45402</v>
      </c>
      <c r="B283" s="2" t="s">
        <v>20</v>
      </c>
      <c r="C283" s="2" t="s">
        <v>45</v>
      </c>
      <c r="D283" s="2" t="s">
        <v>53</v>
      </c>
      <c r="E283">
        <v>7565</v>
      </c>
      <c r="F283" t="b">
        <v>1</v>
      </c>
      <c r="G283" s="2" t="s">
        <v>23</v>
      </c>
      <c r="H283" s="2" t="s">
        <v>24</v>
      </c>
      <c r="I283" s="2" t="s">
        <v>47</v>
      </c>
      <c r="J283" s="2" t="s">
        <v>43</v>
      </c>
      <c r="K283">
        <v>2</v>
      </c>
      <c r="L283" s="2" t="s">
        <v>27</v>
      </c>
      <c r="M283" s="2" t="s">
        <v>73</v>
      </c>
      <c r="N283" t="b">
        <v>1</v>
      </c>
      <c r="O283">
        <v>63</v>
      </c>
      <c r="P283" s="2" t="s">
        <v>37</v>
      </c>
      <c r="Q283">
        <v>4</v>
      </c>
      <c r="R283">
        <v>3</v>
      </c>
      <c r="S283">
        <v>2251</v>
      </c>
      <c r="T283" s="2" t="s">
        <v>30</v>
      </c>
    </row>
    <row r="284" spans="1:20" x14ac:dyDescent="0.3">
      <c r="A284" s="1">
        <v>45403</v>
      </c>
      <c r="B284" s="2" t="s">
        <v>77</v>
      </c>
      <c r="C284" s="2" t="s">
        <v>56</v>
      </c>
      <c r="D284" s="2" t="s">
        <v>33</v>
      </c>
      <c r="E284">
        <v>1763</v>
      </c>
      <c r="F284" t="b">
        <v>0</v>
      </c>
      <c r="G284" s="2" t="s">
        <v>34</v>
      </c>
      <c r="H284" s="2" t="s">
        <v>70</v>
      </c>
      <c r="I284" s="2" t="s">
        <v>47</v>
      </c>
      <c r="J284" s="2" t="s">
        <v>48</v>
      </c>
      <c r="K284">
        <v>1</v>
      </c>
      <c r="L284" s="2" t="s">
        <v>27</v>
      </c>
      <c r="M284" s="2" t="s">
        <v>58</v>
      </c>
      <c r="N284" t="b">
        <v>0</v>
      </c>
      <c r="O284">
        <v>64</v>
      </c>
      <c r="P284" s="2" t="s">
        <v>67</v>
      </c>
      <c r="Q284">
        <v>3</v>
      </c>
      <c r="R284">
        <v>1</v>
      </c>
      <c r="S284">
        <v>2871</v>
      </c>
      <c r="T284" s="2" t="s">
        <v>30</v>
      </c>
    </row>
    <row r="285" spans="1:20" x14ac:dyDescent="0.3">
      <c r="A285" s="1">
        <v>45403</v>
      </c>
      <c r="B285" s="2" t="s">
        <v>68</v>
      </c>
      <c r="C285" s="2" t="s">
        <v>21</v>
      </c>
      <c r="D285" s="2" t="s">
        <v>57</v>
      </c>
      <c r="E285">
        <v>1000</v>
      </c>
      <c r="F285" t="b">
        <v>0</v>
      </c>
      <c r="G285" s="2" t="s">
        <v>40</v>
      </c>
      <c r="H285" s="2" t="s">
        <v>70</v>
      </c>
      <c r="I285" s="2" t="s">
        <v>47</v>
      </c>
      <c r="J285" s="2" t="s">
        <v>43</v>
      </c>
      <c r="K285">
        <v>1</v>
      </c>
      <c r="L285" s="2" t="s">
        <v>36</v>
      </c>
      <c r="M285" s="2" t="s">
        <v>28</v>
      </c>
      <c r="N285" t="b">
        <v>1</v>
      </c>
      <c r="O285">
        <v>43</v>
      </c>
      <c r="P285" s="2" t="s">
        <v>29</v>
      </c>
      <c r="Q285">
        <v>6</v>
      </c>
      <c r="R285">
        <v>1</v>
      </c>
      <c r="S285">
        <v>3059</v>
      </c>
      <c r="T285" s="2" t="s">
        <v>51</v>
      </c>
    </row>
    <row r="286" spans="1:20" x14ac:dyDescent="0.3">
      <c r="A286" s="1">
        <v>45403</v>
      </c>
      <c r="B286" s="2" t="s">
        <v>77</v>
      </c>
      <c r="C286" s="2" t="s">
        <v>21</v>
      </c>
      <c r="D286" s="2" t="s">
        <v>46</v>
      </c>
      <c r="E286">
        <v>2953</v>
      </c>
      <c r="F286" t="b">
        <v>1</v>
      </c>
      <c r="G286" s="2" t="s">
        <v>34</v>
      </c>
      <c r="H286" s="2" t="s">
        <v>70</v>
      </c>
      <c r="I286" s="2" t="s">
        <v>47</v>
      </c>
      <c r="J286" s="2" t="s">
        <v>48</v>
      </c>
      <c r="K286">
        <v>2</v>
      </c>
      <c r="L286" s="2" t="s">
        <v>27</v>
      </c>
      <c r="M286" s="2" t="s">
        <v>28</v>
      </c>
      <c r="N286" t="b">
        <v>1</v>
      </c>
      <c r="O286">
        <v>67</v>
      </c>
      <c r="P286" s="2" t="s">
        <v>29</v>
      </c>
      <c r="Q286">
        <v>9</v>
      </c>
      <c r="R286">
        <v>2</v>
      </c>
      <c r="S286">
        <v>4842</v>
      </c>
      <c r="T286" s="2" t="s">
        <v>51</v>
      </c>
    </row>
    <row r="287" spans="1:20" x14ac:dyDescent="0.3">
      <c r="A287" s="1">
        <v>45404</v>
      </c>
      <c r="B287" s="2" t="s">
        <v>55</v>
      </c>
      <c r="C287" s="2" t="s">
        <v>32</v>
      </c>
      <c r="D287" s="2" t="s">
        <v>57</v>
      </c>
      <c r="E287">
        <v>1000</v>
      </c>
      <c r="F287" t="b">
        <v>1</v>
      </c>
      <c r="G287" s="2" t="s">
        <v>23</v>
      </c>
      <c r="H287" s="2" t="s">
        <v>70</v>
      </c>
      <c r="I287" s="2" t="s">
        <v>59</v>
      </c>
      <c r="J287" s="2" t="s">
        <v>26</v>
      </c>
      <c r="K287">
        <v>4</v>
      </c>
      <c r="L287" s="2" t="s">
        <v>36</v>
      </c>
      <c r="M287" s="2" t="s">
        <v>66</v>
      </c>
      <c r="N287" t="b">
        <v>0</v>
      </c>
      <c r="O287">
        <v>109</v>
      </c>
      <c r="P287" s="2" t="s">
        <v>50</v>
      </c>
      <c r="Q287">
        <v>7</v>
      </c>
      <c r="R287">
        <v>3</v>
      </c>
      <c r="S287">
        <v>1804</v>
      </c>
      <c r="T287" s="2" t="s">
        <v>30</v>
      </c>
    </row>
    <row r="288" spans="1:20" x14ac:dyDescent="0.3">
      <c r="A288" s="1">
        <v>45404</v>
      </c>
      <c r="B288" s="2" t="s">
        <v>52</v>
      </c>
      <c r="C288" s="2" t="s">
        <v>21</v>
      </c>
      <c r="D288" s="2" t="s">
        <v>46</v>
      </c>
      <c r="E288">
        <v>1787</v>
      </c>
      <c r="F288" t="b">
        <v>1</v>
      </c>
      <c r="G288" s="2" t="s">
        <v>23</v>
      </c>
      <c r="H288" s="2" t="s">
        <v>24</v>
      </c>
      <c r="I288" s="2" t="s">
        <v>47</v>
      </c>
      <c r="J288" s="2" t="s">
        <v>26</v>
      </c>
      <c r="K288">
        <v>1</v>
      </c>
      <c r="L288" s="2" t="s">
        <v>49</v>
      </c>
      <c r="M288" s="2" t="s">
        <v>73</v>
      </c>
      <c r="N288" t="b">
        <v>0</v>
      </c>
      <c r="O288">
        <v>56</v>
      </c>
      <c r="P288" s="2" t="s">
        <v>50</v>
      </c>
      <c r="Q288">
        <v>6</v>
      </c>
      <c r="R288">
        <v>2</v>
      </c>
      <c r="S288">
        <v>915</v>
      </c>
      <c r="T288" s="2" t="s">
        <v>38</v>
      </c>
    </row>
    <row r="289" spans="1:20" x14ac:dyDescent="0.3">
      <c r="A289" s="1">
        <v>45405</v>
      </c>
      <c r="B289" s="2" t="s">
        <v>44</v>
      </c>
      <c r="C289" s="2" t="s">
        <v>45</v>
      </c>
      <c r="D289" s="2" t="s">
        <v>33</v>
      </c>
      <c r="E289">
        <v>3804</v>
      </c>
      <c r="F289" t="b">
        <v>0</v>
      </c>
      <c r="G289" s="2" t="s">
        <v>34</v>
      </c>
      <c r="H289" s="2" t="s">
        <v>41</v>
      </c>
      <c r="I289" s="2" t="s">
        <v>42</v>
      </c>
      <c r="J289" s="2" t="s">
        <v>43</v>
      </c>
      <c r="K289">
        <v>0</v>
      </c>
      <c r="L289" s="2" t="s">
        <v>36</v>
      </c>
      <c r="M289" s="2" t="s">
        <v>73</v>
      </c>
      <c r="N289" t="b">
        <v>1</v>
      </c>
      <c r="O289">
        <v>118</v>
      </c>
      <c r="P289" s="2" t="s">
        <v>29</v>
      </c>
      <c r="Q289">
        <v>6</v>
      </c>
      <c r="R289">
        <v>3</v>
      </c>
      <c r="S289">
        <v>2326</v>
      </c>
      <c r="T289" s="2" t="s">
        <v>38</v>
      </c>
    </row>
    <row r="290" spans="1:20" x14ac:dyDescent="0.3">
      <c r="A290" s="1">
        <v>45405</v>
      </c>
      <c r="B290" s="2" t="s">
        <v>75</v>
      </c>
      <c r="C290" s="2" t="s">
        <v>56</v>
      </c>
      <c r="D290" s="2" t="s">
        <v>53</v>
      </c>
      <c r="E290">
        <v>6672</v>
      </c>
      <c r="F290" t="b">
        <v>1</v>
      </c>
      <c r="G290" s="2" t="s">
        <v>64</v>
      </c>
      <c r="H290" s="2" t="s">
        <v>24</v>
      </c>
      <c r="I290" s="2" t="s">
        <v>47</v>
      </c>
      <c r="J290" s="2" t="s">
        <v>54</v>
      </c>
      <c r="K290">
        <v>5</v>
      </c>
      <c r="L290" s="2" t="s">
        <v>36</v>
      </c>
      <c r="M290" s="2" t="s">
        <v>73</v>
      </c>
      <c r="N290" t="b">
        <v>0</v>
      </c>
      <c r="O290">
        <v>4</v>
      </c>
      <c r="P290" s="2" t="s">
        <v>67</v>
      </c>
      <c r="Q290">
        <v>4</v>
      </c>
      <c r="R290">
        <v>2</v>
      </c>
      <c r="S290">
        <v>1429</v>
      </c>
      <c r="T290" s="2" t="s">
        <v>38</v>
      </c>
    </row>
    <row r="291" spans="1:20" x14ac:dyDescent="0.3">
      <c r="A291" s="1">
        <v>45405</v>
      </c>
      <c r="B291" s="2" t="s">
        <v>68</v>
      </c>
      <c r="C291" s="2" t="s">
        <v>32</v>
      </c>
      <c r="D291" s="2" t="s">
        <v>22</v>
      </c>
      <c r="E291">
        <v>8427</v>
      </c>
      <c r="F291" t="b">
        <v>0</v>
      </c>
      <c r="G291" s="2" t="s">
        <v>23</v>
      </c>
      <c r="H291" s="2" t="s">
        <v>70</v>
      </c>
      <c r="I291" s="2" t="s">
        <v>25</v>
      </c>
      <c r="J291" s="2" t="s">
        <v>43</v>
      </c>
      <c r="K291">
        <v>4</v>
      </c>
      <c r="L291" s="2" t="s">
        <v>36</v>
      </c>
      <c r="M291" s="2" t="s">
        <v>73</v>
      </c>
      <c r="N291" t="b">
        <v>0</v>
      </c>
      <c r="O291">
        <v>48</v>
      </c>
      <c r="P291" s="2" t="s">
        <v>67</v>
      </c>
      <c r="Q291">
        <v>4</v>
      </c>
      <c r="R291">
        <v>2</v>
      </c>
      <c r="S291">
        <v>2039</v>
      </c>
      <c r="T291" s="2" t="s">
        <v>30</v>
      </c>
    </row>
    <row r="292" spans="1:20" x14ac:dyDescent="0.3">
      <c r="A292" s="1">
        <v>45405</v>
      </c>
      <c r="B292" s="2" t="s">
        <v>55</v>
      </c>
      <c r="C292" s="2" t="s">
        <v>45</v>
      </c>
      <c r="D292" s="2" t="s">
        <v>22</v>
      </c>
      <c r="E292">
        <v>8838</v>
      </c>
      <c r="F292" t="b">
        <v>1</v>
      </c>
      <c r="G292" s="2" t="s">
        <v>64</v>
      </c>
      <c r="H292" s="2" t="s">
        <v>70</v>
      </c>
      <c r="I292" s="2" t="s">
        <v>59</v>
      </c>
      <c r="J292" s="2" t="s">
        <v>54</v>
      </c>
      <c r="K292">
        <v>3</v>
      </c>
      <c r="L292" s="2" t="s">
        <v>49</v>
      </c>
      <c r="M292" s="2" t="s">
        <v>66</v>
      </c>
      <c r="N292" t="b">
        <v>0</v>
      </c>
      <c r="O292">
        <v>76</v>
      </c>
      <c r="P292" s="2" t="s">
        <v>37</v>
      </c>
      <c r="Q292">
        <v>10</v>
      </c>
      <c r="R292">
        <v>2</v>
      </c>
      <c r="S292">
        <v>1429</v>
      </c>
      <c r="T292" s="2" t="s">
        <v>51</v>
      </c>
    </row>
    <row r="293" spans="1:20" x14ac:dyDescent="0.3">
      <c r="A293" s="1">
        <v>45405</v>
      </c>
      <c r="B293" s="2" t="s">
        <v>72</v>
      </c>
      <c r="C293" s="2" t="s">
        <v>21</v>
      </c>
      <c r="D293" s="2" t="s">
        <v>46</v>
      </c>
      <c r="E293">
        <v>2857</v>
      </c>
      <c r="F293" t="b">
        <v>0</v>
      </c>
      <c r="G293" s="2" t="s">
        <v>64</v>
      </c>
      <c r="H293" s="2" t="s">
        <v>24</v>
      </c>
      <c r="I293" s="2" t="s">
        <v>47</v>
      </c>
      <c r="J293" s="2" t="s">
        <v>26</v>
      </c>
      <c r="K293">
        <v>5</v>
      </c>
      <c r="L293" s="2" t="s">
        <v>27</v>
      </c>
      <c r="M293" s="2" t="s">
        <v>58</v>
      </c>
      <c r="N293" t="b">
        <v>1</v>
      </c>
      <c r="O293">
        <v>54</v>
      </c>
      <c r="P293" s="2" t="s">
        <v>37</v>
      </c>
      <c r="Q293">
        <v>5</v>
      </c>
      <c r="R293">
        <v>3</v>
      </c>
      <c r="S293">
        <v>2542</v>
      </c>
      <c r="T293" s="2" t="s">
        <v>38</v>
      </c>
    </row>
    <row r="294" spans="1:20" x14ac:dyDescent="0.3">
      <c r="A294" s="1">
        <v>45406</v>
      </c>
      <c r="B294" s="2" t="s">
        <v>74</v>
      </c>
      <c r="C294" s="2" t="s">
        <v>45</v>
      </c>
      <c r="D294" s="2" t="s">
        <v>22</v>
      </c>
      <c r="E294">
        <v>6212</v>
      </c>
      <c r="F294" t="b">
        <v>0</v>
      </c>
      <c r="G294" s="2" t="s">
        <v>23</v>
      </c>
      <c r="H294" s="2" t="s">
        <v>70</v>
      </c>
      <c r="I294" s="2" t="s">
        <v>42</v>
      </c>
      <c r="J294" s="2" t="s">
        <v>43</v>
      </c>
      <c r="K294">
        <v>1</v>
      </c>
      <c r="L294" s="2" t="s">
        <v>27</v>
      </c>
      <c r="M294" s="2" t="s">
        <v>58</v>
      </c>
      <c r="N294" t="b">
        <v>0</v>
      </c>
      <c r="O294">
        <v>34</v>
      </c>
      <c r="P294" s="2" t="s">
        <v>29</v>
      </c>
      <c r="Q294">
        <v>8</v>
      </c>
      <c r="R294">
        <v>1</v>
      </c>
      <c r="S294">
        <v>4111</v>
      </c>
      <c r="T294" s="2" t="s">
        <v>51</v>
      </c>
    </row>
    <row r="295" spans="1:20" x14ac:dyDescent="0.3">
      <c r="A295" s="1">
        <v>45406</v>
      </c>
      <c r="B295" s="2" t="s">
        <v>68</v>
      </c>
      <c r="C295" s="2" t="s">
        <v>60</v>
      </c>
      <c r="D295" s="2" t="s">
        <v>33</v>
      </c>
      <c r="E295">
        <v>1543</v>
      </c>
      <c r="F295" t="b">
        <v>0</v>
      </c>
      <c r="G295" s="2" t="s">
        <v>65</v>
      </c>
      <c r="H295" s="2" t="s">
        <v>41</v>
      </c>
      <c r="I295" s="2" t="s">
        <v>42</v>
      </c>
      <c r="J295" s="2" t="s">
        <v>43</v>
      </c>
      <c r="K295">
        <v>2</v>
      </c>
      <c r="L295" s="2" t="s">
        <v>27</v>
      </c>
      <c r="M295" s="2" t="s">
        <v>66</v>
      </c>
      <c r="N295" t="b">
        <v>0</v>
      </c>
      <c r="O295">
        <v>45</v>
      </c>
      <c r="P295" s="2" t="s">
        <v>50</v>
      </c>
      <c r="Q295">
        <v>4</v>
      </c>
      <c r="R295">
        <v>1</v>
      </c>
      <c r="S295">
        <v>1715</v>
      </c>
      <c r="T295" s="2" t="s">
        <v>51</v>
      </c>
    </row>
    <row r="296" spans="1:20" x14ac:dyDescent="0.3">
      <c r="A296" s="1">
        <v>45406</v>
      </c>
      <c r="B296" s="2" t="s">
        <v>55</v>
      </c>
      <c r="C296" s="2" t="s">
        <v>45</v>
      </c>
      <c r="D296" s="2" t="s">
        <v>53</v>
      </c>
      <c r="E296">
        <v>7005</v>
      </c>
      <c r="F296" t="b">
        <v>1</v>
      </c>
      <c r="G296" s="2" t="s">
        <v>23</v>
      </c>
      <c r="H296" s="2" t="s">
        <v>70</v>
      </c>
      <c r="I296" s="2" t="s">
        <v>59</v>
      </c>
      <c r="J296" s="2" t="s">
        <v>43</v>
      </c>
      <c r="K296">
        <v>2</v>
      </c>
      <c r="L296" s="2" t="s">
        <v>27</v>
      </c>
      <c r="M296" s="2" t="s">
        <v>66</v>
      </c>
      <c r="N296" t="b">
        <v>0</v>
      </c>
      <c r="O296">
        <v>98</v>
      </c>
      <c r="P296" s="2" t="s">
        <v>50</v>
      </c>
      <c r="Q296">
        <v>1</v>
      </c>
      <c r="R296">
        <v>3</v>
      </c>
      <c r="S296">
        <v>2838</v>
      </c>
      <c r="T296" s="2" t="s">
        <v>38</v>
      </c>
    </row>
    <row r="297" spans="1:20" x14ac:dyDescent="0.3">
      <c r="A297" s="1">
        <v>45408</v>
      </c>
      <c r="B297" s="2" t="s">
        <v>55</v>
      </c>
      <c r="C297" s="2" t="s">
        <v>21</v>
      </c>
      <c r="D297" s="2" t="s">
        <v>57</v>
      </c>
      <c r="E297">
        <v>1000</v>
      </c>
      <c r="F297" t="b">
        <v>0</v>
      </c>
      <c r="G297" s="2" t="s">
        <v>65</v>
      </c>
      <c r="H297" s="2" t="s">
        <v>24</v>
      </c>
      <c r="I297" s="2" t="s">
        <v>47</v>
      </c>
      <c r="J297" s="2" t="s">
        <v>43</v>
      </c>
      <c r="K297">
        <v>2</v>
      </c>
      <c r="L297" s="2" t="s">
        <v>27</v>
      </c>
      <c r="M297" s="2" t="s">
        <v>58</v>
      </c>
      <c r="N297" t="b">
        <v>1</v>
      </c>
      <c r="O297">
        <v>75</v>
      </c>
      <c r="P297" s="2" t="s">
        <v>63</v>
      </c>
      <c r="Q297">
        <v>1</v>
      </c>
      <c r="R297">
        <v>1</v>
      </c>
      <c r="S297">
        <v>1786</v>
      </c>
      <c r="T297" s="2" t="s">
        <v>38</v>
      </c>
    </row>
    <row r="298" spans="1:20" x14ac:dyDescent="0.3">
      <c r="A298" s="1">
        <v>45408</v>
      </c>
      <c r="B298" s="2" t="s">
        <v>44</v>
      </c>
      <c r="C298" s="2" t="s">
        <v>32</v>
      </c>
      <c r="D298" s="2" t="s">
        <v>53</v>
      </c>
      <c r="E298">
        <v>5418</v>
      </c>
      <c r="F298" t="b">
        <v>1</v>
      </c>
      <c r="G298" s="2" t="s">
        <v>64</v>
      </c>
      <c r="H298" s="2" t="s">
        <v>24</v>
      </c>
      <c r="I298" s="2" t="s">
        <v>59</v>
      </c>
      <c r="J298" s="2" t="s">
        <v>54</v>
      </c>
      <c r="K298">
        <v>0</v>
      </c>
      <c r="L298" s="2" t="s">
        <v>49</v>
      </c>
      <c r="M298" s="2" t="s">
        <v>73</v>
      </c>
      <c r="N298" t="b">
        <v>0</v>
      </c>
      <c r="O298">
        <v>60</v>
      </c>
      <c r="P298" s="2" t="s">
        <v>37</v>
      </c>
      <c r="Q298">
        <v>10</v>
      </c>
      <c r="R298">
        <v>1</v>
      </c>
      <c r="S298">
        <v>3262</v>
      </c>
      <c r="T298" s="2" t="s">
        <v>38</v>
      </c>
    </row>
    <row r="299" spans="1:20" x14ac:dyDescent="0.3">
      <c r="A299" s="1">
        <v>45409</v>
      </c>
      <c r="B299" s="2" t="s">
        <v>62</v>
      </c>
      <c r="C299" s="2" t="s">
        <v>56</v>
      </c>
      <c r="D299" s="2" t="s">
        <v>57</v>
      </c>
      <c r="E299">
        <v>1000</v>
      </c>
      <c r="F299" t="b">
        <v>0</v>
      </c>
      <c r="G299" s="2" t="s">
        <v>65</v>
      </c>
      <c r="H299" s="2" t="s">
        <v>35</v>
      </c>
      <c r="I299" s="2" t="s">
        <v>25</v>
      </c>
      <c r="J299" s="2" t="s">
        <v>26</v>
      </c>
      <c r="K299">
        <v>3</v>
      </c>
      <c r="L299" s="2" t="s">
        <v>49</v>
      </c>
      <c r="M299" s="2" t="s">
        <v>73</v>
      </c>
      <c r="N299" t="b">
        <v>1</v>
      </c>
      <c r="O299">
        <v>0</v>
      </c>
      <c r="P299" s="2" t="s">
        <v>37</v>
      </c>
      <c r="Q299">
        <v>6</v>
      </c>
      <c r="R299">
        <v>1</v>
      </c>
      <c r="S299">
        <v>4687</v>
      </c>
      <c r="T299" s="2" t="s">
        <v>30</v>
      </c>
    </row>
    <row r="300" spans="1:20" x14ac:dyDescent="0.3">
      <c r="A300" s="1">
        <v>45409</v>
      </c>
      <c r="B300" s="2" t="s">
        <v>69</v>
      </c>
      <c r="C300" s="2" t="s">
        <v>60</v>
      </c>
      <c r="D300" s="2" t="s">
        <v>53</v>
      </c>
      <c r="E300">
        <v>2950</v>
      </c>
      <c r="F300" t="b">
        <v>0</v>
      </c>
      <c r="G300" s="2" t="s">
        <v>40</v>
      </c>
      <c r="H300" s="2" t="s">
        <v>24</v>
      </c>
      <c r="I300" s="2" t="s">
        <v>25</v>
      </c>
      <c r="J300" s="2" t="s">
        <v>26</v>
      </c>
      <c r="K300">
        <v>0</v>
      </c>
      <c r="L300" s="2" t="s">
        <v>49</v>
      </c>
      <c r="M300" s="2" t="s">
        <v>58</v>
      </c>
      <c r="N300" t="b">
        <v>1</v>
      </c>
      <c r="O300">
        <v>101</v>
      </c>
      <c r="P300" s="2" t="s">
        <v>37</v>
      </c>
      <c r="Q300">
        <v>4</v>
      </c>
      <c r="R300">
        <v>2</v>
      </c>
      <c r="S300">
        <v>1288</v>
      </c>
      <c r="T300" s="2" t="s">
        <v>30</v>
      </c>
    </row>
    <row r="301" spans="1:20" x14ac:dyDescent="0.3">
      <c r="A301" s="1">
        <v>45410</v>
      </c>
      <c r="B301" s="2" t="s">
        <v>68</v>
      </c>
      <c r="C301" s="2" t="s">
        <v>21</v>
      </c>
      <c r="D301" s="2" t="s">
        <v>46</v>
      </c>
      <c r="E301">
        <v>3053</v>
      </c>
      <c r="F301" t="b">
        <v>0</v>
      </c>
      <c r="G301" s="2" t="s">
        <v>64</v>
      </c>
      <c r="H301" s="2" t="s">
        <v>70</v>
      </c>
      <c r="I301" s="2" t="s">
        <v>59</v>
      </c>
      <c r="J301" s="2" t="s">
        <v>26</v>
      </c>
      <c r="K301">
        <v>3</v>
      </c>
      <c r="L301" s="2" t="s">
        <v>27</v>
      </c>
      <c r="M301" s="2" t="s">
        <v>58</v>
      </c>
      <c r="N301" t="b">
        <v>0</v>
      </c>
      <c r="O301">
        <v>109</v>
      </c>
      <c r="P301" s="2" t="s">
        <v>37</v>
      </c>
      <c r="Q301">
        <v>7</v>
      </c>
      <c r="R301">
        <v>3</v>
      </c>
      <c r="S301">
        <v>2044</v>
      </c>
      <c r="T301" s="2" t="s">
        <v>30</v>
      </c>
    </row>
    <row r="302" spans="1:20" x14ac:dyDescent="0.3">
      <c r="A302" s="1">
        <v>45410</v>
      </c>
      <c r="B302" s="2" t="s">
        <v>68</v>
      </c>
      <c r="C302" s="2" t="s">
        <v>60</v>
      </c>
      <c r="D302" s="2" t="s">
        <v>46</v>
      </c>
      <c r="E302">
        <v>4480</v>
      </c>
      <c r="F302" t="b">
        <v>0</v>
      </c>
      <c r="G302" s="2" t="s">
        <v>65</v>
      </c>
      <c r="H302" s="2" t="s">
        <v>70</v>
      </c>
      <c r="I302" s="2" t="s">
        <v>47</v>
      </c>
      <c r="J302" s="2" t="s">
        <v>54</v>
      </c>
      <c r="K302">
        <v>4</v>
      </c>
      <c r="L302" s="2" t="s">
        <v>27</v>
      </c>
      <c r="M302" s="2" t="s">
        <v>28</v>
      </c>
      <c r="N302" t="b">
        <v>0</v>
      </c>
      <c r="O302">
        <v>20</v>
      </c>
      <c r="P302" s="2" t="s">
        <v>63</v>
      </c>
      <c r="Q302">
        <v>7</v>
      </c>
      <c r="R302">
        <v>1</v>
      </c>
      <c r="S302">
        <v>2960</v>
      </c>
      <c r="T302" s="2" t="s">
        <v>38</v>
      </c>
    </row>
    <row r="303" spans="1:20" x14ac:dyDescent="0.3">
      <c r="A303" s="1">
        <v>45410</v>
      </c>
      <c r="B303" s="2" t="s">
        <v>31</v>
      </c>
      <c r="C303" s="2" t="s">
        <v>32</v>
      </c>
      <c r="D303" s="2" t="s">
        <v>33</v>
      </c>
      <c r="E303">
        <v>2503</v>
      </c>
      <c r="F303" t="b">
        <v>1</v>
      </c>
      <c r="G303" s="2" t="s">
        <v>64</v>
      </c>
      <c r="H303" s="2" t="s">
        <v>70</v>
      </c>
      <c r="I303" s="2" t="s">
        <v>59</v>
      </c>
      <c r="J303" s="2" t="s">
        <v>48</v>
      </c>
      <c r="K303">
        <v>3</v>
      </c>
      <c r="L303" s="2" t="s">
        <v>27</v>
      </c>
      <c r="M303" s="2" t="s">
        <v>73</v>
      </c>
      <c r="N303" t="b">
        <v>1</v>
      </c>
      <c r="O303">
        <v>40</v>
      </c>
      <c r="P303" s="2" t="s">
        <v>50</v>
      </c>
      <c r="Q303">
        <v>1</v>
      </c>
      <c r="R303">
        <v>1</v>
      </c>
      <c r="S303">
        <v>3223</v>
      </c>
      <c r="T303" s="2" t="s">
        <v>51</v>
      </c>
    </row>
    <row r="304" spans="1:20" x14ac:dyDescent="0.3">
      <c r="A304" s="1">
        <v>45410</v>
      </c>
      <c r="B304" s="2" t="s">
        <v>39</v>
      </c>
      <c r="C304" s="2" t="s">
        <v>56</v>
      </c>
      <c r="D304" s="2" t="s">
        <v>22</v>
      </c>
      <c r="E304">
        <v>6798</v>
      </c>
      <c r="F304" t="b">
        <v>0</v>
      </c>
      <c r="G304" s="2" t="s">
        <v>23</v>
      </c>
      <c r="H304" s="2" t="s">
        <v>35</v>
      </c>
      <c r="I304" s="2" t="s">
        <v>25</v>
      </c>
      <c r="J304" s="2" t="s">
        <v>26</v>
      </c>
      <c r="K304">
        <v>10</v>
      </c>
      <c r="L304" s="2" t="s">
        <v>36</v>
      </c>
      <c r="M304" s="2" t="s">
        <v>28</v>
      </c>
      <c r="N304" t="b">
        <v>0</v>
      </c>
      <c r="O304">
        <v>60</v>
      </c>
      <c r="P304" s="2" t="s">
        <v>50</v>
      </c>
      <c r="Q304">
        <v>10</v>
      </c>
      <c r="R304">
        <v>2</v>
      </c>
      <c r="S304">
        <v>4098</v>
      </c>
      <c r="T304" s="2" t="s">
        <v>38</v>
      </c>
    </row>
    <row r="305" spans="1:20" x14ac:dyDescent="0.3">
      <c r="A305" s="1">
        <v>45413</v>
      </c>
      <c r="B305" s="2" t="s">
        <v>31</v>
      </c>
      <c r="C305" s="2" t="s">
        <v>56</v>
      </c>
      <c r="D305" s="2" t="s">
        <v>53</v>
      </c>
      <c r="E305">
        <v>5402</v>
      </c>
      <c r="F305" t="b">
        <v>1</v>
      </c>
      <c r="G305" s="2" t="s">
        <v>23</v>
      </c>
      <c r="H305" s="2" t="s">
        <v>24</v>
      </c>
      <c r="I305" s="2" t="s">
        <v>42</v>
      </c>
      <c r="J305" s="2" t="s">
        <v>43</v>
      </c>
      <c r="K305">
        <v>3</v>
      </c>
      <c r="L305" s="2" t="s">
        <v>49</v>
      </c>
      <c r="M305" s="2" t="s">
        <v>66</v>
      </c>
      <c r="N305" t="b">
        <v>1</v>
      </c>
      <c r="O305">
        <v>119</v>
      </c>
      <c r="P305" s="2" t="s">
        <v>50</v>
      </c>
      <c r="Q305">
        <v>1</v>
      </c>
      <c r="R305">
        <v>2</v>
      </c>
      <c r="S305">
        <v>2384</v>
      </c>
      <c r="T305" s="2" t="s">
        <v>38</v>
      </c>
    </row>
    <row r="306" spans="1:20" x14ac:dyDescent="0.3">
      <c r="A306" s="1">
        <v>45413</v>
      </c>
      <c r="B306" s="2" t="s">
        <v>75</v>
      </c>
      <c r="C306" s="2" t="s">
        <v>21</v>
      </c>
      <c r="D306" s="2" t="s">
        <v>22</v>
      </c>
      <c r="E306">
        <v>7385</v>
      </c>
      <c r="F306" t="b">
        <v>1</v>
      </c>
      <c r="G306" s="2" t="s">
        <v>34</v>
      </c>
      <c r="H306" s="2" t="s">
        <v>70</v>
      </c>
      <c r="I306" s="2" t="s">
        <v>47</v>
      </c>
      <c r="J306" s="2" t="s">
        <v>43</v>
      </c>
      <c r="K306">
        <v>0</v>
      </c>
      <c r="L306" s="2" t="s">
        <v>49</v>
      </c>
      <c r="M306" s="2" t="s">
        <v>28</v>
      </c>
      <c r="N306" t="b">
        <v>0</v>
      </c>
      <c r="O306">
        <v>51</v>
      </c>
      <c r="P306" s="2" t="s">
        <v>67</v>
      </c>
      <c r="Q306">
        <v>4</v>
      </c>
      <c r="R306">
        <v>2</v>
      </c>
      <c r="S306">
        <v>2202</v>
      </c>
      <c r="T306" s="2" t="s">
        <v>38</v>
      </c>
    </row>
    <row r="307" spans="1:20" x14ac:dyDescent="0.3">
      <c r="A307" s="1">
        <v>45413</v>
      </c>
      <c r="B307" s="2" t="s">
        <v>44</v>
      </c>
      <c r="C307" s="2" t="s">
        <v>60</v>
      </c>
      <c r="D307" s="2" t="s">
        <v>61</v>
      </c>
      <c r="E307">
        <v>1000</v>
      </c>
      <c r="F307" t="b">
        <v>0</v>
      </c>
      <c r="G307" s="2" t="s">
        <v>40</v>
      </c>
      <c r="H307" s="2" t="s">
        <v>35</v>
      </c>
      <c r="I307" s="2" t="s">
        <v>42</v>
      </c>
      <c r="J307" s="2" t="s">
        <v>48</v>
      </c>
      <c r="K307">
        <v>0</v>
      </c>
      <c r="L307" s="2" t="s">
        <v>27</v>
      </c>
      <c r="M307" s="2" t="s">
        <v>73</v>
      </c>
      <c r="N307" t="b">
        <v>1</v>
      </c>
      <c r="O307">
        <v>47</v>
      </c>
      <c r="P307" s="2" t="s">
        <v>29</v>
      </c>
      <c r="Q307">
        <v>9</v>
      </c>
      <c r="R307">
        <v>3</v>
      </c>
      <c r="S307">
        <v>596</v>
      </c>
      <c r="T307" s="2" t="s">
        <v>38</v>
      </c>
    </row>
    <row r="308" spans="1:20" x14ac:dyDescent="0.3">
      <c r="A308" s="1">
        <v>45414</v>
      </c>
      <c r="B308" s="2" t="s">
        <v>71</v>
      </c>
      <c r="C308" s="2" t="s">
        <v>45</v>
      </c>
      <c r="D308" s="2" t="s">
        <v>22</v>
      </c>
      <c r="E308">
        <v>6168</v>
      </c>
      <c r="F308" t="b">
        <v>0</v>
      </c>
      <c r="G308" s="2" t="s">
        <v>23</v>
      </c>
      <c r="H308" s="2" t="s">
        <v>35</v>
      </c>
      <c r="I308" s="2" t="s">
        <v>47</v>
      </c>
      <c r="J308" s="2" t="s">
        <v>54</v>
      </c>
      <c r="K308">
        <v>3</v>
      </c>
      <c r="L308" s="2" t="s">
        <v>27</v>
      </c>
      <c r="M308" s="2" t="s">
        <v>28</v>
      </c>
      <c r="N308" t="b">
        <v>1</v>
      </c>
      <c r="O308">
        <v>92</v>
      </c>
      <c r="P308" s="2" t="s">
        <v>67</v>
      </c>
      <c r="Q308">
        <v>1</v>
      </c>
      <c r="R308">
        <v>2</v>
      </c>
      <c r="S308">
        <v>4747</v>
      </c>
      <c r="T308" s="2" t="s">
        <v>30</v>
      </c>
    </row>
    <row r="309" spans="1:20" x14ac:dyDescent="0.3">
      <c r="A309" s="1">
        <v>45414</v>
      </c>
      <c r="B309" s="2" t="s">
        <v>74</v>
      </c>
      <c r="C309" s="2" t="s">
        <v>60</v>
      </c>
      <c r="D309" s="2" t="s">
        <v>46</v>
      </c>
      <c r="E309">
        <v>2272</v>
      </c>
      <c r="F309" t="b">
        <v>0</v>
      </c>
      <c r="G309" s="2" t="s">
        <v>40</v>
      </c>
      <c r="H309" s="2" t="s">
        <v>35</v>
      </c>
      <c r="I309" s="2" t="s">
        <v>25</v>
      </c>
      <c r="J309" s="2" t="s">
        <v>43</v>
      </c>
      <c r="K309">
        <v>0</v>
      </c>
      <c r="L309" s="2" t="s">
        <v>49</v>
      </c>
      <c r="M309" s="2" t="s">
        <v>73</v>
      </c>
      <c r="N309" t="b">
        <v>1</v>
      </c>
      <c r="O309">
        <v>112</v>
      </c>
      <c r="P309" s="2" t="s">
        <v>63</v>
      </c>
      <c r="Q309">
        <v>4</v>
      </c>
      <c r="R309">
        <v>1</v>
      </c>
      <c r="S309">
        <v>548</v>
      </c>
      <c r="T309" s="2" t="s">
        <v>38</v>
      </c>
    </row>
    <row r="310" spans="1:20" x14ac:dyDescent="0.3">
      <c r="A310" s="1">
        <v>45414</v>
      </c>
      <c r="B310" s="2" t="s">
        <v>62</v>
      </c>
      <c r="C310" s="2" t="s">
        <v>45</v>
      </c>
      <c r="D310" s="2" t="s">
        <v>57</v>
      </c>
      <c r="E310">
        <v>1000</v>
      </c>
      <c r="F310" t="b">
        <v>0</v>
      </c>
      <c r="G310" s="2" t="s">
        <v>34</v>
      </c>
      <c r="H310" s="2" t="s">
        <v>70</v>
      </c>
      <c r="I310" s="2" t="s">
        <v>25</v>
      </c>
      <c r="J310" s="2" t="s">
        <v>48</v>
      </c>
      <c r="K310">
        <v>0</v>
      </c>
      <c r="L310" s="2" t="s">
        <v>36</v>
      </c>
      <c r="M310" s="2" t="s">
        <v>58</v>
      </c>
      <c r="N310" t="b">
        <v>1</v>
      </c>
      <c r="O310">
        <v>101</v>
      </c>
      <c r="P310" s="2" t="s">
        <v>67</v>
      </c>
      <c r="Q310">
        <v>9</v>
      </c>
      <c r="R310">
        <v>1</v>
      </c>
      <c r="S310">
        <v>3048</v>
      </c>
      <c r="T310" s="2" t="s">
        <v>30</v>
      </c>
    </row>
    <row r="311" spans="1:20" x14ac:dyDescent="0.3">
      <c r="A311" s="1">
        <v>45414</v>
      </c>
      <c r="B311" s="2" t="s">
        <v>20</v>
      </c>
      <c r="C311" s="2" t="s">
        <v>32</v>
      </c>
      <c r="D311" s="2" t="s">
        <v>53</v>
      </c>
      <c r="E311">
        <v>4870</v>
      </c>
      <c r="F311" t="b">
        <v>1</v>
      </c>
      <c r="G311" s="2" t="s">
        <v>34</v>
      </c>
      <c r="H311" s="2" t="s">
        <v>70</v>
      </c>
      <c r="I311" s="2" t="s">
        <v>59</v>
      </c>
      <c r="J311" s="2" t="s">
        <v>26</v>
      </c>
      <c r="K311">
        <v>1</v>
      </c>
      <c r="L311" s="2" t="s">
        <v>36</v>
      </c>
      <c r="M311" s="2" t="s">
        <v>73</v>
      </c>
      <c r="N311" t="b">
        <v>0</v>
      </c>
      <c r="O311">
        <v>65</v>
      </c>
      <c r="P311" s="2" t="s">
        <v>29</v>
      </c>
      <c r="Q311">
        <v>9</v>
      </c>
      <c r="R311">
        <v>3</v>
      </c>
      <c r="S311">
        <v>2826</v>
      </c>
      <c r="T311" s="2" t="s">
        <v>51</v>
      </c>
    </row>
    <row r="312" spans="1:20" x14ac:dyDescent="0.3">
      <c r="A312" s="1">
        <v>45415</v>
      </c>
      <c r="B312" s="2" t="s">
        <v>20</v>
      </c>
      <c r="C312" s="2" t="s">
        <v>21</v>
      </c>
      <c r="D312" s="2" t="s">
        <v>33</v>
      </c>
      <c r="E312">
        <v>2256</v>
      </c>
      <c r="F312" t="b">
        <v>0</v>
      </c>
      <c r="G312" s="2" t="s">
        <v>34</v>
      </c>
      <c r="H312" s="2" t="s">
        <v>35</v>
      </c>
      <c r="I312" s="2" t="s">
        <v>59</v>
      </c>
      <c r="J312" s="2" t="s">
        <v>54</v>
      </c>
      <c r="K312">
        <v>4</v>
      </c>
      <c r="L312" s="2" t="s">
        <v>36</v>
      </c>
      <c r="M312" s="2" t="s">
        <v>73</v>
      </c>
      <c r="N312" t="b">
        <v>0</v>
      </c>
      <c r="O312">
        <v>56</v>
      </c>
      <c r="P312" s="2" t="s">
        <v>50</v>
      </c>
      <c r="Q312">
        <v>6</v>
      </c>
      <c r="R312">
        <v>1</v>
      </c>
      <c r="S312">
        <v>1281</v>
      </c>
      <c r="T312" s="2" t="s">
        <v>38</v>
      </c>
    </row>
    <row r="313" spans="1:20" x14ac:dyDescent="0.3">
      <c r="A313" s="1">
        <v>45415</v>
      </c>
      <c r="B313" s="2" t="s">
        <v>55</v>
      </c>
      <c r="C313" s="2" t="s">
        <v>45</v>
      </c>
      <c r="D313" s="2" t="s">
        <v>22</v>
      </c>
      <c r="E313">
        <v>8621</v>
      </c>
      <c r="F313" t="b">
        <v>0</v>
      </c>
      <c r="G313" s="2" t="s">
        <v>34</v>
      </c>
      <c r="H313" s="2" t="s">
        <v>70</v>
      </c>
      <c r="I313" s="2" t="s">
        <v>47</v>
      </c>
      <c r="J313" s="2" t="s">
        <v>26</v>
      </c>
      <c r="K313">
        <v>3</v>
      </c>
      <c r="L313" s="2" t="s">
        <v>49</v>
      </c>
      <c r="M313" s="2" t="s">
        <v>66</v>
      </c>
      <c r="N313" t="b">
        <v>0</v>
      </c>
      <c r="O313">
        <v>42</v>
      </c>
      <c r="P313" s="2" t="s">
        <v>67</v>
      </c>
      <c r="Q313">
        <v>6</v>
      </c>
      <c r="R313">
        <v>1</v>
      </c>
      <c r="S313">
        <v>3300</v>
      </c>
      <c r="T313" s="2" t="s">
        <v>38</v>
      </c>
    </row>
    <row r="314" spans="1:20" x14ac:dyDescent="0.3">
      <c r="A314" s="1">
        <v>45415</v>
      </c>
      <c r="B314" s="2" t="s">
        <v>55</v>
      </c>
      <c r="C314" s="2" t="s">
        <v>32</v>
      </c>
      <c r="D314" s="2" t="s">
        <v>46</v>
      </c>
      <c r="E314">
        <v>3167</v>
      </c>
      <c r="F314" t="b">
        <v>1</v>
      </c>
      <c r="G314" s="2" t="s">
        <v>65</v>
      </c>
      <c r="H314" s="2" t="s">
        <v>41</v>
      </c>
      <c r="I314" s="2" t="s">
        <v>42</v>
      </c>
      <c r="J314" s="2" t="s">
        <v>54</v>
      </c>
      <c r="K314">
        <v>1</v>
      </c>
      <c r="L314" s="2" t="s">
        <v>27</v>
      </c>
      <c r="M314" s="2" t="s">
        <v>58</v>
      </c>
      <c r="N314" t="b">
        <v>1</v>
      </c>
      <c r="O314">
        <v>22</v>
      </c>
      <c r="P314" s="2" t="s">
        <v>50</v>
      </c>
      <c r="Q314">
        <v>5</v>
      </c>
      <c r="R314">
        <v>1</v>
      </c>
      <c r="S314">
        <v>4700</v>
      </c>
      <c r="T314" s="2" t="s">
        <v>30</v>
      </c>
    </row>
    <row r="315" spans="1:20" x14ac:dyDescent="0.3">
      <c r="A315" s="1">
        <v>45415</v>
      </c>
      <c r="B315" s="2" t="s">
        <v>62</v>
      </c>
      <c r="C315" s="2" t="s">
        <v>21</v>
      </c>
      <c r="D315" s="2" t="s">
        <v>53</v>
      </c>
      <c r="E315">
        <v>7813</v>
      </c>
      <c r="F315" t="b">
        <v>0</v>
      </c>
      <c r="G315" s="2" t="s">
        <v>40</v>
      </c>
      <c r="H315" s="2" t="s">
        <v>70</v>
      </c>
      <c r="I315" s="2" t="s">
        <v>42</v>
      </c>
      <c r="J315" s="2" t="s">
        <v>26</v>
      </c>
      <c r="K315">
        <v>0</v>
      </c>
      <c r="L315" s="2" t="s">
        <v>27</v>
      </c>
      <c r="M315" s="2" t="s">
        <v>28</v>
      </c>
      <c r="N315" t="b">
        <v>0</v>
      </c>
      <c r="O315">
        <v>87</v>
      </c>
      <c r="P315" s="2" t="s">
        <v>50</v>
      </c>
      <c r="Q315">
        <v>10</v>
      </c>
      <c r="R315">
        <v>1</v>
      </c>
      <c r="S315">
        <v>2793</v>
      </c>
      <c r="T315" s="2" t="s">
        <v>30</v>
      </c>
    </row>
    <row r="316" spans="1:20" x14ac:dyDescent="0.3">
      <c r="A316" s="1">
        <v>45416</v>
      </c>
      <c r="B316" s="2" t="s">
        <v>62</v>
      </c>
      <c r="C316" s="2" t="s">
        <v>56</v>
      </c>
      <c r="D316" s="2" t="s">
        <v>46</v>
      </c>
      <c r="E316">
        <v>1926</v>
      </c>
      <c r="F316" t="b">
        <v>1</v>
      </c>
      <c r="G316" s="2" t="s">
        <v>34</v>
      </c>
      <c r="H316" s="2" t="s">
        <v>24</v>
      </c>
      <c r="I316" s="2" t="s">
        <v>59</v>
      </c>
      <c r="J316" s="2" t="s">
        <v>26</v>
      </c>
      <c r="K316">
        <v>2</v>
      </c>
      <c r="L316" s="2" t="s">
        <v>36</v>
      </c>
      <c r="M316" s="2" t="s">
        <v>28</v>
      </c>
      <c r="N316" t="b">
        <v>1</v>
      </c>
      <c r="O316">
        <v>89</v>
      </c>
      <c r="P316" s="2" t="s">
        <v>63</v>
      </c>
      <c r="Q316">
        <v>3</v>
      </c>
      <c r="R316">
        <v>1</v>
      </c>
      <c r="S316">
        <v>3532</v>
      </c>
      <c r="T316" s="2" t="s">
        <v>30</v>
      </c>
    </row>
    <row r="317" spans="1:20" x14ac:dyDescent="0.3">
      <c r="A317" s="1">
        <v>45416</v>
      </c>
      <c r="B317" s="2" t="s">
        <v>20</v>
      </c>
      <c r="C317" s="2" t="s">
        <v>32</v>
      </c>
      <c r="D317" s="2" t="s">
        <v>33</v>
      </c>
      <c r="E317">
        <v>1518</v>
      </c>
      <c r="F317" t="b">
        <v>0</v>
      </c>
      <c r="G317" s="2" t="s">
        <v>40</v>
      </c>
      <c r="H317" s="2" t="s">
        <v>41</v>
      </c>
      <c r="I317" s="2" t="s">
        <v>25</v>
      </c>
      <c r="J317" s="2" t="s">
        <v>26</v>
      </c>
      <c r="K317">
        <v>4</v>
      </c>
      <c r="L317" s="2" t="s">
        <v>36</v>
      </c>
      <c r="M317" s="2" t="s">
        <v>58</v>
      </c>
      <c r="N317" t="b">
        <v>0</v>
      </c>
      <c r="O317">
        <v>69</v>
      </c>
      <c r="P317" s="2" t="s">
        <v>37</v>
      </c>
      <c r="Q317">
        <v>1</v>
      </c>
      <c r="R317">
        <v>3</v>
      </c>
      <c r="S317">
        <v>2457</v>
      </c>
      <c r="T317" s="2" t="s">
        <v>38</v>
      </c>
    </row>
    <row r="318" spans="1:20" x14ac:dyDescent="0.3">
      <c r="A318" s="1">
        <v>45416</v>
      </c>
      <c r="B318" s="2" t="s">
        <v>20</v>
      </c>
      <c r="C318" s="2" t="s">
        <v>45</v>
      </c>
      <c r="D318" s="2" t="s">
        <v>57</v>
      </c>
      <c r="E318">
        <v>1000</v>
      </c>
      <c r="F318" t="b">
        <v>0</v>
      </c>
      <c r="G318" s="2" t="s">
        <v>23</v>
      </c>
      <c r="H318" s="2" t="s">
        <v>41</v>
      </c>
      <c r="I318" s="2" t="s">
        <v>25</v>
      </c>
      <c r="J318" s="2" t="s">
        <v>48</v>
      </c>
      <c r="K318">
        <v>3</v>
      </c>
      <c r="L318" s="2" t="s">
        <v>36</v>
      </c>
      <c r="M318" s="2" t="s">
        <v>73</v>
      </c>
      <c r="N318" t="b">
        <v>1</v>
      </c>
      <c r="O318">
        <v>58</v>
      </c>
      <c r="P318" s="2" t="s">
        <v>29</v>
      </c>
      <c r="Q318">
        <v>6</v>
      </c>
      <c r="R318">
        <v>1</v>
      </c>
      <c r="S318">
        <v>4164</v>
      </c>
      <c r="T318" s="2" t="s">
        <v>51</v>
      </c>
    </row>
    <row r="319" spans="1:20" x14ac:dyDescent="0.3">
      <c r="A319" s="1">
        <v>45417</v>
      </c>
      <c r="B319" s="2" t="s">
        <v>44</v>
      </c>
      <c r="C319" s="2" t="s">
        <v>45</v>
      </c>
      <c r="D319" s="2" t="s">
        <v>46</v>
      </c>
      <c r="E319">
        <v>4243</v>
      </c>
      <c r="F319" t="b">
        <v>0</v>
      </c>
      <c r="G319" s="2" t="s">
        <v>40</v>
      </c>
      <c r="H319" s="2" t="s">
        <v>24</v>
      </c>
      <c r="I319" s="2" t="s">
        <v>47</v>
      </c>
      <c r="J319" s="2" t="s">
        <v>48</v>
      </c>
      <c r="K319">
        <v>5</v>
      </c>
      <c r="L319" s="2" t="s">
        <v>49</v>
      </c>
      <c r="M319" s="2" t="s">
        <v>28</v>
      </c>
      <c r="N319" t="b">
        <v>0</v>
      </c>
      <c r="O319">
        <v>24</v>
      </c>
      <c r="P319" s="2" t="s">
        <v>50</v>
      </c>
      <c r="Q319">
        <v>1</v>
      </c>
      <c r="R319">
        <v>1</v>
      </c>
      <c r="S319">
        <v>1004</v>
      </c>
      <c r="T319" s="2" t="s">
        <v>51</v>
      </c>
    </row>
    <row r="320" spans="1:20" x14ac:dyDescent="0.3">
      <c r="A320" s="1">
        <v>45417</v>
      </c>
      <c r="B320" s="2" t="s">
        <v>71</v>
      </c>
      <c r="C320" s="2" t="s">
        <v>32</v>
      </c>
      <c r="D320" s="2" t="s">
        <v>57</v>
      </c>
      <c r="E320">
        <v>1000</v>
      </c>
      <c r="F320" t="b">
        <v>1</v>
      </c>
      <c r="G320" s="2" t="s">
        <v>23</v>
      </c>
      <c r="H320" s="2" t="s">
        <v>24</v>
      </c>
      <c r="I320" s="2" t="s">
        <v>25</v>
      </c>
      <c r="J320" s="2" t="s">
        <v>48</v>
      </c>
      <c r="K320">
        <v>5</v>
      </c>
      <c r="L320" s="2" t="s">
        <v>49</v>
      </c>
      <c r="M320" s="2" t="s">
        <v>66</v>
      </c>
      <c r="N320" t="b">
        <v>1</v>
      </c>
      <c r="O320">
        <v>15</v>
      </c>
      <c r="P320" s="2" t="s">
        <v>50</v>
      </c>
      <c r="Q320">
        <v>5</v>
      </c>
      <c r="R320">
        <v>1</v>
      </c>
      <c r="S320">
        <v>4223</v>
      </c>
      <c r="T320" s="2" t="s">
        <v>30</v>
      </c>
    </row>
    <row r="321" spans="1:20" x14ac:dyDescent="0.3">
      <c r="A321" s="1">
        <v>45417</v>
      </c>
      <c r="B321" s="2" t="s">
        <v>76</v>
      </c>
      <c r="C321" s="2" t="s">
        <v>60</v>
      </c>
      <c r="D321" s="2" t="s">
        <v>46</v>
      </c>
      <c r="E321">
        <v>1083</v>
      </c>
      <c r="F321" t="b">
        <v>1</v>
      </c>
      <c r="G321" s="2" t="s">
        <v>65</v>
      </c>
      <c r="H321" s="2" t="s">
        <v>41</v>
      </c>
      <c r="I321" s="2" t="s">
        <v>59</v>
      </c>
      <c r="J321" s="2" t="s">
        <v>54</v>
      </c>
      <c r="K321">
        <v>3</v>
      </c>
      <c r="L321" s="2" t="s">
        <v>27</v>
      </c>
      <c r="M321" s="2" t="s">
        <v>28</v>
      </c>
      <c r="N321" t="b">
        <v>0</v>
      </c>
      <c r="O321">
        <v>101</v>
      </c>
      <c r="P321" s="2" t="s">
        <v>29</v>
      </c>
      <c r="Q321">
        <v>3</v>
      </c>
      <c r="R321">
        <v>3</v>
      </c>
      <c r="S321">
        <v>2523</v>
      </c>
      <c r="T321" s="2" t="s">
        <v>30</v>
      </c>
    </row>
    <row r="322" spans="1:20" x14ac:dyDescent="0.3">
      <c r="A322" s="1">
        <v>45418</v>
      </c>
      <c r="B322" s="2" t="s">
        <v>20</v>
      </c>
      <c r="C322" s="2" t="s">
        <v>21</v>
      </c>
      <c r="D322" s="2" t="s">
        <v>22</v>
      </c>
      <c r="E322">
        <v>6867</v>
      </c>
      <c r="F322" t="b">
        <v>1</v>
      </c>
      <c r="G322" s="2" t="s">
        <v>23</v>
      </c>
      <c r="H322" s="2" t="s">
        <v>24</v>
      </c>
      <c r="I322" s="2" t="s">
        <v>25</v>
      </c>
      <c r="J322" s="2" t="s">
        <v>26</v>
      </c>
      <c r="K322">
        <v>2</v>
      </c>
      <c r="L322" s="2" t="s">
        <v>27</v>
      </c>
      <c r="M322" s="2" t="s">
        <v>28</v>
      </c>
      <c r="N322" t="b">
        <v>1</v>
      </c>
      <c r="O322">
        <v>20</v>
      </c>
      <c r="P322" s="2" t="s">
        <v>29</v>
      </c>
      <c r="Q322">
        <v>3</v>
      </c>
      <c r="R322">
        <v>3</v>
      </c>
      <c r="S322">
        <v>3766</v>
      </c>
      <c r="T322" s="2" t="s">
        <v>30</v>
      </c>
    </row>
    <row r="323" spans="1:20" x14ac:dyDescent="0.3">
      <c r="A323" s="1">
        <v>45418</v>
      </c>
      <c r="B323" s="2" t="s">
        <v>72</v>
      </c>
      <c r="C323" s="2" t="s">
        <v>56</v>
      </c>
      <c r="D323" s="2" t="s">
        <v>22</v>
      </c>
      <c r="E323">
        <v>7670</v>
      </c>
      <c r="F323" t="b">
        <v>0</v>
      </c>
      <c r="G323" s="2" t="s">
        <v>40</v>
      </c>
      <c r="H323" s="2" t="s">
        <v>24</v>
      </c>
      <c r="I323" s="2" t="s">
        <v>25</v>
      </c>
      <c r="J323" s="2" t="s">
        <v>54</v>
      </c>
      <c r="K323">
        <v>3</v>
      </c>
      <c r="L323" s="2" t="s">
        <v>49</v>
      </c>
      <c r="M323" s="2" t="s">
        <v>58</v>
      </c>
      <c r="N323" t="b">
        <v>0</v>
      </c>
      <c r="O323">
        <v>50</v>
      </c>
      <c r="P323" s="2" t="s">
        <v>67</v>
      </c>
      <c r="Q323">
        <v>3</v>
      </c>
      <c r="R323">
        <v>1</v>
      </c>
      <c r="S323">
        <v>4324</v>
      </c>
      <c r="T323" s="2" t="s">
        <v>30</v>
      </c>
    </row>
    <row r="324" spans="1:20" x14ac:dyDescent="0.3">
      <c r="A324" s="1">
        <v>45418</v>
      </c>
      <c r="B324" s="2" t="s">
        <v>44</v>
      </c>
      <c r="C324" s="2" t="s">
        <v>45</v>
      </c>
      <c r="D324" s="2" t="s">
        <v>53</v>
      </c>
      <c r="E324">
        <v>4876</v>
      </c>
      <c r="F324" t="b">
        <v>0</v>
      </c>
      <c r="G324" s="2" t="s">
        <v>34</v>
      </c>
      <c r="H324" s="2" t="s">
        <v>41</v>
      </c>
      <c r="I324" s="2" t="s">
        <v>25</v>
      </c>
      <c r="J324" s="2" t="s">
        <v>54</v>
      </c>
      <c r="K324">
        <v>4</v>
      </c>
      <c r="L324" s="2" t="s">
        <v>49</v>
      </c>
      <c r="M324" s="2" t="s">
        <v>28</v>
      </c>
      <c r="N324" t="b">
        <v>0</v>
      </c>
      <c r="O324">
        <v>118</v>
      </c>
      <c r="P324" s="2" t="s">
        <v>63</v>
      </c>
      <c r="Q324">
        <v>4</v>
      </c>
      <c r="R324">
        <v>3</v>
      </c>
      <c r="S324">
        <v>2372</v>
      </c>
      <c r="T324" s="2" t="s">
        <v>51</v>
      </c>
    </row>
    <row r="325" spans="1:20" x14ac:dyDescent="0.3">
      <c r="A325" s="1">
        <v>45419</v>
      </c>
      <c r="B325" s="2" t="s">
        <v>74</v>
      </c>
      <c r="C325" s="2" t="s">
        <v>45</v>
      </c>
      <c r="D325" s="2" t="s">
        <v>22</v>
      </c>
      <c r="E325">
        <v>6500</v>
      </c>
      <c r="F325" t="b">
        <v>0</v>
      </c>
      <c r="G325" s="2" t="s">
        <v>23</v>
      </c>
      <c r="H325" s="2" t="s">
        <v>35</v>
      </c>
      <c r="I325" s="2" t="s">
        <v>47</v>
      </c>
      <c r="J325" s="2" t="s">
        <v>48</v>
      </c>
      <c r="K325">
        <v>1</v>
      </c>
      <c r="L325" s="2" t="s">
        <v>36</v>
      </c>
      <c r="M325" s="2" t="s">
        <v>28</v>
      </c>
      <c r="N325" t="b">
        <v>1</v>
      </c>
      <c r="O325">
        <v>6</v>
      </c>
      <c r="P325" s="2" t="s">
        <v>50</v>
      </c>
      <c r="Q325">
        <v>1</v>
      </c>
      <c r="R325">
        <v>3</v>
      </c>
      <c r="S325">
        <v>2125</v>
      </c>
      <c r="T325" s="2" t="s">
        <v>51</v>
      </c>
    </row>
    <row r="326" spans="1:20" x14ac:dyDescent="0.3">
      <c r="A326" s="1">
        <v>45419</v>
      </c>
      <c r="B326" s="2" t="s">
        <v>39</v>
      </c>
      <c r="C326" s="2" t="s">
        <v>60</v>
      </c>
      <c r="D326" s="2" t="s">
        <v>53</v>
      </c>
      <c r="E326">
        <v>4235</v>
      </c>
      <c r="F326" t="b">
        <v>1</v>
      </c>
      <c r="G326" s="2" t="s">
        <v>64</v>
      </c>
      <c r="H326" s="2" t="s">
        <v>41</v>
      </c>
      <c r="I326" s="2" t="s">
        <v>25</v>
      </c>
      <c r="J326" s="2" t="s">
        <v>43</v>
      </c>
      <c r="K326">
        <v>3</v>
      </c>
      <c r="L326" s="2" t="s">
        <v>27</v>
      </c>
      <c r="M326" s="2" t="s">
        <v>28</v>
      </c>
      <c r="N326" t="b">
        <v>1</v>
      </c>
      <c r="O326">
        <v>47</v>
      </c>
      <c r="P326" s="2" t="s">
        <v>67</v>
      </c>
      <c r="Q326">
        <v>7</v>
      </c>
      <c r="R326">
        <v>3</v>
      </c>
      <c r="S326">
        <v>654</v>
      </c>
      <c r="T326" s="2" t="s">
        <v>51</v>
      </c>
    </row>
    <row r="327" spans="1:20" x14ac:dyDescent="0.3">
      <c r="A327" s="1">
        <v>45419</v>
      </c>
      <c r="B327" s="2" t="s">
        <v>39</v>
      </c>
      <c r="C327" s="2" t="s">
        <v>21</v>
      </c>
      <c r="D327" s="2" t="s">
        <v>46</v>
      </c>
      <c r="E327">
        <v>2257</v>
      </c>
      <c r="F327" t="b">
        <v>1</v>
      </c>
      <c r="G327" s="2" t="s">
        <v>65</v>
      </c>
      <c r="H327" s="2" t="s">
        <v>41</v>
      </c>
      <c r="I327" s="2" t="s">
        <v>42</v>
      </c>
      <c r="J327" s="2" t="s">
        <v>54</v>
      </c>
      <c r="K327">
        <v>2</v>
      </c>
      <c r="L327" s="2" t="s">
        <v>36</v>
      </c>
      <c r="M327" s="2" t="s">
        <v>66</v>
      </c>
      <c r="N327" t="b">
        <v>1</v>
      </c>
      <c r="O327">
        <v>29</v>
      </c>
      <c r="P327" s="2" t="s">
        <v>29</v>
      </c>
      <c r="Q327">
        <v>5</v>
      </c>
      <c r="R327">
        <v>1</v>
      </c>
      <c r="S327">
        <v>2539</v>
      </c>
      <c r="T327" s="2" t="s">
        <v>38</v>
      </c>
    </row>
    <row r="328" spans="1:20" x14ac:dyDescent="0.3">
      <c r="A328" s="1">
        <v>45420</v>
      </c>
      <c r="B328" s="2" t="s">
        <v>77</v>
      </c>
      <c r="C328" s="2" t="s">
        <v>32</v>
      </c>
      <c r="D328" s="2" t="s">
        <v>53</v>
      </c>
      <c r="E328">
        <v>3225</v>
      </c>
      <c r="F328" t="b">
        <v>1</v>
      </c>
      <c r="G328" s="2" t="s">
        <v>34</v>
      </c>
      <c r="H328" s="2" t="s">
        <v>70</v>
      </c>
      <c r="I328" s="2" t="s">
        <v>59</v>
      </c>
      <c r="J328" s="2" t="s">
        <v>43</v>
      </c>
      <c r="K328">
        <v>5</v>
      </c>
      <c r="L328" s="2" t="s">
        <v>36</v>
      </c>
      <c r="M328" s="2" t="s">
        <v>66</v>
      </c>
      <c r="N328" t="b">
        <v>0</v>
      </c>
      <c r="O328">
        <v>66</v>
      </c>
      <c r="P328" s="2" t="s">
        <v>37</v>
      </c>
      <c r="Q328">
        <v>1</v>
      </c>
      <c r="R328">
        <v>1</v>
      </c>
      <c r="S328">
        <v>1217</v>
      </c>
      <c r="T328" s="2" t="s">
        <v>30</v>
      </c>
    </row>
    <row r="329" spans="1:20" x14ac:dyDescent="0.3">
      <c r="A329" s="1">
        <v>45420</v>
      </c>
      <c r="B329" s="2" t="s">
        <v>72</v>
      </c>
      <c r="C329" s="2" t="s">
        <v>21</v>
      </c>
      <c r="D329" s="2" t="s">
        <v>57</v>
      </c>
      <c r="E329">
        <v>1000</v>
      </c>
      <c r="F329" t="b">
        <v>0</v>
      </c>
      <c r="G329" s="2" t="s">
        <v>65</v>
      </c>
      <c r="H329" s="2" t="s">
        <v>35</v>
      </c>
      <c r="I329" s="2" t="s">
        <v>25</v>
      </c>
      <c r="J329" s="2" t="s">
        <v>43</v>
      </c>
      <c r="K329">
        <v>3</v>
      </c>
      <c r="L329" s="2" t="s">
        <v>27</v>
      </c>
      <c r="M329" s="2" t="s">
        <v>28</v>
      </c>
      <c r="N329" t="b">
        <v>0</v>
      </c>
      <c r="O329">
        <v>103</v>
      </c>
      <c r="P329" s="2" t="s">
        <v>67</v>
      </c>
      <c r="Q329">
        <v>10</v>
      </c>
      <c r="R329">
        <v>1</v>
      </c>
      <c r="S329">
        <v>4307</v>
      </c>
      <c r="T329" s="2" t="s">
        <v>51</v>
      </c>
    </row>
    <row r="330" spans="1:20" x14ac:dyDescent="0.3">
      <c r="A330" s="1">
        <v>45420</v>
      </c>
      <c r="B330" s="2" t="s">
        <v>31</v>
      </c>
      <c r="C330" s="2" t="s">
        <v>45</v>
      </c>
      <c r="D330" s="2" t="s">
        <v>57</v>
      </c>
      <c r="E330">
        <v>1000</v>
      </c>
      <c r="F330" t="b">
        <v>1</v>
      </c>
      <c r="G330" s="2" t="s">
        <v>64</v>
      </c>
      <c r="H330" s="2" t="s">
        <v>35</v>
      </c>
      <c r="I330" s="2" t="s">
        <v>42</v>
      </c>
      <c r="J330" s="2" t="s">
        <v>54</v>
      </c>
      <c r="K330">
        <v>2</v>
      </c>
      <c r="L330" s="2" t="s">
        <v>36</v>
      </c>
      <c r="M330" s="2" t="s">
        <v>28</v>
      </c>
      <c r="N330" t="b">
        <v>0</v>
      </c>
      <c r="O330">
        <v>65</v>
      </c>
      <c r="P330" s="2" t="s">
        <v>63</v>
      </c>
      <c r="Q330">
        <v>9</v>
      </c>
      <c r="R330">
        <v>1</v>
      </c>
      <c r="S330">
        <v>4677</v>
      </c>
      <c r="T330" s="2" t="s">
        <v>30</v>
      </c>
    </row>
    <row r="331" spans="1:20" x14ac:dyDescent="0.3">
      <c r="A331" s="1">
        <v>45420</v>
      </c>
      <c r="B331" s="2" t="s">
        <v>44</v>
      </c>
      <c r="C331" s="2" t="s">
        <v>60</v>
      </c>
      <c r="D331" s="2" t="s">
        <v>61</v>
      </c>
      <c r="E331">
        <v>1000</v>
      </c>
      <c r="F331" t="b">
        <v>1</v>
      </c>
      <c r="G331" s="2" t="s">
        <v>23</v>
      </c>
      <c r="H331" s="2" t="s">
        <v>35</v>
      </c>
      <c r="I331" s="2" t="s">
        <v>59</v>
      </c>
      <c r="J331" s="2" t="s">
        <v>26</v>
      </c>
      <c r="K331">
        <v>2</v>
      </c>
      <c r="L331" s="2" t="s">
        <v>27</v>
      </c>
      <c r="M331" s="2" t="s">
        <v>28</v>
      </c>
      <c r="N331" t="b">
        <v>1</v>
      </c>
      <c r="O331">
        <v>101</v>
      </c>
      <c r="P331" s="2" t="s">
        <v>50</v>
      </c>
      <c r="Q331">
        <v>7</v>
      </c>
      <c r="R331">
        <v>1</v>
      </c>
      <c r="S331">
        <v>816</v>
      </c>
      <c r="T331" s="2" t="s">
        <v>30</v>
      </c>
    </row>
    <row r="332" spans="1:20" x14ac:dyDescent="0.3">
      <c r="A332" s="1">
        <v>45420</v>
      </c>
      <c r="B332" s="2" t="s">
        <v>69</v>
      </c>
      <c r="C332" s="2" t="s">
        <v>32</v>
      </c>
      <c r="D332" s="2" t="s">
        <v>53</v>
      </c>
      <c r="E332">
        <v>4100</v>
      </c>
      <c r="F332" t="b">
        <v>0</v>
      </c>
      <c r="G332" s="2" t="s">
        <v>40</v>
      </c>
      <c r="H332" s="2" t="s">
        <v>70</v>
      </c>
      <c r="I332" s="2" t="s">
        <v>42</v>
      </c>
      <c r="J332" s="2" t="s">
        <v>54</v>
      </c>
      <c r="K332">
        <v>3</v>
      </c>
      <c r="L332" s="2" t="s">
        <v>27</v>
      </c>
      <c r="M332" s="2" t="s">
        <v>28</v>
      </c>
      <c r="N332" t="b">
        <v>1</v>
      </c>
      <c r="O332">
        <v>11</v>
      </c>
      <c r="P332" s="2" t="s">
        <v>50</v>
      </c>
      <c r="Q332">
        <v>2</v>
      </c>
      <c r="R332">
        <v>1</v>
      </c>
      <c r="S332">
        <v>1952</v>
      </c>
      <c r="T332" s="2" t="s">
        <v>38</v>
      </c>
    </row>
    <row r="333" spans="1:20" x14ac:dyDescent="0.3">
      <c r="A333" s="1">
        <v>45421</v>
      </c>
      <c r="B333" s="2" t="s">
        <v>77</v>
      </c>
      <c r="C333" s="2" t="s">
        <v>45</v>
      </c>
      <c r="D333" s="2" t="s">
        <v>53</v>
      </c>
      <c r="E333">
        <v>3524</v>
      </c>
      <c r="F333" t="b">
        <v>1</v>
      </c>
      <c r="G333" s="2" t="s">
        <v>64</v>
      </c>
      <c r="H333" s="2" t="s">
        <v>41</v>
      </c>
      <c r="I333" s="2" t="s">
        <v>42</v>
      </c>
      <c r="J333" s="2" t="s">
        <v>54</v>
      </c>
      <c r="K333">
        <v>1</v>
      </c>
      <c r="L333" s="2" t="s">
        <v>49</v>
      </c>
      <c r="M333" s="2" t="s">
        <v>66</v>
      </c>
      <c r="N333" t="b">
        <v>0</v>
      </c>
      <c r="O333">
        <v>4</v>
      </c>
      <c r="P333" s="2" t="s">
        <v>50</v>
      </c>
      <c r="Q333">
        <v>9</v>
      </c>
      <c r="R333">
        <v>2</v>
      </c>
      <c r="S333">
        <v>1950</v>
      </c>
      <c r="T333" s="2" t="s">
        <v>30</v>
      </c>
    </row>
    <row r="334" spans="1:20" x14ac:dyDescent="0.3">
      <c r="A334" s="1">
        <v>45421</v>
      </c>
      <c r="B334" s="2" t="s">
        <v>68</v>
      </c>
      <c r="C334" s="2" t="s">
        <v>21</v>
      </c>
      <c r="D334" s="2" t="s">
        <v>46</v>
      </c>
      <c r="E334">
        <v>1822</v>
      </c>
      <c r="F334" t="b">
        <v>0</v>
      </c>
      <c r="G334" s="2" t="s">
        <v>64</v>
      </c>
      <c r="H334" s="2" t="s">
        <v>70</v>
      </c>
      <c r="I334" s="2" t="s">
        <v>59</v>
      </c>
      <c r="J334" s="2" t="s">
        <v>43</v>
      </c>
      <c r="K334">
        <v>2</v>
      </c>
      <c r="L334" s="2" t="s">
        <v>49</v>
      </c>
      <c r="M334" s="2" t="s">
        <v>58</v>
      </c>
      <c r="N334" t="b">
        <v>1</v>
      </c>
      <c r="O334">
        <v>95</v>
      </c>
      <c r="P334" s="2" t="s">
        <v>29</v>
      </c>
      <c r="Q334">
        <v>6</v>
      </c>
      <c r="R334">
        <v>1</v>
      </c>
      <c r="S334">
        <v>1871</v>
      </c>
      <c r="T334" s="2" t="s">
        <v>51</v>
      </c>
    </row>
    <row r="335" spans="1:20" x14ac:dyDescent="0.3">
      <c r="A335" s="1">
        <v>45422</v>
      </c>
      <c r="B335" s="2" t="s">
        <v>62</v>
      </c>
      <c r="C335" s="2" t="s">
        <v>56</v>
      </c>
      <c r="D335" s="2" t="s">
        <v>22</v>
      </c>
      <c r="E335">
        <v>7512</v>
      </c>
      <c r="F335" t="b">
        <v>0</v>
      </c>
      <c r="G335" s="2" t="s">
        <v>40</v>
      </c>
      <c r="H335" s="2" t="s">
        <v>24</v>
      </c>
      <c r="I335" s="2" t="s">
        <v>47</v>
      </c>
      <c r="J335" s="2" t="s">
        <v>48</v>
      </c>
      <c r="K335">
        <v>1</v>
      </c>
      <c r="L335" s="2" t="s">
        <v>36</v>
      </c>
      <c r="M335" s="2" t="s">
        <v>66</v>
      </c>
      <c r="N335" t="b">
        <v>1</v>
      </c>
      <c r="O335">
        <v>84</v>
      </c>
      <c r="P335" s="2" t="s">
        <v>37</v>
      </c>
      <c r="Q335">
        <v>2</v>
      </c>
      <c r="R335">
        <v>1</v>
      </c>
      <c r="S335">
        <v>1102</v>
      </c>
      <c r="T335" s="2" t="s">
        <v>51</v>
      </c>
    </row>
    <row r="336" spans="1:20" x14ac:dyDescent="0.3">
      <c r="A336" s="1">
        <v>45422</v>
      </c>
      <c r="B336" s="2" t="s">
        <v>62</v>
      </c>
      <c r="C336" s="2" t="s">
        <v>32</v>
      </c>
      <c r="D336" s="2" t="s">
        <v>53</v>
      </c>
      <c r="E336">
        <v>5718</v>
      </c>
      <c r="F336" t="b">
        <v>0</v>
      </c>
      <c r="G336" s="2" t="s">
        <v>64</v>
      </c>
      <c r="H336" s="2" t="s">
        <v>24</v>
      </c>
      <c r="I336" s="2" t="s">
        <v>42</v>
      </c>
      <c r="J336" s="2" t="s">
        <v>26</v>
      </c>
      <c r="K336">
        <v>4</v>
      </c>
      <c r="L336" s="2" t="s">
        <v>36</v>
      </c>
      <c r="M336" s="2" t="s">
        <v>28</v>
      </c>
      <c r="N336" t="b">
        <v>1</v>
      </c>
      <c r="O336">
        <v>106</v>
      </c>
      <c r="P336" s="2" t="s">
        <v>29</v>
      </c>
      <c r="Q336">
        <v>8</v>
      </c>
      <c r="R336">
        <v>3</v>
      </c>
      <c r="S336">
        <v>927</v>
      </c>
      <c r="T336" s="2" t="s">
        <v>30</v>
      </c>
    </row>
    <row r="337" spans="1:20" x14ac:dyDescent="0.3">
      <c r="A337" s="1">
        <v>45422</v>
      </c>
      <c r="B337" s="2" t="s">
        <v>52</v>
      </c>
      <c r="C337" s="2" t="s">
        <v>32</v>
      </c>
      <c r="D337" s="2" t="s">
        <v>57</v>
      </c>
      <c r="E337">
        <v>1000</v>
      </c>
      <c r="F337" t="b">
        <v>1</v>
      </c>
      <c r="G337" s="2" t="s">
        <v>40</v>
      </c>
      <c r="H337" s="2" t="s">
        <v>41</v>
      </c>
      <c r="I337" s="2" t="s">
        <v>47</v>
      </c>
      <c r="J337" s="2" t="s">
        <v>48</v>
      </c>
      <c r="K337">
        <v>4</v>
      </c>
      <c r="L337" s="2" t="s">
        <v>36</v>
      </c>
      <c r="M337" s="2" t="s">
        <v>66</v>
      </c>
      <c r="N337" t="b">
        <v>0</v>
      </c>
      <c r="O337">
        <v>84</v>
      </c>
      <c r="P337" s="2" t="s">
        <v>63</v>
      </c>
      <c r="Q337">
        <v>5</v>
      </c>
      <c r="R337">
        <v>2</v>
      </c>
      <c r="S337">
        <v>1035</v>
      </c>
      <c r="T337" s="2" t="s">
        <v>30</v>
      </c>
    </row>
    <row r="338" spans="1:20" x14ac:dyDescent="0.3">
      <c r="A338" s="1">
        <v>45423</v>
      </c>
      <c r="B338" s="2" t="s">
        <v>71</v>
      </c>
      <c r="C338" s="2" t="s">
        <v>60</v>
      </c>
      <c r="D338" s="2" t="s">
        <v>61</v>
      </c>
      <c r="E338">
        <v>1000</v>
      </c>
      <c r="F338" t="b">
        <v>0</v>
      </c>
      <c r="G338" s="2" t="s">
        <v>65</v>
      </c>
      <c r="H338" s="2" t="s">
        <v>41</v>
      </c>
      <c r="I338" s="2" t="s">
        <v>47</v>
      </c>
      <c r="J338" s="2" t="s">
        <v>26</v>
      </c>
      <c r="K338">
        <v>0</v>
      </c>
      <c r="L338" s="2" t="s">
        <v>27</v>
      </c>
      <c r="M338" s="2" t="s">
        <v>28</v>
      </c>
      <c r="N338" t="b">
        <v>0</v>
      </c>
      <c r="O338">
        <v>89</v>
      </c>
      <c r="P338" s="2" t="s">
        <v>29</v>
      </c>
      <c r="Q338">
        <v>9</v>
      </c>
      <c r="R338">
        <v>3</v>
      </c>
      <c r="S338">
        <v>525</v>
      </c>
      <c r="T338" s="2" t="s">
        <v>51</v>
      </c>
    </row>
    <row r="339" spans="1:20" x14ac:dyDescent="0.3">
      <c r="A339" s="1">
        <v>45424</v>
      </c>
      <c r="B339" s="2" t="s">
        <v>55</v>
      </c>
      <c r="C339" s="2" t="s">
        <v>45</v>
      </c>
      <c r="D339" s="2" t="s">
        <v>46</v>
      </c>
      <c r="E339">
        <v>3247</v>
      </c>
      <c r="F339" t="b">
        <v>0</v>
      </c>
      <c r="G339" s="2" t="s">
        <v>65</v>
      </c>
      <c r="H339" s="2" t="s">
        <v>70</v>
      </c>
      <c r="I339" s="2" t="s">
        <v>47</v>
      </c>
      <c r="J339" s="2" t="s">
        <v>26</v>
      </c>
      <c r="K339">
        <v>0</v>
      </c>
      <c r="L339" s="2" t="s">
        <v>27</v>
      </c>
      <c r="M339" s="2" t="s">
        <v>66</v>
      </c>
      <c r="N339" t="b">
        <v>1</v>
      </c>
      <c r="O339">
        <v>10</v>
      </c>
      <c r="P339" s="2" t="s">
        <v>29</v>
      </c>
      <c r="Q339">
        <v>1</v>
      </c>
      <c r="R339">
        <v>3</v>
      </c>
      <c r="S339">
        <v>4182</v>
      </c>
      <c r="T339" s="2" t="s">
        <v>30</v>
      </c>
    </row>
    <row r="340" spans="1:20" x14ac:dyDescent="0.3">
      <c r="A340" s="1">
        <v>45424</v>
      </c>
      <c r="B340" s="2" t="s">
        <v>77</v>
      </c>
      <c r="C340" s="2" t="s">
        <v>45</v>
      </c>
      <c r="D340" s="2" t="s">
        <v>53</v>
      </c>
      <c r="E340">
        <v>7312</v>
      </c>
      <c r="F340" t="b">
        <v>1</v>
      </c>
      <c r="G340" s="2" t="s">
        <v>34</v>
      </c>
      <c r="H340" s="2" t="s">
        <v>70</v>
      </c>
      <c r="I340" s="2" t="s">
        <v>59</v>
      </c>
      <c r="J340" s="2" t="s">
        <v>54</v>
      </c>
      <c r="K340">
        <v>0</v>
      </c>
      <c r="L340" s="2" t="s">
        <v>49</v>
      </c>
      <c r="M340" s="2" t="s">
        <v>58</v>
      </c>
      <c r="N340" t="b">
        <v>0</v>
      </c>
      <c r="O340">
        <v>109</v>
      </c>
      <c r="P340" s="2" t="s">
        <v>63</v>
      </c>
      <c r="Q340">
        <v>2</v>
      </c>
      <c r="R340">
        <v>1</v>
      </c>
      <c r="S340">
        <v>4252</v>
      </c>
      <c r="T340" s="2" t="s">
        <v>30</v>
      </c>
    </row>
    <row r="341" spans="1:20" x14ac:dyDescent="0.3">
      <c r="A341" s="1">
        <v>45424</v>
      </c>
      <c r="B341" s="2" t="s">
        <v>69</v>
      </c>
      <c r="C341" s="2" t="s">
        <v>60</v>
      </c>
      <c r="D341" s="2" t="s">
        <v>33</v>
      </c>
      <c r="E341">
        <v>2980</v>
      </c>
      <c r="F341" t="b">
        <v>0</v>
      </c>
      <c r="G341" s="2" t="s">
        <v>64</v>
      </c>
      <c r="H341" s="2" t="s">
        <v>35</v>
      </c>
      <c r="I341" s="2" t="s">
        <v>59</v>
      </c>
      <c r="J341" s="2" t="s">
        <v>43</v>
      </c>
      <c r="K341">
        <v>1</v>
      </c>
      <c r="L341" s="2" t="s">
        <v>49</v>
      </c>
      <c r="M341" s="2" t="s">
        <v>58</v>
      </c>
      <c r="N341" t="b">
        <v>1</v>
      </c>
      <c r="O341">
        <v>44</v>
      </c>
      <c r="P341" s="2" t="s">
        <v>29</v>
      </c>
      <c r="Q341">
        <v>4</v>
      </c>
      <c r="R341">
        <v>1</v>
      </c>
      <c r="S341">
        <v>4892</v>
      </c>
      <c r="T341" s="2" t="s">
        <v>30</v>
      </c>
    </row>
    <row r="342" spans="1:20" x14ac:dyDescent="0.3">
      <c r="A342" s="1">
        <v>45426</v>
      </c>
      <c r="B342" s="2" t="s">
        <v>77</v>
      </c>
      <c r="C342" s="2" t="s">
        <v>45</v>
      </c>
      <c r="D342" s="2" t="s">
        <v>53</v>
      </c>
      <c r="E342">
        <v>5629</v>
      </c>
      <c r="F342" t="b">
        <v>0</v>
      </c>
      <c r="G342" s="2" t="s">
        <v>34</v>
      </c>
      <c r="H342" s="2" t="s">
        <v>35</v>
      </c>
      <c r="I342" s="2" t="s">
        <v>25</v>
      </c>
      <c r="J342" s="2" t="s">
        <v>26</v>
      </c>
      <c r="K342">
        <v>1</v>
      </c>
      <c r="L342" s="2" t="s">
        <v>49</v>
      </c>
      <c r="M342" s="2" t="s">
        <v>58</v>
      </c>
      <c r="N342" t="b">
        <v>0</v>
      </c>
      <c r="O342">
        <v>44</v>
      </c>
      <c r="P342" s="2" t="s">
        <v>63</v>
      </c>
      <c r="Q342">
        <v>1</v>
      </c>
      <c r="R342">
        <v>2</v>
      </c>
      <c r="S342">
        <v>3297</v>
      </c>
      <c r="T342" s="2" t="s">
        <v>30</v>
      </c>
    </row>
    <row r="343" spans="1:20" x14ac:dyDescent="0.3">
      <c r="A343" s="1">
        <v>45427</v>
      </c>
      <c r="B343" s="2" t="s">
        <v>55</v>
      </c>
      <c r="C343" s="2" t="s">
        <v>56</v>
      </c>
      <c r="D343" s="2" t="s">
        <v>33</v>
      </c>
      <c r="E343">
        <v>4402</v>
      </c>
      <c r="F343" t="b">
        <v>0</v>
      </c>
      <c r="G343" s="2" t="s">
        <v>23</v>
      </c>
      <c r="H343" s="2" t="s">
        <v>41</v>
      </c>
      <c r="I343" s="2" t="s">
        <v>42</v>
      </c>
      <c r="J343" s="2" t="s">
        <v>48</v>
      </c>
      <c r="K343">
        <v>1</v>
      </c>
      <c r="L343" s="2" t="s">
        <v>49</v>
      </c>
      <c r="M343" s="2" t="s">
        <v>58</v>
      </c>
      <c r="N343" t="b">
        <v>1</v>
      </c>
      <c r="O343">
        <v>59</v>
      </c>
      <c r="P343" s="2" t="s">
        <v>37</v>
      </c>
      <c r="Q343">
        <v>4</v>
      </c>
      <c r="R343">
        <v>1</v>
      </c>
      <c r="S343">
        <v>1739</v>
      </c>
      <c r="T343" s="2" t="s">
        <v>38</v>
      </c>
    </row>
    <row r="344" spans="1:20" x14ac:dyDescent="0.3">
      <c r="A344" s="1">
        <v>45428</v>
      </c>
      <c r="B344" s="2" t="s">
        <v>44</v>
      </c>
      <c r="C344" s="2" t="s">
        <v>32</v>
      </c>
      <c r="D344" s="2" t="s">
        <v>33</v>
      </c>
      <c r="E344">
        <v>2945</v>
      </c>
      <c r="F344" t="b">
        <v>0</v>
      </c>
      <c r="G344" s="2" t="s">
        <v>34</v>
      </c>
      <c r="H344" s="2" t="s">
        <v>70</v>
      </c>
      <c r="I344" s="2" t="s">
        <v>47</v>
      </c>
      <c r="J344" s="2" t="s">
        <v>43</v>
      </c>
      <c r="K344">
        <v>0</v>
      </c>
      <c r="L344" s="2" t="s">
        <v>36</v>
      </c>
      <c r="M344" s="2" t="s">
        <v>73</v>
      </c>
      <c r="N344" t="b">
        <v>1</v>
      </c>
      <c r="O344">
        <v>55</v>
      </c>
      <c r="P344" s="2" t="s">
        <v>37</v>
      </c>
      <c r="Q344">
        <v>10</v>
      </c>
      <c r="R344">
        <v>2</v>
      </c>
      <c r="S344">
        <v>1377</v>
      </c>
      <c r="T344" s="2" t="s">
        <v>30</v>
      </c>
    </row>
    <row r="345" spans="1:20" x14ac:dyDescent="0.3">
      <c r="A345" s="1">
        <v>45429</v>
      </c>
      <c r="B345" s="2" t="s">
        <v>74</v>
      </c>
      <c r="C345" s="2" t="s">
        <v>56</v>
      </c>
      <c r="D345" s="2" t="s">
        <v>53</v>
      </c>
      <c r="E345">
        <v>6103</v>
      </c>
      <c r="F345" t="b">
        <v>1</v>
      </c>
      <c r="G345" s="2" t="s">
        <v>23</v>
      </c>
      <c r="H345" s="2" t="s">
        <v>70</v>
      </c>
      <c r="I345" s="2" t="s">
        <v>42</v>
      </c>
      <c r="J345" s="2" t="s">
        <v>43</v>
      </c>
      <c r="K345">
        <v>3</v>
      </c>
      <c r="L345" s="2" t="s">
        <v>49</v>
      </c>
      <c r="M345" s="2" t="s">
        <v>73</v>
      </c>
      <c r="N345" t="b">
        <v>1</v>
      </c>
      <c r="O345">
        <v>99</v>
      </c>
      <c r="P345" s="2" t="s">
        <v>67</v>
      </c>
      <c r="Q345">
        <v>6</v>
      </c>
      <c r="R345">
        <v>2</v>
      </c>
      <c r="S345">
        <v>1226</v>
      </c>
      <c r="T345" s="2" t="s">
        <v>38</v>
      </c>
    </row>
    <row r="346" spans="1:20" x14ac:dyDescent="0.3">
      <c r="A346" s="1">
        <v>45429</v>
      </c>
      <c r="B346" s="2" t="s">
        <v>74</v>
      </c>
      <c r="C346" s="2" t="s">
        <v>45</v>
      </c>
      <c r="D346" s="2" t="s">
        <v>53</v>
      </c>
      <c r="E346">
        <v>4463</v>
      </c>
      <c r="F346" t="b">
        <v>0</v>
      </c>
      <c r="G346" s="2" t="s">
        <v>64</v>
      </c>
      <c r="H346" s="2" t="s">
        <v>41</v>
      </c>
      <c r="I346" s="2" t="s">
        <v>42</v>
      </c>
      <c r="J346" s="2" t="s">
        <v>54</v>
      </c>
      <c r="K346">
        <v>1</v>
      </c>
      <c r="L346" s="2" t="s">
        <v>27</v>
      </c>
      <c r="M346" s="2" t="s">
        <v>58</v>
      </c>
      <c r="N346" t="b">
        <v>0</v>
      </c>
      <c r="O346">
        <v>120</v>
      </c>
      <c r="P346" s="2" t="s">
        <v>63</v>
      </c>
      <c r="Q346">
        <v>6</v>
      </c>
      <c r="R346">
        <v>3</v>
      </c>
      <c r="S346">
        <v>4228</v>
      </c>
      <c r="T346" s="2" t="s">
        <v>51</v>
      </c>
    </row>
    <row r="347" spans="1:20" x14ac:dyDescent="0.3">
      <c r="A347" s="1">
        <v>45429</v>
      </c>
      <c r="B347" s="2" t="s">
        <v>52</v>
      </c>
      <c r="C347" s="2" t="s">
        <v>56</v>
      </c>
      <c r="D347" s="2" t="s">
        <v>53</v>
      </c>
      <c r="E347">
        <v>3827</v>
      </c>
      <c r="F347" t="b">
        <v>0</v>
      </c>
      <c r="G347" s="2" t="s">
        <v>23</v>
      </c>
      <c r="H347" s="2" t="s">
        <v>35</v>
      </c>
      <c r="I347" s="2" t="s">
        <v>42</v>
      </c>
      <c r="J347" s="2" t="s">
        <v>43</v>
      </c>
      <c r="K347">
        <v>3</v>
      </c>
      <c r="L347" s="2" t="s">
        <v>49</v>
      </c>
      <c r="M347" s="2" t="s">
        <v>58</v>
      </c>
      <c r="N347" t="b">
        <v>1</v>
      </c>
      <c r="O347">
        <v>104</v>
      </c>
      <c r="P347" s="2" t="s">
        <v>50</v>
      </c>
      <c r="Q347">
        <v>3</v>
      </c>
      <c r="R347">
        <v>3</v>
      </c>
      <c r="S347">
        <v>4904</v>
      </c>
      <c r="T347" s="2" t="s">
        <v>38</v>
      </c>
    </row>
    <row r="348" spans="1:20" x14ac:dyDescent="0.3">
      <c r="A348" s="1">
        <v>45429</v>
      </c>
      <c r="B348" s="2" t="s">
        <v>55</v>
      </c>
      <c r="C348" s="2" t="s">
        <v>21</v>
      </c>
      <c r="D348" s="2" t="s">
        <v>33</v>
      </c>
      <c r="E348">
        <v>3475</v>
      </c>
      <c r="F348" t="b">
        <v>0</v>
      </c>
      <c r="G348" s="2" t="s">
        <v>65</v>
      </c>
      <c r="H348" s="2" t="s">
        <v>70</v>
      </c>
      <c r="I348" s="2" t="s">
        <v>59</v>
      </c>
      <c r="J348" s="2" t="s">
        <v>43</v>
      </c>
      <c r="K348">
        <v>5</v>
      </c>
      <c r="L348" s="2" t="s">
        <v>49</v>
      </c>
      <c r="M348" s="2" t="s">
        <v>28</v>
      </c>
      <c r="N348" t="b">
        <v>0</v>
      </c>
      <c r="O348">
        <v>93</v>
      </c>
      <c r="P348" s="2" t="s">
        <v>29</v>
      </c>
      <c r="Q348">
        <v>9</v>
      </c>
      <c r="R348">
        <v>3</v>
      </c>
      <c r="S348">
        <v>2655</v>
      </c>
      <c r="T348" s="2" t="s">
        <v>51</v>
      </c>
    </row>
    <row r="349" spans="1:20" x14ac:dyDescent="0.3">
      <c r="A349" s="1">
        <v>45429</v>
      </c>
      <c r="B349" s="2" t="s">
        <v>68</v>
      </c>
      <c r="C349" s="2" t="s">
        <v>32</v>
      </c>
      <c r="D349" s="2" t="s">
        <v>53</v>
      </c>
      <c r="E349">
        <v>4176</v>
      </c>
      <c r="F349" t="b">
        <v>1</v>
      </c>
      <c r="G349" s="2" t="s">
        <v>40</v>
      </c>
      <c r="H349" s="2" t="s">
        <v>41</v>
      </c>
      <c r="I349" s="2" t="s">
        <v>42</v>
      </c>
      <c r="J349" s="2" t="s">
        <v>26</v>
      </c>
      <c r="K349">
        <v>2</v>
      </c>
      <c r="L349" s="2" t="s">
        <v>27</v>
      </c>
      <c r="M349" s="2" t="s">
        <v>28</v>
      </c>
      <c r="N349" t="b">
        <v>1</v>
      </c>
      <c r="O349">
        <v>65</v>
      </c>
      <c r="P349" s="2" t="s">
        <v>63</v>
      </c>
      <c r="Q349">
        <v>6</v>
      </c>
      <c r="R349">
        <v>1</v>
      </c>
      <c r="S349">
        <v>4274</v>
      </c>
      <c r="T349" s="2" t="s">
        <v>30</v>
      </c>
    </row>
    <row r="350" spans="1:20" x14ac:dyDescent="0.3">
      <c r="A350" s="1">
        <v>45430</v>
      </c>
      <c r="B350" s="2" t="s">
        <v>52</v>
      </c>
      <c r="C350" s="2" t="s">
        <v>60</v>
      </c>
      <c r="D350" s="2" t="s">
        <v>46</v>
      </c>
      <c r="E350">
        <v>2812</v>
      </c>
      <c r="F350" t="b">
        <v>1</v>
      </c>
      <c r="G350" s="2" t="s">
        <v>34</v>
      </c>
      <c r="H350" s="2" t="s">
        <v>35</v>
      </c>
      <c r="I350" s="2" t="s">
        <v>47</v>
      </c>
      <c r="J350" s="2" t="s">
        <v>48</v>
      </c>
      <c r="K350">
        <v>1</v>
      </c>
      <c r="L350" s="2" t="s">
        <v>49</v>
      </c>
      <c r="M350" s="2" t="s">
        <v>28</v>
      </c>
      <c r="N350" t="b">
        <v>1</v>
      </c>
      <c r="O350">
        <v>64</v>
      </c>
      <c r="P350" s="2" t="s">
        <v>67</v>
      </c>
      <c r="Q350">
        <v>7</v>
      </c>
      <c r="R350">
        <v>1</v>
      </c>
      <c r="S350">
        <v>975</v>
      </c>
      <c r="T350" s="2" t="s">
        <v>38</v>
      </c>
    </row>
    <row r="351" spans="1:20" x14ac:dyDescent="0.3">
      <c r="A351" s="1">
        <v>45430</v>
      </c>
      <c r="B351" s="2" t="s">
        <v>75</v>
      </c>
      <c r="C351" s="2" t="s">
        <v>32</v>
      </c>
      <c r="D351" s="2" t="s">
        <v>33</v>
      </c>
      <c r="E351">
        <v>2697</v>
      </c>
      <c r="F351" t="b">
        <v>0</v>
      </c>
      <c r="G351" s="2" t="s">
        <v>65</v>
      </c>
      <c r="H351" s="2" t="s">
        <v>41</v>
      </c>
      <c r="I351" s="2" t="s">
        <v>59</v>
      </c>
      <c r="J351" s="2" t="s">
        <v>54</v>
      </c>
      <c r="K351">
        <v>4</v>
      </c>
      <c r="L351" s="2" t="s">
        <v>49</v>
      </c>
      <c r="M351" s="2" t="s">
        <v>66</v>
      </c>
      <c r="N351" t="b">
        <v>1</v>
      </c>
      <c r="O351">
        <v>112</v>
      </c>
      <c r="P351" s="2" t="s">
        <v>50</v>
      </c>
      <c r="Q351">
        <v>5</v>
      </c>
      <c r="R351">
        <v>3</v>
      </c>
      <c r="S351">
        <v>3863</v>
      </c>
      <c r="T351" s="2" t="s">
        <v>51</v>
      </c>
    </row>
    <row r="352" spans="1:20" x14ac:dyDescent="0.3">
      <c r="A352" s="1">
        <v>45430</v>
      </c>
      <c r="B352" s="2" t="s">
        <v>39</v>
      </c>
      <c r="C352" s="2" t="s">
        <v>56</v>
      </c>
      <c r="D352" s="2" t="s">
        <v>22</v>
      </c>
      <c r="E352">
        <v>5072</v>
      </c>
      <c r="F352" t="b">
        <v>0</v>
      </c>
      <c r="G352" s="2" t="s">
        <v>64</v>
      </c>
      <c r="H352" s="2" t="s">
        <v>70</v>
      </c>
      <c r="I352" s="2" t="s">
        <v>47</v>
      </c>
      <c r="J352" s="2" t="s">
        <v>26</v>
      </c>
      <c r="K352">
        <v>2</v>
      </c>
      <c r="L352" s="2" t="s">
        <v>36</v>
      </c>
      <c r="M352" s="2" t="s">
        <v>58</v>
      </c>
      <c r="N352" t="b">
        <v>1</v>
      </c>
      <c r="O352">
        <v>57</v>
      </c>
      <c r="P352" s="2" t="s">
        <v>37</v>
      </c>
      <c r="Q352">
        <v>5</v>
      </c>
      <c r="R352">
        <v>1</v>
      </c>
      <c r="S352">
        <v>4010</v>
      </c>
      <c r="T352" s="2" t="s">
        <v>30</v>
      </c>
    </row>
    <row r="353" spans="1:20" x14ac:dyDescent="0.3">
      <c r="A353" s="1">
        <v>45430</v>
      </c>
      <c r="B353" s="2" t="s">
        <v>76</v>
      </c>
      <c r="C353" s="2" t="s">
        <v>21</v>
      </c>
      <c r="D353" s="2" t="s">
        <v>33</v>
      </c>
      <c r="E353">
        <v>4626</v>
      </c>
      <c r="F353" t="b">
        <v>0</v>
      </c>
      <c r="G353" s="2" t="s">
        <v>23</v>
      </c>
      <c r="H353" s="2" t="s">
        <v>35</v>
      </c>
      <c r="I353" s="2" t="s">
        <v>47</v>
      </c>
      <c r="J353" s="2" t="s">
        <v>43</v>
      </c>
      <c r="K353">
        <v>5</v>
      </c>
      <c r="L353" s="2" t="s">
        <v>27</v>
      </c>
      <c r="M353" s="2" t="s">
        <v>58</v>
      </c>
      <c r="N353" t="b">
        <v>0</v>
      </c>
      <c r="O353">
        <v>27</v>
      </c>
      <c r="P353" s="2" t="s">
        <v>50</v>
      </c>
      <c r="Q353">
        <v>3</v>
      </c>
      <c r="R353">
        <v>2</v>
      </c>
      <c r="S353">
        <v>1801</v>
      </c>
      <c r="T353" s="2" t="s">
        <v>51</v>
      </c>
    </row>
    <row r="354" spans="1:20" x14ac:dyDescent="0.3">
      <c r="A354" s="1">
        <v>45430</v>
      </c>
      <c r="B354" s="2" t="s">
        <v>31</v>
      </c>
      <c r="C354" s="2" t="s">
        <v>32</v>
      </c>
      <c r="D354" s="2" t="s">
        <v>33</v>
      </c>
      <c r="E354">
        <v>3256</v>
      </c>
      <c r="F354" t="b">
        <v>0</v>
      </c>
      <c r="G354" s="2" t="s">
        <v>34</v>
      </c>
      <c r="H354" s="2" t="s">
        <v>35</v>
      </c>
      <c r="I354" s="2" t="s">
        <v>42</v>
      </c>
      <c r="J354" s="2" t="s">
        <v>54</v>
      </c>
      <c r="K354">
        <v>2</v>
      </c>
      <c r="L354" s="2" t="s">
        <v>27</v>
      </c>
      <c r="M354" s="2" t="s">
        <v>66</v>
      </c>
      <c r="N354" t="b">
        <v>1</v>
      </c>
      <c r="O354">
        <v>11</v>
      </c>
      <c r="P354" s="2" t="s">
        <v>37</v>
      </c>
      <c r="Q354">
        <v>6</v>
      </c>
      <c r="R354">
        <v>1</v>
      </c>
      <c r="S354">
        <v>1606</v>
      </c>
      <c r="T354" s="2" t="s">
        <v>38</v>
      </c>
    </row>
    <row r="355" spans="1:20" x14ac:dyDescent="0.3">
      <c r="A355" s="1">
        <v>45432</v>
      </c>
      <c r="B355" s="2" t="s">
        <v>31</v>
      </c>
      <c r="C355" s="2" t="s">
        <v>32</v>
      </c>
      <c r="D355" s="2" t="s">
        <v>53</v>
      </c>
      <c r="E355">
        <v>7974</v>
      </c>
      <c r="F355" t="b">
        <v>1</v>
      </c>
      <c r="G355" s="2" t="s">
        <v>23</v>
      </c>
      <c r="H355" s="2" t="s">
        <v>24</v>
      </c>
      <c r="I355" s="2" t="s">
        <v>47</v>
      </c>
      <c r="J355" s="2" t="s">
        <v>26</v>
      </c>
      <c r="K355">
        <v>2</v>
      </c>
      <c r="L355" s="2" t="s">
        <v>49</v>
      </c>
      <c r="M355" s="2" t="s">
        <v>28</v>
      </c>
      <c r="N355" t="b">
        <v>1</v>
      </c>
      <c r="O355">
        <v>25</v>
      </c>
      <c r="P355" s="2" t="s">
        <v>50</v>
      </c>
      <c r="Q355">
        <v>2</v>
      </c>
      <c r="R355">
        <v>3</v>
      </c>
      <c r="S355">
        <v>4313</v>
      </c>
      <c r="T355" s="2" t="s">
        <v>51</v>
      </c>
    </row>
    <row r="356" spans="1:20" x14ac:dyDescent="0.3">
      <c r="A356" s="1">
        <v>45432</v>
      </c>
      <c r="B356" s="2" t="s">
        <v>72</v>
      </c>
      <c r="C356" s="2" t="s">
        <v>60</v>
      </c>
      <c r="D356" s="2" t="s">
        <v>53</v>
      </c>
      <c r="E356">
        <v>7655</v>
      </c>
      <c r="F356" t="b">
        <v>0</v>
      </c>
      <c r="G356" s="2" t="s">
        <v>23</v>
      </c>
      <c r="H356" s="2" t="s">
        <v>24</v>
      </c>
      <c r="I356" s="2" t="s">
        <v>59</v>
      </c>
      <c r="J356" s="2" t="s">
        <v>48</v>
      </c>
      <c r="K356">
        <v>1</v>
      </c>
      <c r="L356" s="2" t="s">
        <v>27</v>
      </c>
      <c r="M356" s="2" t="s">
        <v>73</v>
      </c>
      <c r="N356" t="b">
        <v>0</v>
      </c>
      <c r="O356">
        <v>61</v>
      </c>
      <c r="P356" s="2" t="s">
        <v>29</v>
      </c>
      <c r="Q356">
        <v>1</v>
      </c>
      <c r="R356">
        <v>1</v>
      </c>
      <c r="S356">
        <v>1855</v>
      </c>
      <c r="T356" s="2" t="s">
        <v>30</v>
      </c>
    </row>
    <row r="357" spans="1:20" x14ac:dyDescent="0.3">
      <c r="A357" s="1">
        <v>45432</v>
      </c>
      <c r="B357" s="2" t="s">
        <v>76</v>
      </c>
      <c r="C357" s="2" t="s">
        <v>56</v>
      </c>
      <c r="D357" s="2" t="s">
        <v>57</v>
      </c>
      <c r="E357">
        <v>1000</v>
      </c>
      <c r="F357" t="b">
        <v>0</v>
      </c>
      <c r="G357" s="2" t="s">
        <v>64</v>
      </c>
      <c r="H357" s="2" t="s">
        <v>70</v>
      </c>
      <c r="I357" s="2" t="s">
        <v>47</v>
      </c>
      <c r="J357" s="2" t="s">
        <v>48</v>
      </c>
      <c r="K357">
        <v>0</v>
      </c>
      <c r="L357" s="2" t="s">
        <v>36</v>
      </c>
      <c r="M357" s="2" t="s">
        <v>66</v>
      </c>
      <c r="N357" t="b">
        <v>0</v>
      </c>
      <c r="O357">
        <v>18</v>
      </c>
      <c r="P357" s="2" t="s">
        <v>50</v>
      </c>
      <c r="Q357">
        <v>6</v>
      </c>
      <c r="R357">
        <v>1</v>
      </c>
      <c r="S357">
        <v>1938</v>
      </c>
      <c r="T357" s="2" t="s">
        <v>30</v>
      </c>
    </row>
    <row r="358" spans="1:20" x14ac:dyDescent="0.3">
      <c r="A358" s="1">
        <v>45432</v>
      </c>
      <c r="B358" s="2" t="s">
        <v>69</v>
      </c>
      <c r="C358" s="2" t="s">
        <v>32</v>
      </c>
      <c r="D358" s="2" t="s">
        <v>22</v>
      </c>
      <c r="E358">
        <v>6802</v>
      </c>
      <c r="F358" t="b">
        <v>0</v>
      </c>
      <c r="G358" s="2" t="s">
        <v>40</v>
      </c>
      <c r="H358" s="2" t="s">
        <v>41</v>
      </c>
      <c r="I358" s="2" t="s">
        <v>59</v>
      </c>
      <c r="J358" s="2" t="s">
        <v>48</v>
      </c>
      <c r="K358">
        <v>4</v>
      </c>
      <c r="L358" s="2" t="s">
        <v>49</v>
      </c>
      <c r="M358" s="2" t="s">
        <v>66</v>
      </c>
      <c r="N358" t="b">
        <v>0</v>
      </c>
      <c r="O358">
        <v>49</v>
      </c>
      <c r="P358" s="2" t="s">
        <v>63</v>
      </c>
      <c r="Q358">
        <v>9</v>
      </c>
      <c r="R358">
        <v>1</v>
      </c>
      <c r="S358">
        <v>3834</v>
      </c>
      <c r="T358" s="2" t="s">
        <v>51</v>
      </c>
    </row>
    <row r="359" spans="1:20" x14ac:dyDescent="0.3">
      <c r="A359" s="1">
        <v>45432</v>
      </c>
      <c r="B359" s="2" t="s">
        <v>62</v>
      </c>
      <c r="C359" s="2" t="s">
        <v>45</v>
      </c>
      <c r="D359" s="2" t="s">
        <v>53</v>
      </c>
      <c r="E359">
        <v>2476</v>
      </c>
      <c r="F359" t="b">
        <v>0</v>
      </c>
      <c r="G359" s="2" t="s">
        <v>64</v>
      </c>
      <c r="H359" s="2" t="s">
        <v>24</v>
      </c>
      <c r="I359" s="2" t="s">
        <v>59</v>
      </c>
      <c r="J359" s="2" t="s">
        <v>26</v>
      </c>
      <c r="K359">
        <v>1</v>
      </c>
      <c r="L359" s="2" t="s">
        <v>36</v>
      </c>
      <c r="M359" s="2" t="s">
        <v>73</v>
      </c>
      <c r="N359" t="b">
        <v>1</v>
      </c>
      <c r="O359">
        <v>40</v>
      </c>
      <c r="P359" s="2" t="s">
        <v>29</v>
      </c>
      <c r="Q359">
        <v>4</v>
      </c>
      <c r="R359">
        <v>1</v>
      </c>
      <c r="S359">
        <v>1260</v>
      </c>
      <c r="T359" s="2" t="s">
        <v>38</v>
      </c>
    </row>
    <row r="360" spans="1:20" x14ac:dyDescent="0.3">
      <c r="A360" s="1">
        <v>45433</v>
      </c>
      <c r="B360" s="2" t="s">
        <v>44</v>
      </c>
      <c r="C360" s="2" t="s">
        <v>56</v>
      </c>
      <c r="D360" s="2" t="s">
        <v>46</v>
      </c>
      <c r="E360">
        <v>1608</v>
      </c>
      <c r="F360" t="b">
        <v>1</v>
      </c>
      <c r="G360" s="2" t="s">
        <v>23</v>
      </c>
      <c r="H360" s="2" t="s">
        <v>70</v>
      </c>
      <c r="I360" s="2" t="s">
        <v>42</v>
      </c>
      <c r="J360" s="2" t="s">
        <v>26</v>
      </c>
      <c r="K360">
        <v>0</v>
      </c>
      <c r="L360" s="2" t="s">
        <v>36</v>
      </c>
      <c r="M360" s="2" t="s">
        <v>58</v>
      </c>
      <c r="N360" t="b">
        <v>1</v>
      </c>
      <c r="O360">
        <v>17</v>
      </c>
      <c r="P360" s="2" t="s">
        <v>29</v>
      </c>
      <c r="Q360">
        <v>6</v>
      </c>
      <c r="R360">
        <v>1</v>
      </c>
      <c r="S360">
        <v>1864</v>
      </c>
      <c r="T360" s="2" t="s">
        <v>51</v>
      </c>
    </row>
    <row r="361" spans="1:20" x14ac:dyDescent="0.3">
      <c r="A361" s="1">
        <v>45433</v>
      </c>
      <c r="B361" s="2" t="s">
        <v>44</v>
      </c>
      <c r="C361" s="2" t="s">
        <v>60</v>
      </c>
      <c r="D361" s="2" t="s">
        <v>46</v>
      </c>
      <c r="E361">
        <v>2449</v>
      </c>
      <c r="F361" t="b">
        <v>0</v>
      </c>
      <c r="G361" s="2" t="s">
        <v>65</v>
      </c>
      <c r="H361" s="2" t="s">
        <v>35</v>
      </c>
      <c r="I361" s="2" t="s">
        <v>47</v>
      </c>
      <c r="J361" s="2" t="s">
        <v>26</v>
      </c>
      <c r="K361">
        <v>3</v>
      </c>
      <c r="L361" s="2" t="s">
        <v>27</v>
      </c>
      <c r="M361" s="2" t="s">
        <v>73</v>
      </c>
      <c r="N361" t="b">
        <v>0</v>
      </c>
      <c r="O361">
        <v>98</v>
      </c>
      <c r="P361" s="2" t="s">
        <v>67</v>
      </c>
      <c r="Q361">
        <v>9</v>
      </c>
      <c r="R361">
        <v>2</v>
      </c>
      <c r="S361">
        <v>3476</v>
      </c>
      <c r="T361" s="2" t="s">
        <v>51</v>
      </c>
    </row>
    <row r="362" spans="1:20" x14ac:dyDescent="0.3">
      <c r="A362" s="1">
        <v>45434</v>
      </c>
      <c r="B362" s="2" t="s">
        <v>72</v>
      </c>
      <c r="C362" s="2" t="s">
        <v>21</v>
      </c>
      <c r="D362" s="2" t="s">
        <v>53</v>
      </c>
      <c r="E362">
        <v>7055</v>
      </c>
      <c r="F362" t="b">
        <v>0</v>
      </c>
      <c r="G362" s="2" t="s">
        <v>34</v>
      </c>
      <c r="H362" s="2" t="s">
        <v>41</v>
      </c>
      <c r="I362" s="2" t="s">
        <v>25</v>
      </c>
      <c r="J362" s="2" t="s">
        <v>54</v>
      </c>
      <c r="K362">
        <v>4</v>
      </c>
      <c r="L362" s="2" t="s">
        <v>49</v>
      </c>
      <c r="M362" s="2" t="s">
        <v>58</v>
      </c>
      <c r="N362" t="b">
        <v>0</v>
      </c>
      <c r="O362">
        <v>77</v>
      </c>
      <c r="P362" s="2" t="s">
        <v>50</v>
      </c>
      <c r="Q362">
        <v>1</v>
      </c>
      <c r="R362">
        <v>2</v>
      </c>
      <c r="S362">
        <v>2267</v>
      </c>
      <c r="T362" s="2" t="s">
        <v>30</v>
      </c>
    </row>
    <row r="363" spans="1:20" x14ac:dyDescent="0.3">
      <c r="A363" s="1">
        <v>45434</v>
      </c>
      <c r="B363" s="2" t="s">
        <v>72</v>
      </c>
      <c r="C363" s="2" t="s">
        <v>32</v>
      </c>
      <c r="D363" s="2" t="s">
        <v>57</v>
      </c>
      <c r="E363">
        <v>1000</v>
      </c>
      <c r="F363" t="b">
        <v>0</v>
      </c>
      <c r="G363" s="2" t="s">
        <v>23</v>
      </c>
      <c r="H363" s="2" t="s">
        <v>70</v>
      </c>
      <c r="I363" s="2" t="s">
        <v>42</v>
      </c>
      <c r="J363" s="2" t="s">
        <v>48</v>
      </c>
      <c r="K363">
        <v>2</v>
      </c>
      <c r="L363" s="2" t="s">
        <v>49</v>
      </c>
      <c r="M363" s="2" t="s">
        <v>73</v>
      </c>
      <c r="N363" t="b">
        <v>1</v>
      </c>
      <c r="O363">
        <v>2</v>
      </c>
      <c r="P363" s="2" t="s">
        <v>37</v>
      </c>
      <c r="Q363">
        <v>8</v>
      </c>
      <c r="R363">
        <v>3</v>
      </c>
      <c r="S363">
        <v>4192</v>
      </c>
      <c r="T363" s="2" t="s">
        <v>51</v>
      </c>
    </row>
    <row r="364" spans="1:20" x14ac:dyDescent="0.3">
      <c r="A364" s="1">
        <v>45434</v>
      </c>
      <c r="B364" s="2" t="s">
        <v>55</v>
      </c>
      <c r="C364" s="2" t="s">
        <v>45</v>
      </c>
      <c r="D364" s="2" t="s">
        <v>53</v>
      </c>
      <c r="E364">
        <v>4381</v>
      </c>
      <c r="F364" t="b">
        <v>0</v>
      </c>
      <c r="G364" s="2" t="s">
        <v>40</v>
      </c>
      <c r="H364" s="2" t="s">
        <v>35</v>
      </c>
      <c r="I364" s="2" t="s">
        <v>42</v>
      </c>
      <c r="J364" s="2" t="s">
        <v>48</v>
      </c>
      <c r="K364">
        <v>1</v>
      </c>
      <c r="L364" s="2" t="s">
        <v>36</v>
      </c>
      <c r="M364" s="2" t="s">
        <v>28</v>
      </c>
      <c r="N364" t="b">
        <v>1</v>
      </c>
      <c r="O364">
        <v>22</v>
      </c>
      <c r="P364" s="2" t="s">
        <v>37</v>
      </c>
      <c r="Q364">
        <v>4</v>
      </c>
      <c r="R364">
        <v>2</v>
      </c>
      <c r="S364">
        <v>2923</v>
      </c>
      <c r="T364" s="2" t="s">
        <v>30</v>
      </c>
    </row>
    <row r="365" spans="1:20" x14ac:dyDescent="0.3">
      <c r="A365" s="1">
        <v>45435</v>
      </c>
      <c r="B365" s="2" t="s">
        <v>52</v>
      </c>
      <c r="C365" s="2" t="s">
        <v>45</v>
      </c>
      <c r="D365" s="2" t="s">
        <v>57</v>
      </c>
      <c r="E365">
        <v>1000</v>
      </c>
      <c r="F365" t="b">
        <v>0</v>
      </c>
      <c r="G365" s="2" t="s">
        <v>40</v>
      </c>
      <c r="H365" s="2" t="s">
        <v>35</v>
      </c>
      <c r="I365" s="2" t="s">
        <v>42</v>
      </c>
      <c r="J365" s="2" t="s">
        <v>43</v>
      </c>
      <c r="K365">
        <v>4</v>
      </c>
      <c r="L365" s="2" t="s">
        <v>36</v>
      </c>
      <c r="M365" s="2" t="s">
        <v>58</v>
      </c>
      <c r="N365" t="b">
        <v>0</v>
      </c>
      <c r="O365">
        <v>28</v>
      </c>
      <c r="P365" s="2" t="s">
        <v>37</v>
      </c>
      <c r="Q365">
        <v>3</v>
      </c>
      <c r="R365">
        <v>1</v>
      </c>
      <c r="S365">
        <v>3674</v>
      </c>
      <c r="T365" s="2" t="s">
        <v>38</v>
      </c>
    </row>
    <row r="366" spans="1:20" x14ac:dyDescent="0.3">
      <c r="A366" s="1">
        <v>45435</v>
      </c>
      <c r="B366" s="2" t="s">
        <v>74</v>
      </c>
      <c r="C366" s="2" t="s">
        <v>32</v>
      </c>
      <c r="D366" s="2" t="s">
        <v>46</v>
      </c>
      <c r="E366">
        <v>3313</v>
      </c>
      <c r="F366" t="b">
        <v>1</v>
      </c>
      <c r="G366" s="2" t="s">
        <v>40</v>
      </c>
      <c r="H366" s="2" t="s">
        <v>35</v>
      </c>
      <c r="I366" s="2" t="s">
        <v>25</v>
      </c>
      <c r="J366" s="2" t="s">
        <v>26</v>
      </c>
      <c r="K366">
        <v>3</v>
      </c>
      <c r="L366" s="2" t="s">
        <v>27</v>
      </c>
      <c r="M366" s="2" t="s">
        <v>66</v>
      </c>
      <c r="N366" t="b">
        <v>0</v>
      </c>
      <c r="O366">
        <v>48</v>
      </c>
      <c r="P366" s="2" t="s">
        <v>29</v>
      </c>
      <c r="Q366">
        <v>4</v>
      </c>
      <c r="R366">
        <v>1</v>
      </c>
      <c r="S366">
        <v>2635</v>
      </c>
      <c r="T366" s="2" t="s">
        <v>51</v>
      </c>
    </row>
    <row r="367" spans="1:20" x14ac:dyDescent="0.3">
      <c r="A367" s="1">
        <v>45436</v>
      </c>
      <c r="B367" s="2" t="s">
        <v>62</v>
      </c>
      <c r="C367" s="2" t="s">
        <v>60</v>
      </c>
      <c r="D367" s="2" t="s">
        <v>53</v>
      </c>
      <c r="E367">
        <v>4781</v>
      </c>
      <c r="F367" t="b">
        <v>1</v>
      </c>
      <c r="G367" s="2" t="s">
        <v>34</v>
      </c>
      <c r="H367" s="2" t="s">
        <v>41</v>
      </c>
      <c r="I367" s="2" t="s">
        <v>25</v>
      </c>
      <c r="J367" s="2" t="s">
        <v>54</v>
      </c>
      <c r="K367">
        <v>0</v>
      </c>
      <c r="L367" s="2" t="s">
        <v>27</v>
      </c>
      <c r="M367" s="2" t="s">
        <v>28</v>
      </c>
      <c r="N367" t="b">
        <v>0</v>
      </c>
      <c r="O367">
        <v>118</v>
      </c>
      <c r="P367" s="2" t="s">
        <v>63</v>
      </c>
      <c r="Q367">
        <v>9</v>
      </c>
      <c r="R367">
        <v>1</v>
      </c>
      <c r="S367">
        <v>3258</v>
      </c>
      <c r="T367" s="2" t="s">
        <v>38</v>
      </c>
    </row>
    <row r="368" spans="1:20" x14ac:dyDescent="0.3">
      <c r="A368" s="1">
        <v>45436</v>
      </c>
      <c r="B368" s="2" t="s">
        <v>72</v>
      </c>
      <c r="C368" s="2" t="s">
        <v>60</v>
      </c>
      <c r="D368" s="2" t="s">
        <v>22</v>
      </c>
      <c r="E368">
        <v>6280</v>
      </c>
      <c r="F368" t="b">
        <v>0</v>
      </c>
      <c r="G368" s="2" t="s">
        <v>34</v>
      </c>
      <c r="H368" s="2" t="s">
        <v>70</v>
      </c>
      <c r="I368" s="2" t="s">
        <v>47</v>
      </c>
      <c r="J368" s="2" t="s">
        <v>43</v>
      </c>
      <c r="K368">
        <v>2</v>
      </c>
      <c r="L368" s="2" t="s">
        <v>49</v>
      </c>
      <c r="M368" s="2" t="s">
        <v>58</v>
      </c>
      <c r="N368" t="b">
        <v>1</v>
      </c>
      <c r="O368">
        <v>43</v>
      </c>
      <c r="P368" s="2" t="s">
        <v>63</v>
      </c>
      <c r="Q368">
        <v>1</v>
      </c>
      <c r="R368">
        <v>1</v>
      </c>
      <c r="S368">
        <v>3428</v>
      </c>
      <c r="T368" s="2" t="s">
        <v>51</v>
      </c>
    </row>
    <row r="369" spans="1:20" x14ac:dyDescent="0.3">
      <c r="A369" s="1">
        <v>45436</v>
      </c>
      <c r="B369" s="2" t="s">
        <v>72</v>
      </c>
      <c r="C369" s="2" t="s">
        <v>45</v>
      </c>
      <c r="D369" s="2" t="s">
        <v>46</v>
      </c>
      <c r="E369">
        <v>1429</v>
      </c>
      <c r="F369" t="b">
        <v>0</v>
      </c>
      <c r="G369" s="2" t="s">
        <v>64</v>
      </c>
      <c r="H369" s="2" t="s">
        <v>41</v>
      </c>
      <c r="I369" s="2" t="s">
        <v>42</v>
      </c>
      <c r="J369" s="2" t="s">
        <v>43</v>
      </c>
      <c r="K369">
        <v>1</v>
      </c>
      <c r="L369" s="2" t="s">
        <v>27</v>
      </c>
      <c r="M369" s="2" t="s">
        <v>66</v>
      </c>
      <c r="N369" t="b">
        <v>0</v>
      </c>
      <c r="O369">
        <v>101</v>
      </c>
      <c r="P369" s="2" t="s">
        <v>29</v>
      </c>
      <c r="Q369">
        <v>4</v>
      </c>
      <c r="R369">
        <v>3</v>
      </c>
      <c r="S369">
        <v>3224</v>
      </c>
      <c r="T369" s="2" t="s">
        <v>38</v>
      </c>
    </row>
    <row r="370" spans="1:20" x14ac:dyDescent="0.3">
      <c r="A370" s="1">
        <v>45438</v>
      </c>
      <c r="B370" s="2" t="s">
        <v>72</v>
      </c>
      <c r="C370" s="2" t="s">
        <v>21</v>
      </c>
      <c r="D370" s="2" t="s">
        <v>22</v>
      </c>
      <c r="E370">
        <v>6047</v>
      </c>
      <c r="F370" t="b">
        <v>0</v>
      </c>
      <c r="G370" s="2" t="s">
        <v>34</v>
      </c>
      <c r="H370" s="2" t="s">
        <v>35</v>
      </c>
      <c r="I370" s="2" t="s">
        <v>59</v>
      </c>
      <c r="J370" s="2" t="s">
        <v>54</v>
      </c>
      <c r="K370">
        <v>1</v>
      </c>
      <c r="L370" s="2" t="s">
        <v>36</v>
      </c>
      <c r="M370" s="2" t="s">
        <v>66</v>
      </c>
      <c r="N370" t="b">
        <v>1</v>
      </c>
      <c r="O370">
        <v>63</v>
      </c>
      <c r="P370" s="2" t="s">
        <v>29</v>
      </c>
      <c r="Q370">
        <v>3</v>
      </c>
      <c r="R370">
        <v>3</v>
      </c>
      <c r="S370">
        <v>2121</v>
      </c>
      <c r="T370" s="2" t="s">
        <v>51</v>
      </c>
    </row>
    <row r="371" spans="1:20" x14ac:dyDescent="0.3">
      <c r="A371" s="1">
        <v>45438</v>
      </c>
      <c r="B371" s="2" t="s">
        <v>44</v>
      </c>
      <c r="C371" s="2" t="s">
        <v>32</v>
      </c>
      <c r="D371" s="2" t="s">
        <v>46</v>
      </c>
      <c r="E371">
        <v>3263</v>
      </c>
      <c r="F371" t="b">
        <v>1</v>
      </c>
      <c r="G371" s="2" t="s">
        <v>40</v>
      </c>
      <c r="H371" s="2" t="s">
        <v>35</v>
      </c>
      <c r="I371" s="2" t="s">
        <v>59</v>
      </c>
      <c r="J371" s="2" t="s">
        <v>48</v>
      </c>
      <c r="K371">
        <v>3</v>
      </c>
      <c r="L371" s="2" t="s">
        <v>36</v>
      </c>
      <c r="M371" s="2" t="s">
        <v>73</v>
      </c>
      <c r="N371" t="b">
        <v>0</v>
      </c>
      <c r="O371">
        <v>13</v>
      </c>
      <c r="P371" s="2" t="s">
        <v>67</v>
      </c>
      <c r="Q371">
        <v>6</v>
      </c>
      <c r="R371">
        <v>2</v>
      </c>
      <c r="S371">
        <v>2748</v>
      </c>
      <c r="T371" s="2" t="s">
        <v>38</v>
      </c>
    </row>
    <row r="372" spans="1:20" x14ac:dyDescent="0.3">
      <c r="A372" s="1">
        <v>45438</v>
      </c>
      <c r="B372" s="2" t="s">
        <v>68</v>
      </c>
      <c r="C372" s="2" t="s">
        <v>32</v>
      </c>
      <c r="D372" s="2" t="s">
        <v>57</v>
      </c>
      <c r="E372">
        <v>1000</v>
      </c>
      <c r="F372" t="b">
        <v>0</v>
      </c>
      <c r="G372" s="2" t="s">
        <v>65</v>
      </c>
      <c r="H372" s="2" t="s">
        <v>24</v>
      </c>
      <c r="I372" s="2" t="s">
        <v>25</v>
      </c>
      <c r="J372" s="2" t="s">
        <v>48</v>
      </c>
      <c r="K372">
        <v>5</v>
      </c>
      <c r="L372" s="2" t="s">
        <v>36</v>
      </c>
      <c r="M372" s="2" t="s">
        <v>28</v>
      </c>
      <c r="N372" t="b">
        <v>1</v>
      </c>
      <c r="O372">
        <v>64</v>
      </c>
      <c r="P372" s="2" t="s">
        <v>37</v>
      </c>
      <c r="Q372">
        <v>5</v>
      </c>
      <c r="R372">
        <v>3</v>
      </c>
      <c r="S372">
        <v>864</v>
      </c>
      <c r="T372" s="2" t="s">
        <v>30</v>
      </c>
    </row>
    <row r="373" spans="1:20" x14ac:dyDescent="0.3">
      <c r="A373" s="1">
        <v>45438</v>
      </c>
      <c r="B373" s="2" t="s">
        <v>72</v>
      </c>
      <c r="C373" s="2" t="s">
        <v>56</v>
      </c>
      <c r="D373" s="2" t="s">
        <v>53</v>
      </c>
      <c r="E373">
        <v>7216</v>
      </c>
      <c r="F373" t="b">
        <v>1</v>
      </c>
      <c r="G373" s="2" t="s">
        <v>64</v>
      </c>
      <c r="H373" s="2" t="s">
        <v>70</v>
      </c>
      <c r="I373" s="2" t="s">
        <v>42</v>
      </c>
      <c r="J373" s="2" t="s">
        <v>54</v>
      </c>
      <c r="K373">
        <v>5</v>
      </c>
      <c r="L373" s="2" t="s">
        <v>36</v>
      </c>
      <c r="M373" s="2" t="s">
        <v>73</v>
      </c>
      <c r="N373" t="b">
        <v>1</v>
      </c>
      <c r="O373">
        <v>16</v>
      </c>
      <c r="P373" s="2" t="s">
        <v>67</v>
      </c>
      <c r="Q373">
        <v>8</v>
      </c>
      <c r="R373">
        <v>1</v>
      </c>
      <c r="S373">
        <v>754</v>
      </c>
      <c r="T373" s="2" t="s">
        <v>38</v>
      </c>
    </row>
    <row r="374" spans="1:20" x14ac:dyDescent="0.3">
      <c r="A374" s="1">
        <v>45439</v>
      </c>
      <c r="B374" s="2" t="s">
        <v>69</v>
      </c>
      <c r="C374" s="2" t="s">
        <v>60</v>
      </c>
      <c r="D374" s="2" t="s">
        <v>61</v>
      </c>
      <c r="E374">
        <v>1000</v>
      </c>
      <c r="F374" t="b">
        <v>1</v>
      </c>
      <c r="G374" s="2" t="s">
        <v>40</v>
      </c>
      <c r="H374" s="2" t="s">
        <v>41</v>
      </c>
      <c r="I374" s="2" t="s">
        <v>42</v>
      </c>
      <c r="J374" s="2" t="s">
        <v>54</v>
      </c>
      <c r="K374">
        <v>3</v>
      </c>
      <c r="L374" s="2" t="s">
        <v>36</v>
      </c>
      <c r="M374" s="2" t="s">
        <v>28</v>
      </c>
      <c r="N374" t="b">
        <v>1</v>
      </c>
      <c r="O374">
        <v>13</v>
      </c>
      <c r="P374" s="2" t="s">
        <v>50</v>
      </c>
      <c r="Q374">
        <v>3</v>
      </c>
      <c r="R374">
        <v>2</v>
      </c>
      <c r="S374">
        <v>4237</v>
      </c>
      <c r="T374" s="2" t="s">
        <v>30</v>
      </c>
    </row>
    <row r="375" spans="1:20" x14ac:dyDescent="0.3">
      <c r="A375" s="1">
        <v>45439</v>
      </c>
      <c r="B375" s="2" t="s">
        <v>31</v>
      </c>
      <c r="C375" s="2" t="s">
        <v>21</v>
      </c>
      <c r="D375" s="2" t="s">
        <v>33</v>
      </c>
      <c r="E375">
        <v>3992</v>
      </c>
      <c r="F375" t="b">
        <v>0</v>
      </c>
      <c r="G375" s="2" t="s">
        <v>34</v>
      </c>
      <c r="H375" s="2" t="s">
        <v>35</v>
      </c>
      <c r="I375" s="2" t="s">
        <v>47</v>
      </c>
      <c r="J375" s="2" t="s">
        <v>43</v>
      </c>
      <c r="K375">
        <v>3</v>
      </c>
      <c r="L375" s="2" t="s">
        <v>49</v>
      </c>
      <c r="M375" s="2" t="s">
        <v>73</v>
      </c>
      <c r="N375" t="b">
        <v>0</v>
      </c>
      <c r="O375">
        <v>70</v>
      </c>
      <c r="P375" s="2" t="s">
        <v>29</v>
      </c>
      <c r="Q375">
        <v>7</v>
      </c>
      <c r="R375">
        <v>2</v>
      </c>
      <c r="S375">
        <v>3420</v>
      </c>
      <c r="T375" s="2" t="s">
        <v>51</v>
      </c>
    </row>
    <row r="376" spans="1:20" x14ac:dyDescent="0.3">
      <c r="A376" s="1">
        <v>45439</v>
      </c>
      <c r="B376" s="2" t="s">
        <v>39</v>
      </c>
      <c r="C376" s="2" t="s">
        <v>45</v>
      </c>
      <c r="D376" s="2" t="s">
        <v>46</v>
      </c>
      <c r="E376">
        <v>1282</v>
      </c>
      <c r="F376" t="b">
        <v>0</v>
      </c>
      <c r="G376" s="2" t="s">
        <v>40</v>
      </c>
      <c r="H376" s="2" t="s">
        <v>41</v>
      </c>
      <c r="I376" s="2" t="s">
        <v>59</v>
      </c>
      <c r="J376" s="2" t="s">
        <v>54</v>
      </c>
      <c r="K376">
        <v>5</v>
      </c>
      <c r="L376" s="2" t="s">
        <v>27</v>
      </c>
      <c r="M376" s="2" t="s">
        <v>58</v>
      </c>
      <c r="N376" t="b">
        <v>1</v>
      </c>
      <c r="O376">
        <v>65</v>
      </c>
      <c r="P376" s="2" t="s">
        <v>63</v>
      </c>
      <c r="Q376">
        <v>4</v>
      </c>
      <c r="R376">
        <v>1</v>
      </c>
      <c r="S376">
        <v>2735</v>
      </c>
      <c r="T376" s="2" t="s">
        <v>38</v>
      </c>
    </row>
    <row r="377" spans="1:20" x14ac:dyDescent="0.3">
      <c r="A377" s="1">
        <v>45439</v>
      </c>
      <c r="B377" s="2" t="s">
        <v>76</v>
      </c>
      <c r="C377" s="2" t="s">
        <v>21</v>
      </c>
      <c r="D377" s="2" t="s">
        <v>33</v>
      </c>
      <c r="E377">
        <v>2079</v>
      </c>
      <c r="F377" t="b">
        <v>0</v>
      </c>
      <c r="G377" s="2" t="s">
        <v>65</v>
      </c>
      <c r="H377" s="2" t="s">
        <v>70</v>
      </c>
      <c r="I377" s="2" t="s">
        <v>42</v>
      </c>
      <c r="J377" s="2" t="s">
        <v>48</v>
      </c>
      <c r="K377">
        <v>1</v>
      </c>
      <c r="L377" s="2" t="s">
        <v>49</v>
      </c>
      <c r="M377" s="2" t="s">
        <v>58</v>
      </c>
      <c r="N377" t="b">
        <v>1</v>
      </c>
      <c r="O377">
        <v>101</v>
      </c>
      <c r="P377" s="2" t="s">
        <v>37</v>
      </c>
      <c r="Q377">
        <v>5</v>
      </c>
      <c r="R377">
        <v>2</v>
      </c>
      <c r="S377">
        <v>1222</v>
      </c>
      <c r="T377" s="2" t="s">
        <v>51</v>
      </c>
    </row>
    <row r="378" spans="1:20" x14ac:dyDescent="0.3">
      <c r="A378" s="1">
        <v>45439</v>
      </c>
      <c r="B378" s="2" t="s">
        <v>68</v>
      </c>
      <c r="C378" s="2" t="s">
        <v>21</v>
      </c>
      <c r="D378" s="2" t="s">
        <v>46</v>
      </c>
      <c r="E378">
        <v>4726</v>
      </c>
      <c r="F378" t="b">
        <v>1</v>
      </c>
      <c r="G378" s="2" t="s">
        <v>64</v>
      </c>
      <c r="H378" s="2" t="s">
        <v>41</v>
      </c>
      <c r="I378" s="2" t="s">
        <v>25</v>
      </c>
      <c r="J378" s="2" t="s">
        <v>26</v>
      </c>
      <c r="K378">
        <v>2</v>
      </c>
      <c r="L378" s="2" t="s">
        <v>36</v>
      </c>
      <c r="M378" s="2" t="s">
        <v>66</v>
      </c>
      <c r="N378" t="b">
        <v>1</v>
      </c>
      <c r="O378">
        <v>99</v>
      </c>
      <c r="P378" s="2" t="s">
        <v>29</v>
      </c>
      <c r="Q378">
        <v>8</v>
      </c>
      <c r="R378">
        <v>2</v>
      </c>
      <c r="S378">
        <v>1838</v>
      </c>
      <c r="T378" s="2" t="s">
        <v>38</v>
      </c>
    </row>
    <row r="379" spans="1:20" x14ac:dyDescent="0.3">
      <c r="A379" s="1">
        <v>45439</v>
      </c>
      <c r="B379" s="2" t="s">
        <v>74</v>
      </c>
      <c r="C379" s="2" t="s">
        <v>56</v>
      </c>
      <c r="D379" s="2" t="s">
        <v>33</v>
      </c>
      <c r="E379">
        <v>2272</v>
      </c>
      <c r="F379" t="b">
        <v>0</v>
      </c>
      <c r="G379" s="2" t="s">
        <v>40</v>
      </c>
      <c r="H379" s="2" t="s">
        <v>24</v>
      </c>
      <c r="I379" s="2" t="s">
        <v>59</v>
      </c>
      <c r="J379" s="2" t="s">
        <v>26</v>
      </c>
      <c r="K379">
        <v>14</v>
      </c>
      <c r="L379" s="2" t="s">
        <v>49</v>
      </c>
      <c r="M379" s="2" t="s">
        <v>66</v>
      </c>
      <c r="N379" t="b">
        <v>0</v>
      </c>
      <c r="O379">
        <v>4</v>
      </c>
      <c r="P379" s="2" t="s">
        <v>50</v>
      </c>
      <c r="Q379">
        <v>7</v>
      </c>
      <c r="R379">
        <v>2</v>
      </c>
      <c r="S379">
        <v>1805</v>
      </c>
      <c r="T379" s="2" t="s">
        <v>51</v>
      </c>
    </row>
    <row r="380" spans="1:20" x14ac:dyDescent="0.3">
      <c r="A380" s="1">
        <v>45439</v>
      </c>
      <c r="B380" s="2" t="s">
        <v>20</v>
      </c>
      <c r="C380" s="2" t="s">
        <v>56</v>
      </c>
      <c r="D380" s="2" t="s">
        <v>22</v>
      </c>
      <c r="E380">
        <v>6433</v>
      </c>
      <c r="F380" t="b">
        <v>1</v>
      </c>
      <c r="G380" s="2" t="s">
        <v>65</v>
      </c>
      <c r="H380" s="2" t="s">
        <v>24</v>
      </c>
      <c r="I380" s="2" t="s">
        <v>42</v>
      </c>
      <c r="J380" s="2" t="s">
        <v>26</v>
      </c>
      <c r="K380">
        <v>3</v>
      </c>
      <c r="L380" s="2" t="s">
        <v>49</v>
      </c>
      <c r="M380" s="2" t="s">
        <v>73</v>
      </c>
      <c r="N380" t="b">
        <v>0</v>
      </c>
      <c r="O380">
        <v>37</v>
      </c>
      <c r="P380" s="2" t="s">
        <v>63</v>
      </c>
      <c r="Q380">
        <v>10</v>
      </c>
      <c r="R380">
        <v>3</v>
      </c>
      <c r="S380">
        <v>1365</v>
      </c>
      <c r="T380" s="2" t="s">
        <v>30</v>
      </c>
    </row>
    <row r="381" spans="1:20" x14ac:dyDescent="0.3">
      <c r="A381" s="1">
        <v>45440</v>
      </c>
      <c r="B381" s="2" t="s">
        <v>68</v>
      </c>
      <c r="C381" s="2" t="s">
        <v>32</v>
      </c>
      <c r="D381" s="2" t="s">
        <v>33</v>
      </c>
      <c r="E381">
        <v>4106</v>
      </c>
      <c r="F381" t="b">
        <v>1</v>
      </c>
      <c r="G381" s="2" t="s">
        <v>65</v>
      </c>
      <c r="H381" s="2" t="s">
        <v>35</v>
      </c>
      <c r="I381" s="2" t="s">
        <v>59</v>
      </c>
      <c r="J381" s="2" t="s">
        <v>54</v>
      </c>
      <c r="K381">
        <v>5</v>
      </c>
      <c r="L381" s="2" t="s">
        <v>27</v>
      </c>
      <c r="M381" s="2" t="s">
        <v>73</v>
      </c>
      <c r="N381" t="b">
        <v>1</v>
      </c>
      <c r="O381">
        <v>77</v>
      </c>
      <c r="P381" s="2" t="s">
        <v>50</v>
      </c>
      <c r="Q381">
        <v>1</v>
      </c>
      <c r="R381">
        <v>2</v>
      </c>
      <c r="S381">
        <v>2945</v>
      </c>
      <c r="T381" s="2" t="s">
        <v>51</v>
      </c>
    </row>
    <row r="382" spans="1:20" x14ac:dyDescent="0.3">
      <c r="A382" s="1">
        <v>45440</v>
      </c>
      <c r="B382" s="2" t="s">
        <v>68</v>
      </c>
      <c r="C382" s="2" t="s">
        <v>32</v>
      </c>
      <c r="D382" s="2" t="s">
        <v>46</v>
      </c>
      <c r="E382">
        <v>2349</v>
      </c>
      <c r="F382" t="b">
        <v>0</v>
      </c>
      <c r="G382" s="2" t="s">
        <v>64</v>
      </c>
      <c r="H382" s="2" t="s">
        <v>70</v>
      </c>
      <c r="I382" s="2" t="s">
        <v>59</v>
      </c>
      <c r="J382" s="2" t="s">
        <v>43</v>
      </c>
      <c r="K382">
        <v>3</v>
      </c>
      <c r="L382" s="2" t="s">
        <v>36</v>
      </c>
      <c r="M382" s="2" t="s">
        <v>28</v>
      </c>
      <c r="N382" t="b">
        <v>1</v>
      </c>
      <c r="O382">
        <v>84</v>
      </c>
      <c r="P382" s="2" t="s">
        <v>50</v>
      </c>
      <c r="Q382">
        <v>10</v>
      </c>
      <c r="R382">
        <v>3</v>
      </c>
      <c r="S382">
        <v>3048</v>
      </c>
      <c r="T382" s="2" t="s">
        <v>51</v>
      </c>
    </row>
    <row r="383" spans="1:20" x14ac:dyDescent="0.3">
      <c r="A383" s="1">
        <v>45440</v>
      </c>
      <c r="B383" s="2" t="s">
        <v>69</v>
      </c>
      <c r="C383" s="2" t="s">
        <v>45</v>
      </c>
      <c r="D383" s="2" t="s">
        <v>22</v>
      </c>
      <c r="E383">
        <v>6251</v>
      </c>
      <c r="F383" t="b">
        <v>0</v>
      </c>
      <c r="G383" s="2" t="s">
        <v>65</v>
      </c>
      <c r="H383" s="2" t="s">
        <v>35</v>
      </c>
      <c r="I383" s="2" t="s">
        <v>47</v>
      </c>
      <c r="J383" s="2" t="s">
        <v>54</v>
      </c>
      <c r="K383">
        <v>5</v>
      </c>
      <c r="L383" s="2" t="s">
        <v>36</v>
      </c>
      <c r="M383" s="2" t="s">
        <v>58</v>
      </c>
      <c r="N383" t="b">
        <v>1</v>
      </c>
      <c r="O383">
        <v>16</v>
      </c>
      <c r="P383" s="2" t="s">
        <v>29</v>
      </c>
      <c r="Q383">
        <v>1</v>
      </c>
      <c r="R383">
        <v>3</v>
      </c>
      <c r="S383">
        <v>3624</v>
      </c>
      <c r="T383" s="2" t="s">
        <v>30</v>
      </c>
    </row>
    <row r="384" spans="1:20" x14ac:dyDescent="0.3">
      <c r="A384" s="1">
        <v>45440</v>
      </c>
      <c r="B384" s="2" t="s">
        <v>75</v>
      </c>
      <c r="C384" s="2" t="s">
        <v>45</v>
      </c>
      <c r="D384" s="2" t="s">
        <v>22</v>
      </c>
      <c r="E384">
        <v>6644</v>
      </c>
      <c r="F384" t="b">
        <v>0</v>
      </c>
      <c r="G384" s="2" t="s">
        <v>64</v>
      </c>
      <c r="H384" s="2" t="s">
        <v>70</v>
      </c>
      <c r="I384" s="2" t="s">
        <v>42</v>
      </c>
      <c r="J384" s="2" t="s">
        <v>43</v>
      </c>
      <c r="K384">
        <v>0</v>
      </c>
      <c r="L384" s="2" t="s">
        <v>27</v>
      </c>
      <c r="M384" s="2" t="s">
        <v>73</v>
      </c>
      <c r="N384" t="b">
        <v>1</v>
      </c>
      <c r="O384">
        <v>6</v>
      </c>
      <c r="P384" s="2" t="s">
        <v>29</v>
      </c>
      <c r="Q384">
        <v>9</v>
      </c>
      <c r="R384">
        <v>3</v>
      </c>
      <c r="S384">
        <v>3292</v>
      </c>
      <c r="T384" s="2" t="s">
        <v>51</v>
      </c>
    </row>
    <row r="385" spans="1:20" x14ac:dyDescent="0.3">
      <c r="A385" s="1">
        <v>45440</v>
      </c>
      <c r="B385" s="2" t="s">
        <v>69</v>
      </c>
      <c r="C385" s="2" t="s">
        <v>21</v>
      </c>
      <c r="D385" s="2" t="s">
        <v>57</v>
      </c>
      <c r="E385">
        <v>1000</v>
      </c>
      <c r="F385" t="b">
        <v>1</v>
      </c>
      <c r="G385" s="2" t="s">
        <v>34</v>
      </c>
      <c r="H385" s="2" t="s">
        <v>70</v>
      </c>
      <c r="I385" s="2" t="s">
        <v>47</v>
      </c>
      <c r="J385" s="2" t="s">
        <v>48</v>
      </c>
      <c r="K385">
        <v>0</v>
      </c>
      <c r="L385" s="2" t="s">
        <v>49</v>
      </c>
      <c r="M385" s="2" t="s">
        <v>28</v>
      </c>
      <c r="N385" t="b">
        <v>0</v>
      </c>
      <c r="O385">
        <v>66</v>
      </c>
      <c r="P385" s="2" t="s">
        <v>29</v>
      </c>
      <c r="Q385">
        <v>10</v>
      </c>
      <c r="R385">
        <v>2</v>
      </c>
      <c r="S385">
        <v>1385</v>
      </c>
      <c r="T385" s="2" t="s">
        <v>38</v>
      </c>
    </row>
    <row r="386" spans="1:20" x14ac:dyDescent="0.3">
      <c r="A386" s="1">
        <v>45444</v>
      </c>
      <c r="B386" s="2" t="s">
        <v>71</v>
      </c>
      <c r="C386" s="2" t="s">
        <v>56</v>
      </c>
      <c r="D386" s="2" t="s">
        <v>22</v>
      </c>
      <c r="E386">
        <v>8121</v>
      </c>
      <c r="F386" t="b">
        <v>0</v>
      </c>
      <c r="G386" s="2" t="s">
        <v>64</v>
      </c>
      <c r="H386" s="2" t="s">
        <v>70</v>
      </c>
      <c r="I386" s="2" t="s">
        <v>42</v>
      </c>
      <c r="J386" s="2" t="s">
        <v>54</v>
      </c>
      <c r="K386">
        <v>2</v>
      </c>
      <c r="L386" s="2" t="s">
        <v>36</v>
      </c>
      <c r="M386" s="2" t="s">
        <v>66</v>
      </c>
      <c r="N386" t="b">
        <v>1</v>
      </c>
      <c r="O386">
        <v>28</v>
      </c>
      <c r="P386" s="2" t="s">
        <v>50</v>
      </c>
      <c r="Q386">
        <v>8</v>
      </c>
      <c r="R386">
        <v>2</v>
      </c>
      <c r="S386">
        <v>2668</v>
      </c>
      <c r="T386" s="2" t="s">
        <v>30</v>
      </c>
    </row>
    <row r="387" spans="1:20" x14ac:dyDescent="0.3">
      <c r="A387" s="1">
        <v>45445</v>
      </c>
      <c r="B387" s="2" t="s">
        <v>44</v>
      </c>
      <c r="C387" s="2" t="s">
        <v>45</v>
      </c>
      <c r="D387" s="2" t="s">
        <v>22</v>
      </c>
      <c r="E387">
        <v>9492</v>
      </c>
      <c r="F387" t="b">
        <v>0</v>
      </c>
      <c r="G387" s="2" t="s">
        <v>34</v>
      </c>
      <c r="H387" s="2" t="s">
        <v>24</v>
      </c>
      <c r="I387" s="2" t="s">
        <v>25</v>
      </c>
      <c r="J387" s="2" t="s">
        <v>43</v>
      </c>
      <c r="K387">
        <v>3</v>
      </c>
      <c r="L387" s="2" t="s">
        <v>49</v>
      </c>
      <c r="M387" s="2" t="s">
        <v>66</v>
      </c>
      <c r="N387" t="b">
        <v>0</v>
      </c>
      <c r="O387">
        <v>61</v>
      </c>
      <c r="P387" s="2" t="s">
        <v>50</v>
      </c>
      <c r="Q387">
        <v>8</v>
      </c>
      <c r="R387">
        <v>1</v>
      </c>
      <c r="S387">
        <v>4724</v>
      </c>
      <c r="T387" s="2" t="s">
        <v>30</v>
      </c>
    </row>
    <row r="388" spans="1:20" x14ac:dyDescent="0.3">
      <c r="A388" s="1">
        <v>45445</v>
      </c>
      <c r="B388" s="2" t="s">
        <v>77</v>
      </c>
      <c r="C388" s="2" t="s">
        <v>60</v>
      </c>
      <c r="D388" s="2" t="s">
        <v>53</v>
      </c>
      <c r="E388">
        <v>5510</v>
      </c>
      <c r="F388" t="b">
        <v>1</v>
      </c>
      <c r="G388" s="2" t="s">
        <v>40</v>
      </c>
      <c r="H388" s="2" t="s">
        <v>24</v>
      </c>
      <c r="I388" s="2" t="s">
        <v>42</v>
      </c>
      <c r="J388" s="2" t="s">
        <v>43</v>
      </c>
      <c r="K388">
        <v>2</v>
      </c>
      <c r="L388" s="2" t="s">
        <v>27</v>
      </c>
      <c r="M388" s="2" t="s">
        <v>73</v>
      </c>
      <c r="N388" t="b">
        <v>0</v>
      </c>
      <c r="O388">
        <v>13</v>
      </c>
      <c r="P388" s="2" t="s">
        <v>50</v>
      </c>
      <c r="Q388">
        <v>5</v>
      </c>
      <c r="R388">
        <v>3</v>
      </c>
      <c r="S388">
        <v>4846</v>
      </c>
      <c r="T388" s="2" t="s">
        <v>38</v>
      </c>
    </row>
    <row r="389" spans="1:20" x14ac:dyDescent="0.3">
      <c r="A389" s="1">
        <v>45445</v>
      </c>
      <c r="B389" s="2" t="s">
        <v>62</v>
      </c>
      <c r="C389" s="2" t="s">
        <v>56</v>
      </c>
      <c r="D389" s="2" t="s">
        <v>53</v>
      </c>
      <c r="E389">
        <v>3071</v>
      </c>
      <c r="F389" t="b">
        <v>0</v>
      </c>
      <c r="G389" s="2" t="s">
        <v>40</v>
      </c>
      <c r="H389" s="2" t="s">
        <v>70</v>
      </c>
      <c r="I389" s="2" t="s">
        <v>59</v>
      </c>
      <c r="J389" s="2" t="s">
        <v>48</v>
      </c>
      <c r="K389">
        <v>3</v>
      </c>
      <c r="L389" s="2" t="s">
        <v>49</v>
      </c>
      <c r="M389" s="2" t="s">
        <v>73</v>
      </c>
      <c r="N389" t="b">
        <v>0</v>
      </c>
      <c r="O389">
        <v>106</v>
      </c>
      <c r="P389" s="2" t="s">
        <v>37</v>
      </c>
      <c r="Q389">
        <v>7</v>
      </c>
      <c r="R389">
        <v>1</v>
      </c>
      <c r="S389">
        <v>3266</v>
      </c>
      <c r="T389" s="2" t="s">
        <v>51</v>
      </c>
    </row>
    <row r="390" spans="1:20" x14ac:dyDescent="0.3">
      <c r="A390" s="1">
        <v>45446</v>
      </c>
      <c r="B390" s="2" t="s">
        <v>62</v>
      </c>
      <c r="C390" s="2" t="s">
        <v>56</v>
      </c>
      <c r="D390" s="2" t="s">
        <v>57</v>
      </c>
      <c r="E390">
        <v>1000</v>
      </c>
      <c r="F390" t="b">
        <v>1</v>
      </c>
      <c r="G390" s="2" t="s">
        <v>34</v>
      </c>
      <c r="H390" s="2" t="s">
        <v>41</v>
      </c>
      <c r="I390" s="2" t="s">
        <v>47</v>
      </c>
      <c r="J390" s="2" t="s">
        <v>54</v>
      </c>
      <c r="K390">
        <v>0</v>
      </c>
      <c r="L390" s="2" t="s">
        <v>49</v>
      </c>
      <c r="M390" s="2" t="s">
        <v>73</v>
      </c>
      <c r="N390" t="b">
        <v>0</v>
      </c>
      <c r="O390">
        <v>60</v>
      </c>
      <c r="P390" s="2" t="s">
        <v>50</v>
      </c>
      <c r="Q390">
        <v>7</v>
      </c>
      <c r="R390">
        <v>3</v>
      </c>
      <c r="S390">
        <v>1886</v>
      </c>
      <c r="T390" s="2" t="s">
        <v>30</v>
      </c>
    </row>
    <row r="391" spans="1:20" x14ac:dyDescent="0.3">
      <c r="A391" s="1">
        <v>45446</v>
      </c>
      <c r="B391" s="2" t="s">
        <v>74</v>
      </c>
      <c r="C391" s="2" t="s">
        <v>45</v>
      </c>
      <c r="D391" s="2" t="s">
        <v>57</v>
      </c>
      <c r="E391">
        <v>1000</v>
      </c>
      <c r="F391" t="b">
        <v>0</v>
      </c>
      <c r="G391" s="2" t="s">
        <v>64</v>
      </c>
      <c r="H391" s="2" t="s">
        <v>70</v>
      </c>
      <c r="I391" s="2" t="s">
        <v>47</v>
      </c>
      <c r="J391" s="2" t="s">
        <v>43</v>
      </c>
      <c r="K391">
        <v>5</v>
      </c>
      <c r="L391" s="2" t="s">
        <v>49</v>
      </c>
      <c r="M391" s="2" t="s">
        <v>28</v>
      </c>
      <c r="N391" t="b">
        <v>1</v>
      </c>
      <c r="O391">
        <v>19</v>
      </c>
      <c r="P391" s="2" t="s">
        <v>50</v>
      </c>
      <c r="Q391">
        <v>4</v>
      </c>
      <c r="R391">
        <v>1</v>
      </c>
      <c r="S391">
        <v>1995</v>
      </c>
      <c r="T391" s="2" t="s">
        <v>30</v>
      </c>
    </row>
    <row r="392" spans="1:20" x14ac:dyDescent="0.3">
      <c r="A392" s="1">
        <v>45446</v>
      </c>
      <c r="B392" s="2" t="s">
        <v>76</v>
      </c>
      <c r="C392" s="2" t="s">
        <v>21</v>
      </c>
      <c r="D392" s="2" t="s">
        <v>57</v>
      </c>
      <c r="E392">
        <v>1000</v>
      </c>
      <c r="F392" t="b">
        <v>0</v>
      </c>
      <c r="G392" s="2" t="s">
        <v>40</v>
      </c>
      <c r="H392" s="2" t="s">
        <v>70</v>
      </c>
      <c r="I392" s="2" t="s">
        <v>42</v>
      </c>
      <c r="J392" s="2" t="s">
        <v>43</v>
      </c>
      <c r="K392">
        <v>2</v>
      </c>
      <c r="L392" s="2" t="s">
        <v>27</v>
      </c>
      <c r="M392" s="2" t="s">
        <v>66</v>
      </c>
      <c r="N392" t="b">
        <v>1</v>
      </c>
      <c r="O392">
        <v>18</v>
      </c>
      <c r="P392" s="2" t="s">
        <v>37</v>
      </c>
      <c r="Q392">
        <v>4</v>
      </c>
      <c r="R392">
        <v>1</v>
      </c>
      <c r="S392">
        <v>547</v>
      </c>
      <c r="T392" s="2" t="s">
        <v>51</v>
      </c>
    </row>
    <row r="393" spans="1:20" x14ac:dyDescent="0.3">
      <c r="A393" s="1">
        <v>45447</v>
      </c>
      <c r="B393" s="2" t="s">
        <v>55</v>
      </c>
      <c r="C393" s="2" t="s">
        <v>60</v>
      </c>
      <c r="D393" s="2" t="s">
        <v>61</v>
      </c>
      <c r="E393">
        <v>1000</v>
      </c>
      <c r="F393" t="b">
        <v>0</v>
      </c>
      <c r="G393" s="2" t="s">
        <v>34</v>
      </c>
      <c r="H393" s="2" t="s">
        <v>41</v>
      </c>
      <c r="I393" s="2" t="s">
        <v>42</v>
      </c>
      <c r="J393" s="2" t="s">
        <v>48</v>
      </c>
      <c r="K393">
        <v>2</v>
      </c>
      <c r="L393" s="2" t="s">
        <v>49</v>
      </c>
      <c r="M393" s="2" t="s">
        <v>66</v>
      </c>
      <c r="N393" t="b">
        <v>1</v>
      </c>
      <c r="O393">
        <v>31</v>
      </c>
      <c r="P393" s="2" t="s">
        <v>63</v>
      </c>
      <c r="Q393">
        <v>2</v>
      </c>
      <c r="R393">
        <v>1</v>
      </c>
      <c r="S393">
        <v>925</v>
      </c>
      <c r="T393" s="2" t="s">
        <v>30</v>
      </c>
    </row>
    <row r="394" spans="1:20" x14ac:dyDescent="0.3">
      <c r="A394" s="1">
        <v>45447</v>
      </c>
      <c r="B394" s="2" t="s">
        <v>71</v>
      </c>
      <c r="C394" s="2" t="s">
        <v>56</v>
      </c>
      <c r="D394" s="2" t="s">
        <v>46</v>
      </c>
      <c r="E394">
        <v>1976</v>
      </c>
      <c r="F394" t="b">
        <v>1</v>
      </c>
      <c r="G394" s="2" t="s">
        <v>40</v>
      </c>
      <c r="H394" s="2" t="s">
        <v>41</v>
      </c>
      <c r="I394" s="2" t="s">
        <v>25</v>
      </c>
      <c r="J394" s="2" t="s">
        <v>43</v>
      </c>
      <c r="K394">
        <v>1</v>
      </c>
      <c r="L394" s="2" t="s">
        <v>49</v>
      </c>
      <c r="M394" s="2" t="s">
        <v>66</v>
      </c>
      <c r="N394" t="b">
        <v>0</v>
      </c>
      <c r="O394">
        <v>94</v>
      </c>
      <c r="P394" s="2" t="s">
        <v>50</v>
      </c>
      <c r="Q394">
        <v>10</v>
      </c>
      <c r="R394">
        <v>3</v>
      </c>
      <c r="S394">
        <v>3981</v>
      </c>
      <c r="T394" s="2" t="s">
        <v>38</v>
      </c>
    </row>
    <row r="395" spans="1:20" x14ac:dyDescent="0.3">
      <c r="A395" s="1">
        <v>45447</v>
      </c>
      <c r="B395" s="2" t="s">
        <v>76</v>
      </c>
      <c r="C395" s="2" t="s">
        <v>60</v>
      </c>
      <c r="D395" s="2" t="s">
        <v>61</v>
      </c>
      <c r="E395">
        <v>1000</v>
      </c>
      <c r="F395" t="b">
        <v>0</v>
      </c>
      <c r="G395" s="2" t="s">
        <v>40</v>
      </c>
      <c r="H395" s="2" t="s">
        <v>70</v>
      </c>
      <c r="I395" s="2" t="s">
        <v>59</v>
      </c>
      <c r="J395" s="2" t="s">
        <v>54</v>
      </c>
      <c r="K395">
        <v>4</v>
      </c>
      <c r="L395" s="2" t="s">
        <v>36</v>
      </c>
      <c r="M395" s="2" t="s">
        <v>66</v>
      </c>
      <c r="N395" t="b">
        <v>1</v>
      </c>
      <c r="O395">
        <v>56</v>
      </c>
      <c r="P395" s="2" t="s">
        <v>37</v>
      </c>
      <c r="Q395">
        <v>1</v>
      </c>
      <c r="R395">
        <v>3</v>
      </c>
      <c r="S395">
        <v>2694</v>
      </c>
      <c r="T395" s="2" t="s">
        <v>38</v>
      </c>
    </row>
    <row r="396" spans="1:20" x14ac:dyDescent="0.3">
      <c r="A396" s="1">
        <v>45447</v>
      </c>
      <c r="B396" s="2" t="s">
        <v>75</v>
      </c>
      <c r="C396" s="2" t="s">
        <v>60</v>
      </c>
      <c r="D396" s="2" t="s">
        <v>33</v>
      </c>
      <c r="E396">
        <v>2103</v>
      </c>
      <c r="F396" t="b">
        <v>0</v>
      </c>
      <c r="G396" s="2" t="s">
        <v>65</v>
      </c>
      <c r="H396" s="2" t="s">
        <v>41</v>
      </c>
      <c r="I396" s="2" t="s">
        <v>42</v>
      </c>
      <c r="J396" s="2" t="s">
        <v>54</v>
      </c>
      <c r="K396">
        <v>1</v>
      </c>
      <c r="L396" s="2" t="s">
        <v>27</v>
      </c>
      <c r="M396" s="2" t="s">
        <v>73</v>
      </c>
      <c r="N396" t="b">
        <v>1</v>
      </c>
      <c r="O396">
        <v>42</v>
      </c>
      <c r="P396" s="2" t="s">
        <v>63</v>
      </c>
      <c r="Q396">
        <v>9</v>
      </c>
      <c r="R396">
        <v>2</v>
      </c>
      <c r="S396">
        <v>4333</v>
      </c>
      <c r="T396" s="2" t="s">
        <v>51</v>
      </c>
    </row>
    <row r="397" spans="1:20" x14ac:dyDescent="0.3">
      <c r="A397" s="1">
        <v>45447</v>
      </c>
      <c r="B397" s="2" t="s">
        <v>75</v>
      </c>
      <c r="C397" s="2" t="s">
        <v>56</v>
      </c>
      <c r="D397" s="2" t="s">
        <v>57</v>
      </c>
      <c r="E397">
        <v>1000</v>
      </c>
      <c r="F397" t="b">
        <v>0</v>
      </c>
      <c r="G397" s="2" t="s">
        <v>34</v>
      </c>
      <c r="H397" s="2" t="s">
        <v>35</v>
      </c>
      <c r="I397" s="2" t="s">
        <v>47</v>
      </c>
      <c r="J397" s="2" t="s">
        <v>43</v>
      </c>
      <c r="K397">
        <v>3</v>
      </c>
      <c r="L397" s="2" t="s">
        <v>27</v>
      </c>
      <c r="M397" s="2" t="s">
        <v>66</v>
      </c>
      <c r="N397" t="b">
        <v>0</v>
      </c>
      <c r="O397">
        <v>5</v>
      </c>
      <c r="P397" s="2" t="s">
        <v>50</v>
      </c>
      <c r="Q397">
        <v>7</v>
      </c>
      <c r="R397">
        <v>2</v>
      </c>
      <c r="S397">
        <v>856</v>
      </c>
      <c r="T397" s="2" t="s">
        <v>30</v>
      </c>
    </row>
    <row r="398" spans="1:20" x14ac:dyDescent="0.3">
      <c r="A398" s="1">
        <v>45448</v>
      </c>
      <c r="B398" s="2" t="s">
        <v>75</v>
      </c>
      <c r="C398" s="2" t="s">
        <v>32</v>
      </c>
      <c r="D398" s="2" t="s">
        <v>33</v>
      </c>
      <c r="E398">
        <v>2771</v>
      </c>
      <c r="F398" t="b">
        <v>1</v>
      </c>
      <c r="G398" s="2" t="s">
        <v>40</v>
      </c>
      <c r="H398" s="2" t="s">
        <v>35</v>
      </c>
      <c r="I398" s="2" t="s">
        <v>47</v>
      </c>
      <c r="J398" s="2" t="s">
        <v>54</v>
      </c>
      <c r="K398">
        <v>2</v>
      </c>
      <c r="L398" s="2" t="s">
        <v>36</v>
      </c>
      <c r="M398" s="2" t="s">
        <v>58</v>
      </c>
      <c r="N398" t="b">
        <v>0</v>
      </c>
      <c r="O398">
        <v>66</v>
      </c>
      <c r="P398" s="2" t="s">
        <v>67</v>
      </c>
      <c r="Q398">
        <v>7</v>
      </c>
      <c r="R398">
        <v>2</v>
      </c>
      <c r="S398">
        <v>4424</v>
      </c>
      <c r="T398" s="2" t="s">
        <v>51</v>
      </c>
    </row>
    <row r="399" spans="1:20" x14ac:dyDescent="0.3">
      <c r="A399" s="1">
        <v>45448</v>
      </c>
      <c r="B399" s="2" t="s">
        <v>71</v>
      </c>
      <c r="C399" s="2" t="s">
        <v>45</v>
      </c>
      <c r="D399" s="2" t="s">
        <v>46</v>
      </c>
      <c r="E399">
        <v>4308</v>
      </c>
      <c r="F399" t="b">
        <v>1</v>
      </c>
      <c r="G399" s="2" t="s">
        <v>23</v>
      </c>
      <c r="H399" s="2" t="s">
        <v>35</v>
      </c>
      <c r="I399" s="2" t="s">
        <v>59</v>
      </c>
      <c r="J399" s="2" t="s">
        <v>54</v>
      </c>
      <c r="K399">
        <v>5</v>
      </c>
      <c r="L399" s="2" t="s">
        <v>27</v>
      </c>
      <c r="M399" s="2" t="s">
        <v>58</v>
      </c>
      <c r="N399" t="b">
        <v>0</v>
      </c>
      <c r="O399">
        <v>120</v>
      </c>
      <c r="P399" s="2" t="s">
        <v>50</v>
      </c>
      <c r="Q399">
        <v>5</v>
      </c>
      <c r="R399">
        <v>2</v>
      </c>
      <c r="S399">
        <v>2210</v>
      </c>
      <c r="T399" s="2" t="s">
        <v>38</v>
      </c>
    </row>
    <row r="400" spans="1:20" x14ac:dyDescent="0.3">
      <c r="A400" s="1">
        <v>45448</v>
      </c>
      <c r="B400" s="2" t="s">
        <v>62</v>
      </c>
      <c r="C400" s="2" t="s">
        <v>32</v>
      </c>
      <c r="D400" s="2" t="s">
        <v>33</v>
      </c>
      <c r="E400">
        <v>4806</v>
      </c>
      <c r="F400" t="b">
        <v>0</v>
      </c>
      <c r="G400" s="2" t="s">
        <v>23</v>
      </c>
      <c r="H400" s="2" t="s">
        <v>41</v>
      </c>
      <c r="I400" s="2" t="s">
        <v>59</v>
      </c>
      <c r="J400" s="2" t="s">
        <v>26</v>
      </c>
      <c r="K400">
        <v>5</v>
      </c>
      <c r="L400" s="2" t="s">
        <v>27</v>
      </c>
      <c r="M400" s="2" t="s">
        <v>28</v>
      </c>
      <c r="N400" t="b">
        <v>1</v>
      </c>
      <c r="O400">
        <v>103</v>
      </c>
      <c r="P400" s="2" t="s">
        <v>50</v>
      </c>
      <c r="Q400">
        <v>9</v>
      </c>
      <c r="R400">
        <v>3</v>
      </c>
      <c r="S400">
        <v>2114</v>
      </c>
      <c r="T400" s="2" t="s">
        <v>38</v>
      </c>
    </row>
    <row r="401" spans="1:20" x14ac:dyDescent="0.3">
      <c r="A401" s="1">
        <v>45448</v>
      </c>
      <c r="B401" s="2" t="s">
        <v>20</v>
      </c>
      <c r="C401" s="2" t="s">
        <v>32</v>
      </c>
      <c r="D401" s="2" t="s">
        <v>53</v>
      </c>
      <c r="E401">
        <v>3873</v>
      </c>
      <c r="F401" t="b">
        <v>0</v>
      </c>
      <c r="G401" s="2" t="s">
        <v>65</v>
      </c>
      <c r="H401" s="2" t="s">
        <v>70</v>
      </c>
      <c r="I401" s="2" t="s">
        <v>59</v>
      </c>
      <c r="J401" s="2" t="s">
        <v>26</v>
      </c>
      <c r="K401">
        <v>4</v>
      </c>
      <c r="L401" s="2" t="s">
        <v>49</v>
      </c>
      <c r="M401" s="2" t="s">
        <v>58</v>
      </c>
      <c r="N401" t="b">
        <v>1</v>
      </c>
      <c r="O401">
        <v>50</v>
      </c>
      <c r="P401" s="2" t="s">
        <v>67</v>
      </c>
      <c r="Q401">
        <v>4</v>
      </c>
      <c r="R401">
        <v>3</v>
      </c>
      <c r="S401">
        <v>4108</v>
      </c>
      <c r="T401" s="2" t="s">
        <v>30</v>
      </c>
    </row>
    <row r="402" spans="1:20" x14ac:dyDescent="0.3">
      <c r="A402" s="1">
        <v>45448</v>
      </c>
      <c r="B402" s="2" t="s">
        <v>75</v>
      </c>
      <c r="C402" s="2" t="s">
        <v>45</v>
      </c>
      <c r="D402" s="2" t="s">
        <v>33</v>
      </c>
      <c r="E402">
        <v>3508</v>
      </c>
      <c r="F402" t="b">
        <v>0</v>
      </c>
      <c r="G402" s="2" t="s">
        <v>23</v>
      </c>
      <c r="H402" s="2" t="s">
        <v>41</v>
      </c>
      <c r="I402" s="2" t="s">
        <v>47</v>
      </c>
      <c r="J402" s="2" t="s">
        <v>54</v>
      </c>
      <c r="K402">
        <v>4</v>
      </c>
      <c r="L402" s="2" t="s">
        <v>49</v>
      </c>
      <c r="M402" s="2" t="s">
        <v>28</v>
      </c>
      <c r="N402" t="b">
        <v>0</v>
      </c>
      <c r="O402">
        <v>86</v>
      </c>
      <c r="P402" s="2" t="s">
        <v>50</v>
      </c>
      <c r="Q402">
        <v>9</v>
      </c>
      <c r="R402">
        <v>3</v>
      </c>
      <c r="S402">
        <v>4514</v>
      </c>
      <c r="T402" s="2" t="s">
        <v>38</v>
      </c>
    </row>
    <row r="403" spans="1:20" x14ac:dyDescent="0.3">
      <c r="A403" s="1">
        <v>45448</v>
      </c>
      <c r="B403" s="2" t="s">
        <v>31</v>
      </c>
      <c r="C403" s="2" t="s">
        <v>56</v>
      </c>
      <c r="D403" s="2" t="s">
        <v>46</v>
      </c>
      <c r="E403">
        <v>1523</v>
      </c>
      <c r="F403" t="b">
        <v>0</v>
      </c>
      <c r="G403" s="2" t="s">
        <v>40</v>
      </c>
      <c r="H403" s="2" t="s">
        <v>35</v>
      </c>
      <c r="I403" s="2" t="s">
        <v>47</v>
      </c>
      <c r="J403" s="2" t="s">
        <v>43</v>
      </c>
      <c r="K403">
        <v>2</v>
      </c>
      <c r="L403" s="2" t="s">
        <v>27</v>
      </c>
      <c r="M403" s="2" t="s">
        <v>28</v>
      </c>
      <c r="N403" t="b">
        <v>0</v>
      </c>
      <c r="O403">
        <v>6</v>
      </c>
      <c r="P403" s="2" t="s">
        <v>67</v>
      </c>
      <c r="Q403">
        <v>8</v>
      </c>
      <c r="R403">
        <v>1</v>
      </c>
      <c r="S403">
        <v>3878</v>
      </c>
      <c r="T403" s="2" t="s">
        <v>51</v>
      </c>
    </row>
    <row r="404" spans="1:20" x14ac:dyDescent="0.3">
      <c r="A404" s="1">
        <v>45449</v>
      </c>
      <c r="B404" s="2" t="s">
        <v>62</v>
      </c>
      <c r="C404" s="2" t="s">
        <v>32</v>
      </c>
      <c r="D404" s="2" t="s">
        <v>33</v>
      </c>
      <c r="E404">
        <v>4783</v>
      </c>
      <c r="F404" t="b">
        <v>0</v>
      </c>
      <c r="G404" s="2" t="s">
        <v>23</v>
      </c>
      <c r="H404" s="2" t="s">
        <v>70</v>
      </c>
      <c r="I404" s="2" t="s">
        <v>42</v>
      </c>
      <c r="J404" s="2" t="s">
        <v>54</v>
      </c>
      <c r="K404">
        <v>1</v>
      </c>
      <c r="L404" s="2" t="s">
        <v>49</v>
      </c>
      <c r="M404" s="2" t="s">
        <v>73</v>
      </c>
      <c r="N404" t="b">
        <v>1</v>
      </c>
      <c r="O404">
        <v>114</v>
      </c>
      <c r="P404" s="2" t="s">
        <v>63</v>
      </c>
      <c r="Q404">
        <v>8</v>
      </c>
      <c r="R404">
        <v>1</v>
      </c>
      <c r="S404">
        <v>4969</v>
      </c>
      <c r="T404" s="2" t="s">
        <v>38</v>
      </c>
    </row>
    <row r="405" spans="1:20" x14ac:dyDescent="0.3">
      <c r="A405" s="1">
        <v>45449</v>
      </c>
      <c r="B405" s="2" t="s">
        <v>71</v>
      </c>
      <c r="C405" s="2" t="s">
        <v>21</v>
      </c>
      <c r="D405" s="2" t="s">
        <v>57</v>
      </c>
      <c r="E405">
        <v>1000</v>
      </c>
      <c r="F405" t="b">
        <v>0</v>
      </c>
      <c r="G405" s="2" t="s">
        <v>64</v>
      </c>
      <c r="H405" s="2" t="s">
        <v>41</v>
      </c>
      <c r="I405" s="2" t="s">
        <v>59</v>
      </c>
      <c r="J405" s="2" t="s">
        <v>54</v>
      </c>
      <c r="K405">
        <v>4</v>
      </c>
      <c r="L405" s="2" t="s">
        <v>27</v>
      </c>
      <c r="M405" s="2" t="s">
        <v>28</v>
      </c>
      <c r="N405" t="b">
        <v>1</v>
      </c>
      <c r="O405">
        <v>102</v>
      </c>
      <c r="P405" s="2" t="s">
        <v>37</v>
      </c>
      <c r="Q405">
        <v>3</v>
      </c>
      <c r="R405">
        <v>1</v>
      </c>
      <c r="S405">
        <v>797</v>
      </c>
      <c r="T405" s="2" t="s">
        <v>38</v>
      </c>
    </row>
    <row r="406" spans="1:20" x14ac:dyDescent="0.3">
      <c r="A406" s="1">
        <v>45450</v>
      </c>
      <c r="B406" s="2" t="s">
        <v>72</v>
      </c>
      <c r="C406" s="2" t="s">
        <v>56</v>
      </c>
      <c r="D406" s="2" t="s">
        <v>46</v>
      </c>
      <c r="E406">
        <v>18340</v>
      </c>
      <c r="F406" t="b">
        <v>0</v>
      </c>
      <c r="G406" s="2" t="s">
        <v>34</v>
      </c>
      <c r="H406" s="2" t="s">
        <v>70</v>
      </c>
      <c r="I406" s="2" t="s">
        <v>47</v>
      </c>
      <c r="J406" s="2" t="s">
        <v>48</v>
      </c>
      <c r="K406">
        <v>3</v>
      </c>
      <c r="L406" s="2" t="s">
        <v>49</v>
      </c>
      <c r="M406" s="2" t="s">
        <v>73</v>
      </c>
      <c r="N406" t="b">
        <v>0</v>
      </c>
      <c r="O406">
        <v>116</v>
      </c>
      <c r="P406" s="2" t="s">
        <v>63</v>
      </c>
      <c r="Q406">
        <v>4</v>
      </c>
      <c r="R406">
        <v>1</v>
      </c>
      <c r="S406">
        <v>3391</v>
      </c>
      <c r="T406" s="2" t="s">
        <v>38</v>
      </c>
    </row>
    <row r="407" spans="1:20" x14ac:dyDescent="0.3">
      <c r="A407" s="1">
        <v>45450</v>
      </c>
      <c r="B407" s="2" t="s">
        <v>69</v>
      </c>
      <c r="C407" s="2" t="s">
        <v>32</v>
      </c>
      <c r="D407" s="2" t="s">
        <v>57</v>
      </c>
      <c r="E407">
        <v>1000</v>
      </c>
      <c r="F407" t="b">
        <v>0</v>
      </c>
      <c r="G407" s="2" t="s">
        <v>34</v>
      </c>
      <c r="H407" s="2" t="s">
        <v>35</v>
      </c>
      <c r="I407" s="2" t="s">
        <v>59</v>
      </c>
      <c r="J407" s="2" t="s">
        <v>48</v>
      </c>
      <c r="K407">
        <v>3</v>
      </c>
      <c r="L407" s="2" t="s">
        <v>27</v>
      </c>
      <c r="M407" s="2" t="s">
        <v>58</v>
      </c>
      <c r="N407" t="b">
        <v>1</v>
      </c>
      <c r="O407">
        <v>34</v>
      </c>
      <c r="P407" s="2" t="s">
        <v>50</v>
      </c>
      <c r="Q407">
        <v>6</v>
      </c>
      <c r="R407">
        <v>2</v>
      </c>
      <c r="S407">
        <v>698</v>
      </c>
      <c r="T407" s="2" t="s">
        <v>30</v>
      </c>
    </row>
    <row r="408" spans="1:20" x14ac:dyDescent="0.3">
      <c r="A408" s="1">
        <v>45450</v>
      </c>
      <c r="B408" s="2" t="s">
        <v>20</v>
      </c>
      <c r="C408" s="2" t="s">
        <v>45</v>
      </c>
      <c r="D408" s="2" t="s">
        <v>57</v>
      </c>
      <c r="E408">
        <v>1000</v>
      </c>
      <c r="F408" t="b">
        <v>1</v>
      </c>
      <c r="G408" s="2" t="s">
        <v>34</v>
      </c>
      <c r="H408" s="2" t="s">
        <v>24</v>
      </c>
      <c r="I408" s="2" t="s">
        <v>42</v>
      </c>
      <c r="J408" s="2" t="s">
        <v>48</v>
      </c>
      <c r="K408">
        <v>5</v>
      </c>
      <c r="L408" s="2" t="s">
        <v>49</v>
      </c>
      <c r="M408" s="2" t="s">
        <v>66</v>
      </c>
      <c r="N408" t="b">
        <v>0</v>
      </c>
      <c r="O408">
        <v>89</v>
      </c>
      <c r="P408" s="2" t="s">
        <v>50</v>
      </c>
      <c r="Q408">
        <v>3</v>
      </c>
      <c r="R408">
        <v>2</v>
      </c>
      <c r="S408">
        <v>4222</v>
      </c>
      <c r="T408" s="2" t="s">
        <v>30</v>
      </c>
    </row>
    <row r="409" spans="1:20" x14ac:dyDescent="0.3">
      <c r="A409" s="1">
        <v>45450</v>
      </c>
      <c r="B409" s="2" t="s">
        <v>68</v>
      </c>
      <c r="C409" s="2" t="s">
        <v>32</v>
      </c>
      <c r="D409" s="2" t="s">
        <v>57</v>
      </c>
      <c r="E409">
        <v>1000</v>
      </c>
      <c r="F409" t="b">
        <v>0</v>
      </c>
      <c r="G409" s="2" t="s">
        <v>40</v>
      </c>
      <c r="H409" s="2" t="s">
        <v>70</v>
      </c>
      <c r="I409" s="2" t="s">
        <v>47</v>
      </c>
      <c r="J409" s="2" t="s">
        <v>54</v>
      </c>
      <c r="K409">
        <v>2</v>
      </c>
      <c r="L409" s="2" t="s">
        <v>36</v>
      </c>
      <c r="M409" s="2" t="s">
        <v>66</v>
      </c>
      <c r="N409" t="b">
        <v>0</v>
      </c>
      <c r="O409">
        <v>102</v>
      </c>
      <c r="P409" s="2" t="s">
        <v>67</v>
      </c>
      <c r="Q409">
        <v>9</v>
      </c>
      <c r="R409">
        <v>2</v>
      </c>
      <c r="S409">
        <v>2821</v>
      </c>
      <c r="T409" s="2" t="s">
        <v>51</v>
      </c>
    </row>
    <row r="410" spans="1:20" x14ac:dyDescent="0.3">
      <c r="A410" s="1">
        <v>45450</v>
      </c>
      <c r="B410" s="2" t="s">
        <v>75</v>
      </c>
      <c r="C410" s="2" t="s">
        <v>60</v>
      </c>
      <c r="D410" s="2" t="s">
        <v>22</v>
      </c>
      <c r="E410">
        <v>9901</v>
      </c>
      <c r="F410" t="b">
        <v>0</v>
      </c>
      <c r="G410" s="2" t="s">
        <v>34</v>
      </c>
      <c r="H410" s="2" t="s">
        <v>41</v>
      </c>
      <c r="I410" s="2" t="s">
        <v>47</v>
      </c>
      <c r="J410" s="2" t="s">
        <v>26</v>
      </c>
      <c r="K410">
        <v>3</v>
      </c>
      <c r="L410" s="2" t="s">
        <v>27</v>
      </c>
      <c r="M410" s="2" t="s">
        <v>58</v>
      </c>
      <c r="N410" t="b">
        <v>0</v>
      </c>
      <c r="O410">
        <v>69</v>
      </c>
      <c r="P410" s="2" t="s">
        <v>63</v>
      </c>
      <c r="Q410">
        <v>8</v>
      </c>
      <c r="R410">
        <v>1</v>
      </c>
      <c r="S410">
        <v>3617</v>
      </c>
      <c r="T410" s="2" t="s">
        <v>30</v>
      </c>
    </row>
    <row r="411" spans="1:20" x14ac:dyDescent="0.3">
      <c r="A411" s="1">
        <v>45451</v>
      </c>
      <c r="B411" s="2" t="s">
        <v>69</v>
      </c>
      <c r="C411" s="2" t="s">
        <v>21</v>
      </c>
      <c r="D411" s="2" t="s">
        <v>22</v>
      </c>
      <c r="E411">
        <v>6399</v>
      </c>
      <c r="F411" t="b">
        <v>0</v>
      </c>
      <c r="G411" s="2" t="s">
        <v>40</v>
      </c>
      <c r="H411" s="2" t="s">
        <v>70</v>
      </c>
      <c r="I411" s="2" t="s">
        <v>59</v>
      </c>
      <c r="J411" s="2" t="s">
        <v>54</v>
      </c>
      <c r="K411">
        <v>5</v>
      </c>
      <c r="L411" s="2" t="s">
        <v>36</v>
      </c>
      <c r="M411" s="2" t="s">
        <v>28</v>
      </c>
      <c r="N411" t="b">
        <v>1</v>
      </c>
      <c r="O411">
        <v>32</v>
      </c>
      <c r="P411" s="2" t="s">
        <v>67</v>
      </c>
      <c r="Q411">
        <v>10</v>
      </c>
      <c r="R411">
        <v>1</v>
      </c>
      <c r="S411">
        <v>2463</v>
      </c>
      <c r="T411" s="2" t="s">
        <v>38</v>
      </c>
    </row>
    <row r="412" spans="1:20" x14ac:dyDescent="0.3">
      <c r="A412" s="1">
        <v>45451</v>
      </c>
      <c r="B412" s="2" t="s">
        <v>39</v>
      </c>
      <c r="C412" s="2" t="s">
        <v>45</v>
      </c>
      <c r="D412" s="2" t="s">
        <v>46</v>
      </c>
      <c r="E412">
        <v>3306</v>
      </c>
      <c r="F412" t="b">
        <v>1</v>
      </c>
      <c r="G412" s="2" t="s">
        <v>65</v>
      </c>
      <c r="H412" s="2" t="s">
        <v>24</v>
      </c>
      <c r="I412" s="2" t="s">
        <v>25</v>
      </c>
      <c r="J412" s="2" t="s">
        <v>48</v>
      </c>
      <c r="K412">
        <v>1</v>
      </c>
      <c r="L412" s="2" t="s">
        <v>36</v>
      </c>
      <c r="M412" s="2" t="s">
        <v>28</v>
      </c>
      <c r="N412" t="b">
        <v>0</v>
      </c>
      <c r="O412">
        <v>115</v>
      </c>
      <c r="P412" s="2" t="s">
        <v>37</v>
      </c>
      <c r="Q412">
        <v>7</v>
      </c>
      <c r="R412">
        <v>1</v>
      </c>
      <c r="S412">
        <v>3706</v>
      </c>
      <c r="T412" s="2" t="s">
        <v>30</v>
      </c>
    </row>
    <row r="413" spans="1:20" x14ac:dyDescent="0.3">
      <c r="A413" s="1">
        <v>45451</v>
      </c>
      <c r="B413" s="2" t="s">
        <v>74</v>
      </c>
      <c r="C413" s="2" t="s">
        <v>45</v>
      </c>
      <c r="D413" s="2" t="s">
        <v>46</v>
      </c>
      <c r="E413">
        <v>2547</v>
      </c>
      <c r="F413" t="b">
        <v>0</v>
      </c>
      <c r="G413" s="2" t="s">
        <v>65</v>
      </c>
      <c r="H413" s="2" t="s">
        <v>70</v>
      </c>
      <c r="I413" s="2" t="s">
        <v>47</v>
      </c>
      <c r="J413" s="2" t="s">
        <v>54</v>
      </c>
      <c r="K413">
        <v>5</v>
      </c>
      <c r="L413" s="2" t="s">
        <v>27</v>
      </c>
      <c r="M413" s="2" t="s">
        <v>66</v>
      </c>
      <c r="N413" t="b">
        <v>1</v>
      </c>
      <c r="O413">
        <v>73</v>
      </c>
      <c r="P413" s="2" t="s">
        <v>67</v>
      </c>
      <c r="Q413">
        <v>6</v>
      </c>
      <c r="R413">
        <v>3</v>
      </c>
      <c r="S413">
        <v>1832</v>
      </c>
      <c r="T413" s="2" t="s">
        <v>51</v>
      </c>
    </row>
    <row r="414" spans="1:20" x14ac:dyDescent="0.3">
      <c r="A414" s="1">
        <v>45451</v>
      </c>
      <c r="B414" s="2" t="s">
        <v>39</v>
      </c>
      <c r="C414" s="2" t="s">
        <v>32</v>
      </c>
      <c r="D414" s="2" t="s">
        <v>46</v>
      </c>
      <c r="E414">
        <v>4953</v>
      </c>
      <c r="F414" t="b">
        <v>0</v>
      </c>
      <c r="G414" s="2" t="s">
        <v>23</v>
      </c>
      <c r="H414" s="2" t="s">
        <v>35</v>
      </c>
      <c r="I414" s="2" t="s">
        <v>42</v>
      </c>
      <c r="J414" s="2" t="s">
        <v>43</v>
      </c>
      <c r="K414">
        <v>5</v>
      </c>
      <c r="L414" s="2" t="s">
        <v>49</v>
      </c>
      <c r="M414" s="2" t="s">
        <v>28</v>
      </c>
      <c r="N414" t="b">
        <v>1</v>
      </c>
      <c r="O414">
        <v>116</v>
      </c>
      <c r="P414" s="2" t="s">
        <v>50</v>
      </c>
      <c r="Q414">
        <v>1</v>
      </c>
      <c r="R414">
        <v>2</v>
      </c>
      <c r="S414">
        <v>1113</v>
      </c>
      <c r="T414" s="2" t="s">
        <v>30</v>
      </c>
    </row>
    <row r="415" spans="1:20" x14ac:dyDescent="0.3">
      <c r="A415" s="1">
        <v>45452</v>
      </c>
      <c r="B415" s="2" t="s">
        <v>20</v>
      </c>
      <c r="C415" s="2" t="s">
        <v>60</v>
      </c>
      <c r="D415" s="2" t="s">
        <v>61</v>
      </c>
      <c r="E415">
        <v>1000</v>
      </c>
      <c r="F415" t="b">
        <v>0</v>
      </c>
      <c r="G415" s="2" t="s">
        <v>23</v>
      </c>
      <c r="H415" s="2" t="s">
        <v>24</v>
      </c>
      <c r="I415" s="2" t="s">
        <v>25</v>
      </c>
      <c r="J415" s="2" t="s">
        <v>54</v>
      </c>
      <c r="K415">
        <v>1</v>
      </c>
      <c r="L415" s="2" t="s">
        <v>49</v>
      </c>
      <c r="M415" s="2" t="s">
        <v>66</v>
      </c>
      <c r="N415" t="b">
        <v>0</v>
      </c>
      <c r="O415">
        <v>49</v>
      </c>
      <c r="P415" s="2" t="s">
        <v>50</v>
      </c>
      <c r="Q415">
        <v>7</v>
      </c>
      <c r="R415">
        <v>3</v>
      </c>
      <c r="S415">
        <v>3962</v>
      </c>
      <c r="T415" s="2" t="s">
        <v>30</v>
      </c>
    </row>
    <row r="416" spans="1:20" x14ac:dyDescent="0.3">
      <c r="A416" s="1">
        <v>45452</v>
      </c>
      <c r="B416" s="2" t="s">
        <v>62</v>
      </c>
      <c r="C416" s="2" t="s">
        <v>60</v>
      </c>
      <c r="D416" s="2" t="s">
        <v>33</v>
      </c>
      <c r="E416">
        <v>4193</v>
      </c>
      <c r="F416" t="b">
        <v>0</v>
      </c>
      <c r="G416" s="2" t="s">
        <v>34</v>
      </c>
      <c r="H416" s="2" t="s">
        <v>70</v>
      </c>
      <c r="I416" s="2" t="s">
        <v>59</v>
      </c>
      <c r="J416" s="2" t="s">
        <v>48</v>
      </c>
      <c r="K416">
        <v>3</v>
      </c>
      <c r="L416" s="2" t="s">
        <v>49</v>
      </c>
      <c r="M416" s="2" t="s">
        <v>73</v>
      </c>
      <c r="N416" t="b">
        <v>1</v>
      </c>
      <c r="O416">
        <v>68</v>
      </c>
      <c r="P416" s="2" t="s">
        <v>37</v>
      </c>
      <c r="Q416">
        <v>8</v>
      </c>
      <c r="R416">
        <v>1</v>
      </c>
      <c r="S416">
        <v>3225</v>
      </c>
      <c r="T416" s="2" t="s">
        <v>30</v>
      </c>
    </row>
    <row r="417" spans="1:20" x14ac:dyDescent="0.3">
      <c r="A417" s="1">
        <v>45452</v>
      </c>
      <c r="B417" s="2" t="s">
        <v>74</v>
      </c>
      <c r="C417" s="2" t="s">
        <v>60</v>
      </c>
      <c r="D417" s="2" t="s">
        <v>22</v>
      </c>
      <c r="E417">
        <v>8376</v>
      </c>
      <c r="F417" t="b">
        <v>0</v>
      </c>
      <c r="G417" s="2" t="s">
        <v>34</v>
      </c>
      <c r="H417" s="2" t="s">
        <v>35</v>
      </c>
      <c r="I417" s="2" t="s">
        <v>25</v>
      </c>
      <c r="J417" s="2" t="s">
        <v>26</v>
      </c>
      <c r="K417">
        <v>1</v>
      </c>
      <c r="L417" s="2" t="s">
        <v>49</v>
      </c>
      <c r="M417" s="2" t="s">
        <v>58</v>
      </c>
      <c r="N417" t="b">
        <v>0</v>
      </c>
      <c r="O417">
        <v>33</v>
      </c>
      <c r="P417" s="2" t="s">
        <v>37</v>
      </c>
      <c r="Q417">
        <v>9</v>
      </c>
      <c r="R417">
        <v>2</v>
      </c>
      <c r="S417">
        <v>3103</v>
      </c>
      <c r="T417" s="2" t="s">
        <v>30</v>
      </c>
    </row>
    <row r="418" spans="1:20" x14ac:dyDescent="0.3">
      <c r="A418" s="1">
        <v>45453</v>
      </c>
      <c r="B418" s="2" t="s">
        <v>44</v>
      </c>
      <c r="C418" s="2" t="s">
        <v>60</v>
      </c>
      <c r="D418" s="2" t="s">
        <v>22</v>
      </c>
      <c r="E418">
        <v>9434</v>
      </c>
      <c r="F418" t="b">
        <v>0</v>
      </c>
      <c r="G418" s="2" t="s">
        <v>40</v>
      </c>
      <c r="H418" s="2" t="s">
        <v>24</v>
      </c>
      <c r="I418" s="2" t="s">
        <v>47</v>
      </c>
      <c r="J418" s="2" t="s">
        <v>54</v>
      </c>
      <c r="K418">
        <v>2</v>
      </c>
      <c r="L418" s="2" t="s">
        <v>49</v>
      </c>
      <c r="M418" s="2" t="s">
        <v>66</v>
      </c>
      <c r="N418" t="b">
        <v>0</v>
      </c>
      <c r="O418">
        <v>58</v>
      </c>
      <c r="P418" s="2" t="s">
        <v>67</v>
      </c>
      <c r="Q418">
        <v>7</v>
      </c>
      <c r="R418">
        <v>2</v>
      </c>
      <c r="S418">
        <v>3998</v>
      </c>
      <c r="T418" s="2" t="s">
        <v>51</v>
      </c>
    </row>
    <row r="419" spans="1:20" x14ac:dyDescent="0.3">
      <c r="A419" s="1">
        <v>45454</v>
      </c>
      <c r="B419" s="2" t="s">
        <v>39</v>
      </c>
      <c r="C419" s="2" t="s">
        <v>56</v>
      </c>
      <c r="D419" s="2" t="s">
        <v>53</v>
      </c>
      <c r="E419">
        <v>5610</v>
      </c>
      <c r="F419" t="b">
        <v>0</v>
      </c>
      <c r="G419" s="2" t="s">
        <v>40</v>
      </c>
      <c r="H419" s="2" t="s">
        <v>35</v>
      </c>
      <c r="I419" s="2" t="s">
        <v>47</v>
      </c>
      <c r="J419" s="2" t="s">
        <v>54</v>
      </c>
      <c r="K419">
        <v>18</v>
      </c>
      <c r="L419" s="2" t="s">
        <v>49</v>
      </c>
      <c r="M419" s="2" t="s">
        <v>73</v>
      </c>
      <c r="N419" t="b">
        <v>0</v>
      </c>
      <c r="O419">
        <v>61</v>
      </c>
      <c r="P419" s="2" t="s">
        <v>63</v>
      </c>
      <c r="Q419">
        <v>5</v>
      </c>
      <c r="R419">
        <v>3</v>
      </c>
      <c r="S419">
        <v>4411</v>
      </c>
      <c r="T419" s="2" t="s">
        <v>30</v>
      </c>
    </row>
    <row r="420" spans="1:20" x14ac:dyDescent="0.3">
      <c r="A420" s="1">
        <v>45455</v>
      </c>
      <c r="B420" s="2" t="s">
        <v>72</v>
      </c>
      <c r="C420" s="2" t="s">
        <v>32</v>
      </c>
      <c r="D420" s="2" t="s">
        <v>22</v>
      </c>
      <c r="E420">
        <v>9693</v>
      </c>
      <c r="F420" t="b">
        <v>0</v>
      </c>
      <c r="G420" s="2" t="s">
        <v>23</v>
      </c>
      <c r="H420" s="2" t="s">
        <v>41</v>
      </c>
      <c r="I420" s="2" t="s">
        <v>47</v>
      </c>
      <c r="J420" s="2" t="s">
        <v>26</v>
      </c>
      <c r="K420">
        <v>2</v>
      </c>
      <c r="L420" s="2" t="s">
        <v>49</v>
      </c>
      <c r="M420" s="2" t="s">
        <v>73</v>
      </c>
      <c r="N420" t="b">
        <v>1</v>
      </c>
      <c r="O420">
        <v>115</v>
      </c>
      <c r="P420" s="2" t="s">
        <v>29</v>
      </c>
      <c r="Q420">
        <v>4</v>
      </c>
      <c r="R420">
        <v>3</v>
      </c>
      <c r="S420">
        <v>1417</v>
      </c>
      <c r="T420" s="2" t="s">
        <v>51</v>
      </c>
    </row>
    <row r="421" spans="1:20" x14ac:dyDescent="0.3">
      <c r="A421" s="1">
        <v>45455</v>
      </c>
      <c r="B421" s="2" t="s">
        <v>44</v>
      </c>
      <c r="C421" s="2" t="s">
        <v>56</v>
      </c>
      <c r="D421" s="2" t="s">
        <v>57</v>
      </c>
      <c r="E421">
        <v>1000</v>
      </c>
      <c r="F421" t="b">
        <v>1</v>
      </c>
      <c r="G421" s="2" t="s">
        <v>65</v>
      </c>
      <c r="H421" s="2" t="s">
        <v>24</v>
      </c>
      <c r="I421" s="2" t="s">
        <v>42</v>
      </c>
      <c r="J421" s="2" t="s">
        <v>26</v>
      </c>
      <c r="K421">
        <v>4</v>
      </c>
      <c r="L421" s="2" t="s">
        <v>36</v>
      </c>
      <c r="M421" s="2" t="s">
        <v>58</v>
      </c>
      <c r="N421" t="b">
        <v>0</v>
      </c>
      <c r="O421">
        <v>96</v>
      </c>
      <c r="P421" s="2" t="s">
        <v>63</v>
      </c>
      <c r="Q421">
        <v>10</v>
      </c>
      <c r="R421">
        <v>1</v>
      </c>
      <c r="S421">
        <v>2446</v>
      </c>
      <c r="T421" s="2" t="s">
        <v>30</v>
      </c>
    </row>
    <row r="422" spans="1:20" x14ac:dyDescent="0.3">
      <c r="A422" s="1">
        <v>45456</v>
      </c>
      <c r="B422" s="2" t="s">
        <v>55</v>
      </c>
      <c r="C422" s="2" t="s">
        <v>45</v>
      </c>
      <c r="D422" s="2" t="s">
        <v>53</v>
      </c>
      <c r="E422">
        <v>2307</v>
      </c>
      <c r="F422" t="b">
        <v>1</v>
      </c>
      <c r="G422" s="2" t="s">
        <v>34</v>
      </c>
      <c r="H422" s="2" t="s">
        <v>41</v>
      </c>
      <c r="I422" s="2" t="s">
        <v>59</v>
      </c>
      <c r="J422" s="2" t="s">
        <v>26</v>
      </c>
      <c r="K422">
        <v>2</v>
      </c>
      <c r="L422" s="2" t="s">
        <v>36</v>
      </c>
      <c r="M422" s="2" t="s">
        <v>58</v>
      </c>
      <c r="N422" t="b">
        <v>0</v>
      </c>
      <c r="O422">
        <v>0</v>
      </c>
      <c r="P422" s="2" t="s">
        <v>63</v>
      </c>
      <c r="Q422">
        <v>4</v>
      </c>
      <c r="R422">
        <v>1</v>
      </c>
      <c r="S422">
        <v>4228</v>
      </c>
      <c r="T422" s="2" t="s">
        <v>30</v>
      </c>
    </row>
    <row r="423" spans="1:20" x14ac:dyDescent="0.3">
      <c r="A423" s="1">
        <v>45456</v>
      </c>
      <c r="B423" s="2" t="s">
        <v>31</v>
      </c>
      <c r="C423" s="2" t="s">
        <v>32</v>
      </c>
      <c r="D423" s="2" t="s">
        <v>57</v>
      </c>
      <c r="E423">
        <v>1000</v>
      </c>
      <c r="F423" t="b">
        <v>0</v>
      </c>
      <c r="G423" s="2" t="s">
        <v>23</v>
      </c>
      <c r="H423" s="2" t="s">
        <v>41</v>
      </c>
      <c r="I423" s="2" t="s">
        <v>59</v>
      </c>
      <c r="J423" s="2" t="s">
        <v>54</v>
      </c>
      <c r="K423">
        <v>2</v>
      </c>
      <c r="L423" s="2" t="s">
        <v>49</v>
      </c>
      <c r="M423" s="2" t="s">
        <v>28</v>
      </c>
      <c r="N423" t="b">
        <v>1</v>
      </c>
      <c r="O423">
        <v>66</v>
      </c>
      <c r="P423" s="2" t="s">
        <v>63</v>
      </c>
      <c r="Q423">
        <v>8</v>
      </c>
      <c r="R423">
        <v>2</v>
      </c>
      <c r="S423">
        <v>1492</v>
      </c>
      <c r="T423" s="2" t="s">
        <v>38</v>
      </c>
    </row>
    <row r="424" spans="1:20" x14ac:dyDescent="0.3">
      <c r="A424" s="1">
        <v>45457</v>
      </c>
      <c r="B424" s="2" t="s">
        <v>44</v>
      </c>
      <c r="C424" s="2" t="s">
        <v>21</v>
      </c>
      <c r="D424" s="2" t="s">
        <v>22</v>
      </c>
      <c r="E424">
        <v>9602</v>
      </c>
      <c r="F424" t="b">
        <v>0</v>
      </c>
      <c r="G424" s="2" t="s">
        <v>34</v>
      </c>
      <c r="H424" s="2" t="s">
        <v>35</v>
      </c>
      <c r="I424" s="2" t="s">
        <v>47</v>
      </c>
      <c r="J424" s="2" t="s">
        <v>54</v>
      </c>
      <c r="K424">
        <v>5</v>
      </c>
      <c r="L424" s="2" t="s">
        <v>49</v>
      </c>
      <c r="M424" s="2" t="s">
        <v>58</v>
      </c>
      <c r="N424" t="b">
        <v>1</v>
      </c>
      <c r="O424">
        <v>91</v>
      </c>
      <c r="P424" s="2" t="s">
        <v>37</v>
      </c>
      <c r="Q424">
        <v>7</v>
      </c>
      <c r="R424">
        <v>2</v>
      </c>
      <c r="S424">
        <v>1434</v>
      </c>
      <c r="T424" s="2" t="s">
        <v>38</v>
      </c>
    </row>
    <row r="425" spans="1:20" x14ac:dyDescent="0.3">
      <c r="A425" s="1">
        <v>45458</v>
      </c>
      <c r="B425" s="2" t="s">
        <v>31</v>
      </c>
      <c r="C425" s="2" t="s">
        <v>60</v>
      </c>
      <c r="D425" s="2" t="s">
        <v>22</v>
      </c>
      <c r="E425">
        <v>7629</v>
      </c>
      <c r="F425" t="b">
        <v>0</v>
      </c>
      <c r="G425" s="2" t="s">
        <v>64</v>
      </c>
      <c r="H425" s="2" t="s">
        <v>24</v>
      </c>
      <c r="I425" s="2" t="s">
        <v>47</v>
      </c>
      <c r="J425" s="2" t="s">
        <v>26</v>
      </c>
      <c r="K425">
        <v>1</v>
      </c>
      <c r="L425" s="2" t="s">
        <v>27</v>
      </c>
      <c r="M425" s="2" t="s">
        <v>66</v>
      </c>
      <c r="N425" t="b">
        <v>0</v>
      </c>
      <c r="O425">
        <v>60</v>
      </c>
      <c r="P425" s="2" t="s">
        <v>37</v>
      </c>
      <c r="Q425">
        <v>4</v>
      </c>
      <c r="R425">
        <v>2</v>
      </c>
      <c r="S425">
        <v>966</v>
      </c>
      <c r="T425" s="2" t="s">
        <v>30</v>
      </c>
    </row>
    <row r="426" spans="1:20" x14ac:dyDescent="0.3">
      <c r="A426" s="1">
        <v>45458</v>
      </c>
      <c r="B426" s="2" t="s">
        <v>20</v>
      </c>
      <c r="C426" s="2" t="s">
        <v>21</v>
      </c>
      <c r="D426" s="2" t="s">
        <v>53</v>
      </c>
      <c r="E426">
        <v>2596</v>
      </c>
      <c r="F426" t="b">
        <v>1</v>
      </c>
      <c r="G426" s="2" t="s">
        <v>64</v>
      </c>
      <c r="H426" s="2" t="s">
        <v>70</v>
      </c>
      <c r="I426" s="2" t="s">
        <v>59</v>
      </c>
      <c r="J426" s="2" t="s">
        <v>26</v>
      </c>
      <c r="K426">
        <v>5</v>
      </c>
      <c r="L426" s="2" t="s">
        <v>49</v>
      </c>
      <c r="M426" s="2" t="s">
        <v>73</v>
      </c>
      <c r="N426" t="b">
        <v>0</v>
      </c>
      <c r="O426">
        <v>19</v>
      </c>
      <c r="P426" s="2" t="s">
        <v>67</v>
      </c>
      <c r="Q426">
        <v>2</v>
      </c>
      <c r="R426">
        <v>2</v>
      </c>
      <c r="S426">
        <v>2131</v>
      </c>
      <c r="T426" s="2" t="s">
        <v>51</v>
      </c>
    </row>
    <row r="427" spans="1:20" x14ac:dyDescent="0.3">
      <c r="A427" s="1">
        <v>45458</v>
      </c>
      <c r="B427" s="2" t="s">
        <v>62</v>
      </c>
      <c r="C427" s="2" t="s">
        <v>45</v>
      </c>
      <c r="D427" s="2" t="s">
        <v>33</v>
      </c>
      <c r="E427">
        <v>4613</v>
      </c>
      <c r="F427" t="b">
        <v>1</v>
      </c>
      <c r="G427" s="2" t="s">
        <v>34</v>
      </c>
      <c r="H427" s="2" t="s">
        <v>70</v>
      </c>
      <c r="I427" s="2" t="s">
        <v>59</v>
      </c>
      <c r="J427" s="2" t="s">
        <v>48</v>
      </c>
      <c r="K427">
        <v>1</v>
      </c>
      <c r="L427" s="2" t="s">
        <v>36</v>
      </c>
      <c r="M427" s="2" t="s">
        <v>66</v>
      </c>
      <c r="N427" t="b">
        <v>1</v>
      </c>
      <c r="O427">
        <v>73</v>
      </c>
      <c r="P427" s="2" t="s">
        <v>37</v>
      </c>
      <c r="Q427">
        <v>9</v>
      </c>
      <c r="R427">
        <v>3</v>
      </c>
      <c r="S427">
        <v>1800</v>
      </c>
      <c r="T427" s="2" t="s">
        <v>30</v>
      </c>
    </row>
    <row r="428" spans="1:20" x14ac:dyDescent="0.3">
      <c r="A428" s="1">
        <v>45459</v>
      </c>
      <c r="B428" s="2" t="s">
        <v>52</v>
      </c>
      <c r="C428" s="2" t="s">
        <v>21</v>
      </c>
      <c r="D428" s="2" t="s">
        <v>57</v>
      </c>
      <c r="E428">
        <v>1000</v>
      </c>
      <c r="F428" t="b">
        <v>1</v>
      </c>
      <c r="G428" s="2" t="s">
        <v>64</v>
      </c>
      <c r="H428" s="2" t="s">
        <v>41</v>
      </c>
      <c r="I428" s="2" t="s">
        <v>59</v>
      </c>
      <c r="J428" s="2" t="s">
        <v>48</v>
      </c>
      <c r="K428">
        <v>5</v>
      </c>
      <c r="L428" s="2" t="s">
        <v>36</v>
      </c>
      <c r="M428" s="2" t="s">
        <v>28</v>
      </c>
      <c r="N428" t="b">
        <v>1</v>
      </c>
      <c r="O428">
        <v>88</v>
      </c>
      <c r="P428" s="2" t="s">
        <v>37</v>
      </c>
      <c r="Q428">
        <v>8</v>
      </c>
      <c r="R428">
        <v>3</v>
      </c>
      <c r="S428">
        <v>1430</v>
      </c>
      <c r="T428" s="2" t="s">
        <v>51</v>
      </c>
    </row>
    <row r="429" spans="1:20" x14ac:dyDescent="0.3">
      <c r="A429" s="1">
        <v>45459</v>
      </c>
      <c r="B429" s="2" t="s">
        <v>55</v>
      </c>
      <c r="C429" s="2" t="s">
        <v>60</v>
      </c>
      <c r="D429" s="2" t="s">
        <v>61</v>
      </c>
      <c r="E429">
        <v>1000</v>
      </c>
      <c r="F429" t="b">
        <v>0</v>
      </c>
      <c r="G429" s="2" t="s">
        <v>64</v>
      </c>
      <c r="H429" s="2" t="s">
        <v>35</v>
      </c>
      <c r="I429" s="2" t="s">
        <v>42</v>
      </c>
      <c r="J429" s="2" t="s">
        <v>54</v>
      </c>
      <c r="K429">
        <v>3</v>
      </c>
      <c r="L429" s="2" t="s">
        <v>36</v>
      </c>
      <c r="M429" s="2" t="s">
        <v>28</v>
      </c>
      <c r="N429" t="b">
        <v>0</v>
      </c>
      <c r="O429">
        <v>25</v>
      </c>
      <c r="P429" s="2" t="s">
        <v>63</v>
      </c>
      <c r="Q429">
        <v>5</v>
      </c>
      <c r="R429">
        <v>1</v>
      </c>
      <c r="S429">
        <v>2848</v>
      </c>
      <c r="T429" s="2" t="s">
        <v>38</v>
      </c>
    </row>
    <row r="430" spans="1:20" x14ac:dyDescent="0.3">
      <c r="A430" s="1">
        <v>45460</v>
      </c>
      <c r="B430" s="2" t="s">
        <v>72</v>
      </c>
      <c r="C430" s="2" t="s">
        <v>60</v>
      </c>
      <c r="D430" s="2" t="s">
        <v>33</v>
      </c>
      <c r="E430">
        <v>2468</v>
      </c>
      <c r="F430" t="b">
        <v>1</v>
      </c>
      <c r="G430" s="2" t="s">
        <v>65</v>
      </c>
      <c r="H430" s="2" t="s">
        <v>70</v>
      </c>
      <c r="I430" s="2" t="s">
        <v>47</v>
      </c>
      <c r="J430" s="2" t="s">
        <v>26</v>
      </c>
      <c r="K430">
        <v>2</v>
      </c>
      <c r="L430" s="2" t="s">
        <v>36</v>
      </c>
      <c r="M430" s="2" t="s">
        <v>66</v>
      </c>
      <c r="N430" t="b">
        <v>0</v>
      </c>
      <c r="O430">
        <v>41</v>
      </c>
      <c r="P430" s="2" t="s">
        <v>29</v>
      </c>
      <c r="Q430">
        <v>4</v>
      </c>
      <c r="R430">
        <v>1</v>
      </c>
      <c r="S430">
        <v>2730</v>
      </c>
      <c r="T430" s="2" t="s">
        <v>51</v>
      </c>
    </row>
    <row r="431" spans="1:20" x14ac:dyDescent="0.3">
      <c r="A431" s="1">
        <v>45460</v>
      </c>
      <c r="B431" s="2" t="s">
        <v>72</v>
      </c>
      <c r="C431" s="2" t="s">
        <v>32</v>
      </c>
      <c r="D431" s="2" t="s">
        <v>53</v>
      </c>
      <c r="E431">
        <v>7693</v>
      </c>
      <c r="F431" t="b">
        <v>0</v>
      </c>
      <c r="G431" s="2" t="s">
        <v>40</v>
      </c>
      <c r="H431" s="2" t="s">
        <v>35</v>
      </c>
      <c r="I431" s="2" t="s">
        <v>47</v>
      </c>
      <c r="J431" s="2" t="s">
        <v>26</v>
      </c>
      <c r="K431">
        <v>5</v>
      </c>
      <c r="L431" s="2" t="s">
        <v>36</v>
      </c>
      <c r="M431" s="2" t="s">
        <v>66</v>
      </c>
      <c r="N431" t="b">
        <v>0</v>
      </c>
      <c r="O431">
        <v>65</v>
      </c>
      <c r="P431" s="2" t="s">
        <v>37</v>
      </c>
      <c r="Q431">
        <v>7</v>
      </c>
      <c r="R431">
        <v>2</v>
      </c>
      <c r="S431">
        <v>4674</v>
      </c>
      <c r="T431" s="2" t="s">
        <v>51</v>
      </c>
    </row>
    <row r="432" spans="1:20" x14ac:dyDescent="0.3">
      <c r="A432" s="1">
        <v>45463</v>
      </c>
      <c r="B432" s="2" t="s">
        <v>39</v>
      </c>
      <c r="C432" s="2" t="s">
        <v>60</v>
      </c>
      <c r="D432" s="2" t="s">
        <v>22</v>
      </c>
      <c r="E432">
        <v>8413</v>
      </c>
      <c r="F432" t="b">
        <v>0</v>
      </c>
      <c r="G432" s="2" t="s">
        <v>65</v>
      </c>
      <c r="H432" s="2" t="s">
        <v>24</v>
      </c>
      <c r="I432" s="2" t="s">
        <v>47</v>
      </c>
      <c r="J432" s="2" t="s">
        <v>48</v>
      </c>
      <c r="K432">
        <v>0</v>
      </c>
      <c r="L432" s="2" t="s">
        <v>27</v>
      </c>
      <c r="M432" s="2" t="s">
        <v>58</v>
      </c>
      <c r="N432" t="b">
        <v>1</v>
      </c>
      <c r="O432">
        <v>90</v>
      </c>
      <c r="P432" s="2" t="s">
        <v>67</v>
      </c>
      <c r="Q432">
        <v>6</v>
      </c>
      <c r="R432">
        <v>2</v>
      </c>
      <c r="S432">
        <v>2806</v>
      </c>
      <c r="T432" s="2" t="s">
        <v>30</v>
      </c>
    </row>
    <row r="433" spans="1:20" x14ac:dyDescent="0.3">
      <c r="A433" s="1">
        <v>45463</v>
      </c>
      <c r="B433" s="2" t="s">
        <v>44</v>
      </c>
      <c r="C433" s="2" t="s">
        <v>56</v>
      </c>
      <c r="D433" s="2" t="s">
        <v>57</v>
      </c>
      <c r="E433">
        <v>1000</v>
      </c>
      <c r="F433" t="b">
        <v>0</v>
      </c>
      <c r="G433" s="2" t="s">
        <v>34</v>
      </c>
      <c r="H433" s="2" t="s">
        <v>24</v>
      </c>
      <c r="I433" s="2" t="s">
        <v>47</v>
      </c>
      <c r="J433" s="2" t="s">
        <v>26</v>
      </c>
      <c r="K433">
        <v>9</v>
      </c>
      <c r="L433" s="2" t="s">
        <v>36</v>
      </c>
      <c r="M433" s="2" t="s">
        <v>66</v>
      </c>
      <c r="N433" t="b">
        <v>0</v>
      </c>
      <c r="O433">
        <v>19</v>
      </c>
      <c r="P433" s="2" t="s">
        <v>29</v>
      </c>
      <c r="Q433">
        <v>10</v>
      </c>
      <c r="R433">
        <v>2</v>
      </c>
      <c r="S433">
        <v>1019</v>
      </c>
      <c r="T433" s="2" t="s">
        <v>30</v>
      </c>
    </row>
    <row r="434" spans="1:20" x14ac:dyDescent="0.3">
      <c r="A434" s="1">
        <v>45463</v>
      </c>
      <c r="B434" s="2" t="s">
        <v>62</v>
      </c>
      <c r="C434" s="2" t="s">
        <v>56</v>
      </c>
      <c r="D434" s="2" t="s">
        <v>46</v>
      </c>
      <c r="E434">
        <v>2158</v>
      </c>
      <c r="F434" t="b">
        <v>1</v>
      </c>
      <c r="G434" s="2" t="s">
        <v>34</v>
      </c>
      <c r="H434" s="2" t="s">
        <v>70</v>
      </c>
      <c r="I434" s="2" t="s">
        <v>59</v>
      </c>
      <c r="J434" s="2" t="s">
        <v>26</v>
      </c>
      <c r="K434">
        <v>1</v>
      </c>
      <c r="L434" s="2" t="s">
        <v>49</v>
      </c>
      <c r="M434" s="2" t="s">
        <v>28</v>
      </c>
      <c r="N434" t="b">
        <v>0</v>
      </c>
      <c r="O434">
        <v>120</v>
      </c>
      <c r="P434" s="2" t="s">
        <v>29</v>
      </c>
      <c r="Q434">
        <v>3</v>
      </c>
      <c r="R434">
        <v>3</v>
      </c>
      <c r="S434">
        <v>2781</v>
      </c>
      <c r="T434" s="2" t="s">
        <v>51</v>
      </c>
    </row>
    <row r="435" spans="1:20" x14ac:dyDescent="0.3">
      <c r="A435" s="1">
        <v>45463</v>
      </c>
      <c r="B435" s="2" t="s">
        <v>52</v>
      </c>
      <c r="C435" s="2" t="s">
        <v>60</v>
      </c>
      <c r="D435" s="2" t="s">
        <v>22</v>
      </c>
      <c r="E435">
        <v>5779</v>
      </c>
      <c r="F435" t="b">
        <v>0</v>
      </c>
      <c r="G435" s="2" t="s">
        <v>34</v>
      </c>
      <c r="H435" s="2" t="s">
        <v>35</v>
      </c>
      <c r="I435" s="2" t="s">
        <v>42</v>
      </c>
      <c r="J435" s="2" t="s">
        <v>43</v>
      </c>
      <c r="K435">
        <v>2</v>
      </c>
      <c r="L435" s="2" t="s">
        <v>49</v>
      </c>
      <c r="M435" s="2" t="s">
        <v>58</v>
      </c>
      <c r="N435" t="b">
        <v>0</v>
      </c>
      <c r="O435">
        <v>38</v>
      </c>
      <c r="P435" s="2" t="s">
        <v>29</v>
      </c>
      <c r="Q435">
        <v>7</v>
      </c>
      <c r="R435">
        <v>1</v>
      </c>
      <c r="S435">
        <v>4666</v>
      </c>
      <c r="T435" s="2" t="s">
        <v>51</v>
      </c>
    </row>
    <row r="436" spans="1:20" x14ac:dyDescent="0.3">
      <c r="A436" s="1">
        <v>45464</v>
      </c>
      <c r="B436" s="2" t="s">
        <v>74</v>
      </c>
      <c r="C436" s="2" t="s">
        <v>32</v>
      </c>
      <c r="D436" s="2" t="s">
        <v>22</v>
      </c>
      <c r="E436">
        <v>9581</v>
      </c>
      <c r="F436" t="b">
        <v>0</v>
      </c>
      <c r="G436" s="2" t="s">
        <v>65</v>
      </c>
      <c r="H436" s="2" t="s">
        <v>70</v>
      </c>
      <c r="I436" s="2" t="s">
        <v>59</v>
      </c>
      <c r="J436" s="2" t="s">
        <v>48</v>
      </c>
      <c r="K436">
        <v>3</v>
      </c>
      <c r="L436" s="2" t="s">
        <v>27</v>
      </c>
      <c r="M436" s="2" t="s">
        <v>58</v>
      </c>
      <c r="N436" t="b">
        <v>1</v>
      </c>
      <c r="O436">
        <v>35</v>
      </c>
      <c r="P436" s="2" t="s">
        <v>63</v>
      </c>
      <c r="Q436">
        <v>10</v>
      </c>
      <c r="R436">
        <v>2</v>
      </c>
      <c r="S436">
        <v>2343</v>
      </c>
      <c r="T436" s="2" t="s">
        <v>30</v>
      </c>
    </row>
    <row r="437" spans="1:20" x14ac:dyDescent="0.3">
      <c r="A437" s="1">
        <v>45464</v>
      </c>
      <c r="B437" s="2" t="s">
        <v>55</v>
      </c>
      <c r="C437" s="2" t="s">
        <v>60</v>
      </c>
      <c r="D437" s="2" t="s">
        <v>61</v>
      </c>
      <c r="E437">
        <v>1000</v>
      </c>
      <c r="F437" t="b">
        <v>1</v>
      </c>
      <c r="G437" s="2" t="s">
        <v>34</v>
      </c>
      <c r="H437" s="2" t="s">
        <v>24</v>
      </c>
      <c r="I437" s="2" t="s">
        <v>42</v>
      </c>
      <c r="J437" s="2" t="s">
        <v>26</v>
      </c>
      <c r="K437">
        <v>2</v>
      </c>
      <c r="L437" s="2" t="s">
        <v>49</v>
      </c>
      <c r="M437" s="2" t="s">
        <v>28</v>
      </c>
      <c r="N437" t="b">
        <v>1</v>
      </c>
      <c r="O437">
        <v>2</v>
      </c>
      <c r="P437" s="2" t="s">
        <v>29</v>
      </c>
      <c r="Q437">
        <v>1</v>
      </c>
      <c r="R437">
        <v>3</v>
      </c>
      <c r="S437">
        <v>3373</v>
      </c>
      <c r="T437" s="2" t="s">
        <v>30</v>
      </c>
    </row>
    <row r="438" spans="1:20" x14ac:dyDescent="0.3">
      <c r="A438" s="1">
        <v>45464</v>
      </c>
      <c r="B438" s="2" t="s">
        <v>20</v>
      </c>
      <c r="C438" s="2" t="s">
        <v>56</v>
      </c>
      <c r="D438" s="2" t="s">
        <v>53</v>
      </c>
      <c r="E438">
        <v>2666</v>
      </c>
      <c r="F438" t="b">
        <v>0</v>
      </c>
      <c r="G438" s="2" t="s">
        <v>34</v>
      </c>
      <c r="H438" s="2" t="s">
        <v>70</v>
      </c>
      <c r="I438" s="2" t="s">
        <v>25</v>
      </c>
      <c r="J438" s="2" t="s">
        <v>48</v>
      </c>
      <c r="K438">
        <v>2</v>
      </c>
      <c r="L438" s="2" t="s">
        <v>36</v>
      </c>
      <c r="M438" s="2" t="s">
        <v>66</v>
      </c>
      <c r="N438" t="b">
        <v>1</v>
      </c>
      <c r="O438">
        <v>71</v>
      </c>
      <c r="P438" s="2" t="s">
        <v>29</v>
      </c>
      <c r="Q438">
        <v>10</v>
      </c>
      <c r="R438">
        <v>2</v>
      </c>
      <c r="S438">
        <v>2660</v>
      </c>
      <c r="T438" s="2" t="s">
        <v>38</v>
      </c>
    </row>
    <row r="439" spans="1:20" x14ac:dyDescent="0.3">
      <c r="A439" s="1">
        <v>45465</v>
      </c>
      <c r="B439" s="2" t="s">
        <v>52</v>
      </c>
      <c r="C439" s="2" t="s">
        <v>60</v>
      </c>
      <c r="D439" s="2" t="s">
        <v>46</v>
      </c>
      <c r="E439">
        <v>1080</v>
      </c>
      <c r="F439" t="b">
        <v>1</v>
      </c>
      <c r="G439" s="2" t="s">
        <v>64</v>
      </c>
      <c r="H439" s="2" t="s">
        <v>41</v>
      </c>
      <c r="I439" s="2" t="s">
        <v>25</v>
      </c>
      <c r="J439" s="2" t="s">
        <v>43</v>
      </c>
      <c r="K439">
        <v>2</v>
      </c>
      <c r="L439" s="2" t="s">
        <v>36</v>
      </c>
      <c r="M439" s="2" t="s">
        <v>58</v>
      </c>
      <c r="N439" t="b">
        <v>0</v>
      </c>
      <c r="O439">
        <v>67</v>
      </c>
      <c r="P439" s="2" t="s">
        <v>50</v>
      </c>
      <c r="Q439">
        <v>9</v>
      </c>
      <c r="R439">
        <v>1</v>
      </c>
      <c r="S439">
        <v>4568</v>
      </c>
      <c r="T439" s="2" t="s">
        <v>30</v>
      </c>
    </row>
    <row r="440" spans="1:20" x14ac:dyDescent="0.3">
      <c r="A440" s="1">
        <v>45466</v>
      </c>
      <c r="B440" s="2" t="s">
        <v>20</v>
      </c>
      <c r="C440" s="2" t="s">
        <v>45</v>
      </c>
      <c r="D440" s="2" t="s">
        <v>33</v>
      </c>
      <c r="E440">
        <v>2045</v>
      </c>
      <c r="F440" t="b">
        <v>1</v>
      </c>
      <c r="G440" s="2" t="s">
        <v>64</v>
      </c>
      <c r="H440" s="2" t="s">
        <v>35</v>
      </c>
      <c r="I440" s="2" t="s">
        <v>59</v>
      </c>
      <c r="J440" s="2" t="s">
        <v>48</v>
      </c>
      <c r="K440">
        <v>3</v>
      </c>
      <c r="L440" s="2" t="s">
        <v>36</v>
      </c>
      <c r="M440" s="2" t="s">
        <v>28</v>
      </c>
      <c r="N440" t="b">
        <v>0</v>
      </c>
      <c r="O440">
        <v>79</v>
      </c>
      <c r="P440" s="2" t="s">
        <v>29</v>
      </c>
      <c r="Q440">
        <v>4</v>
      </c>
      <c r="R440">
        <v>3</v>
      </c>
      <c r="S440">
        <v>4151</v>
      </c>
      <c r="T440" s="2" t="s">
        <v>38</v>
      </c>
    </row>
    <row r="441" spans="1:20" x14ac:dyDescent="0.3">
      <c r="A441" s="1">
        <v>45466</v>
      </c>
      <c r="B441" s="2" t="s">
        <v>72</v>
      </c>
      <c r="C441" s="2" t="s">
        <v>32</v>
      </c>
      <c r="D441" s="2" t="s">
        <v>53</v>
      </c>
      <c r="E441">
        <v>5383</v>
      </c>
      <c r="F441" t="b">
        <v>1</v>
      </c>
      <c r="G441" s="2" t="s">
        <v>64</v>
      </c>
      <c r="H441" s="2" t="s">
        <v>24</v>
      </c>
      <c r="I441" s="2" t="s">
        <v>59</v>
      </c>
      <c r="J441" s="2" t="s">
        <v>43</v>
      </c>
      <c r="K441">
        <v>2</v>
      </c>
      <c r="L441" s="2" t="s">
        <v>27</v>
      </c>
      <c r="M441" s="2" t="s">
        <v>58</v>
      </c>
      <c r="N441" t="b">
        <v>0</v>
      </c>
      <c r="O441">
        <v>21</v>
      </c>
      <c r="P441" s="2" t="s">
        <v>29</v>
      </c>
      <c r="Q441">
        <v>3</v>
      </c>
      <c r="R441">
        <v>1</v>
      </c>
      <c r="S441">
        <v>3774</v>
      </c>
      <c r="T441" s="2" t="s">
        <v>51</v>
      </c>
    </row>
    <row r="442" spans="1:20" x14ac:dyDescent="0.3">
      <c r="A442" s="1">
        <v>45466</v>
      </c>
      <c r="B442" s="2" t="s">
        <v>77</v>
      </c>
      <c r="C442" s="2" t="s">
        <v>60</v>
      </c>
      <c r="D442" s="2" t="s">
        <v>22</v>
      </c>
      <c r="E442">
        <v>9615</v>
      </c>
      <c r="F442" t="b">
        <v>0</v>
      </c>
      <c r="G442" s="2" t="s">
        <v>23</v>
      </c>
      <c r="H442" s="2" t="s">
        <v>24</v>
      </c>
      <c r="I442" s="2" t="s">
        <v>59</v>
      </c>
      <c r="J442" s="2" t="s">
        <v>48</v>
      </c>
      <c r="K442">
        <v>4</v>
      </c>
      <c r="L442" s="2" t="s">
        <v>49</v>
      </c>
      <c r="M442" s="2" t="s">
        <v>28</v>
      </c>
      <c r="N442" t="b">
        <v>0</v>
      </c>
      <c r="O442">
        <v>47</v>
      </c>
      <c r="P442" s="2" t="s">
        <v>67</v>
      </c>
      <c r="Q442">
        <v>2</v>
      </c>
      <c r="R442">
        <v>1</v>
      </c>
      <c r="S442">
        <v>1705</v>
      </c>
      <c r="T442" s="2" t="s">
        <v>51</v>
      </c>
    </row>
    <row r="443" spans="1:20" x14ac:dyDescent="0.3">
      <c r="A443" s="1">
        <v>45466</v>
      </c>
      <c r="B443" s="2" t="s">
        <v>69</v>
      </c>
      <c r="C443" s="2" t="s">
        <v>60</v>
      </c>
      <c r="D443" s="2" t="s">
        <v>46</v>
      </c>
      <c r="E443">
        <v>3748</v>
      </c>
      <c r="F443" t="b">
        <v>1</v>
      </c>
      <c r="G443" s="2" t="s">
        <v>34</v>
      </c>
      <c r="H443" s="2" t="s">
        <v>24</v>
      </c>
      <c r="I443" s="2" t="s">
        <v>47</v>
      </c>
      <c r="J443" s="2" t="s">
        <v>48</v>
      </c>
      <c r="K443">
        <v>2</v>
      </c>
      <c r="L443" s="2" t="s">
        <v>49</v>
      </c>
      <c r="M443" s="2" t="s">
        <v>66</v>
      </c>
      <c r="N443" t="b">
        <v>0</v>
      </c>
      <c r="O443">
        <v>81</v>
      </c>
      <c r="P443" s="2" t="s">
        <v>37</v>
      </c>
      <c r="Q443">
        <v>3</v>
      </c>
      <c r="R443">
        <v>2</v>
      </c>
      <c r="S443">
        <v>3807</v>
      </c>
      <c r="T443" s="2" t="s">
        <v>51</v>
      </c>
    </row>
    <row r="444" spans="1:20" x14ac:dyDescent="0.3">
      <c r="A444" s="1">
        <v>45467</v>
      </c>
      <c r="B444" s="2" t="s">
        <v>39</v>
      </c>
      <c r="C444" s="2" t="s">
        <v>21</v>
      </c>
      <c r="D444" s="2" t="s">
        <v>53</v>
      </c>
      <c r="E444">
        <v>3508</v>
      </c>
      <c r="F444" t="b">
        <v>0</v>
      </c>
      <c r="G444" s="2" t="s">
        <v>40</v>
      </c>
      <c r="H444" s="2" t="s">
        <v>41</v>
      </c>
      <c r="I444" s="2" t="s">
        <v>59</v>
      </c>
      <c r="J444" s="2" t="s">
        <v>43</v>
      </c>
      <c r="K444">
        <v>3</v>
      </c>
      <c r="L444" s="2" t="s">
        <v>49</v>
      </c>
      <c r="M444" s="2" t="s">
        <v>58</v>
      </c>
      <c r="N444" t="b">
        <v>0</v>
      </c>
      <c r="O444">
        <v>30</v>
      </c>
      <c r="P444" s="2" t="s">
        <v>50</v>
      </c>
      <c r="Q444">
        <v>7</v>
      </c>
      <c r="R444">
        <v>1</v>
      </c>
      <c r="S444">
        <v>4045</v>
      </c>
      <c r="T444" s="2" t="s">
        <v>38</v>
      </c>
    </row>
    <row r="445" spans="1:20" x14ac:dyDescent="0.3">
      <c r="A445" s="1">
        <v>45467</v>
      </c>
      <c r="B445" s="2" t="s">
        <v>55</v>
      </c>
      <c r="C445" s="2" t="s">
        <v>32</v>
      </c>
      <c r="D445" s="2" t="s">
        <v>33</v>
      </c>
      <c r="E445">
        <v>3014</v>
      </c>
      <c r="F445" t="b">
        <v>0</v>
      </c>
      <c r="G445" s="2" t="s">
        <v>64</v>
      </c>
      <c r="H445" s="2" t="s">
        <v>24</v>
      </c>
      <c r="I445" s="2" t="s">
        <v>59</v>
      </c>
      <c r="J445" s="2" t="s">
        <v>26</v>
      </c>
      <c r="K445">
        <v>0</v>
      </c>
      <c r="L445" s="2" t="s">
        <v>36</v>
      </c>
      <c r="M445" s="2" t="s">
        <v>73</v>
      </c>
      <c r="N445" t="b">
        <v>0</v>
      </c>
      <c r="O445">
        <v>61</v>
      </c>
      <c r="P445" s="2" t="s">
        <v>37</v>
      </c>
      <c r="Q445">
        <v>10</v>
      </c>
      <c r="R445">
        <v>3</v>
      </c>
      <c r="S445">
        <v>4917</v>
      </c>
      <c r="T445" s="2" t="s">
        <v>30</v>
      </c>
    </row>
    <row r="446" spans="1:20" x14ac:dyDescent="0.3">
      <c r="A446" s="1">
        <v>45467</v>
      </c>
      <c r="B446" s="2" t="s">
        <v>62</v>
      </c>
      <c r="C446" s="2" t="s">
        <v>45</v>
      </c>
      <c r="D446" s="2" t="s">
        <v>57</v>
      </c>
      <c r="E446">
        <v>1000</v>
      </c>
      <c r="F446" t="b">
        <v>1</v>
      </c>
      <c r="G446" s="2" t="s">
        <v>23</v>
      </c>
      <c r="H446" s="2" t="s">
        <v>70</v>
      </c>
      <c r="I446" s="2" t="s">
        <v>47</v>
      </c>
      <c r="J446" s="2" t="s">
        <v>26</v>
      </c>
      <c r="K446">
        <v>3</v>
      </c>
      <c r="L446" s="2" t="s">
        <v>27</v>
      </c>
      <c r="M446" s="2" t="s">
        <v>73</v>
      </c>
      <c r="N446" t="b">
        <v>1</v>
      </c>
      <c r="O446">
        <v>50</v>
      </c>
      <c r="P446" s="2" t="s">
        <v>29</v>
      </c>
      <c r="Q446">
        <v>2</v>
      </c>
      <c r="R446">
        <v>1</v>
      </c>
      <c r="S446">
        <v>2122</v>
      </c>
      <c r="T446" s="2" t="s">
        <v>38</v>
      </c>
    </row>
    <row r="447" spans="1:20" x14ac:dyDescent="0.3">
      <c r="A447" s="1">
        <v>45467</v>
      </c>
      <c r="B447" s="2" t="s">
        <v>72</v>
      </c>
      <c r="C447" s="2" t="s">
        <v>60</v>
      </c>
      <c r="D447" s="2" t="s">
        <v>61</v>
      </c>
      <c r="E447">
        <v>1000</v>
      </c>
      <c r="F447" t="b">
        <v>0</v>
      </c>
      <c r="G447" s="2" t="s">
        <v>65</v>
      </c>
      <c r="H447" s="2" t="s">
        <v>70</v>
      </c>
      <c r="I447" s="2" t="s">
        <v>25</v>
      </c>
      <c r="J447" s="2" t="s">
        <v>54</v>
      </c>
      <c r="K447">
        <v>2</v>
      </c>
      <c r="L447" s="2" t="s">
        <v>27</v>
      </c>
      <c r="M447" s="2" t="s">
        <v>73</v>
      </c>
      <c r="N447" t="b">
        <v>1</v>
      </c>
      <c r="O447">
        <v>54</v>
      </c>
      <c r="P447" s="2" t="s">
        <v>67</v>
      </c>
      <c r="Q447">
        <v>7</v>
      </c>
      <c r="R447">
        <v>3</v>
      </c>
      <c r="S447">
        <v>2655</v>
      </c>
      <c r="T447" s="2" t="s">
        <v>38</v>
      </c>
    </row>
    <row r="448" spans="1:20" x14ac:dyDescent="0.3">
      <c r="A448" s="1">
        <v>45467</v>
      </c>
      <c r="B448" s="2" t="s">
        <v>75</v>
      </c>
      <c r="C448" s="2" t="s">
        <v>56</v>
      </c>
      <c r="D448" s="2" t="s">
        <v>53</v>
      </c>
      <c r="E448">
        <v>2252</v>
      </c>
      <c r="F448" t="b">
        <v>0</v>
      </c>
      <c r="G448" s="2" t="s">
        <v>23</v>
      </c>
      <c r="H448" s="2" t="s">
        <v>35</v>
      </c>
      <c r="I448" s="2" t="s">
        <v>47</v>
      </c>
      <c r="J448" s="2" t="s">
        <v>48</v>
      </c>
      <c r="K448">
        <v>1</v>
      </c>
      <c r="L448" s="2" t="s">
        <v>36</v>
      </c>
      <c r="M448" s="2" t="s">
        <v>58</v>
      </c>
      <c r="N448" t="b">
        <v>1</v>
      </c>
      <c r="O448">
        <v>61</v>
      </c>
      <c r="P448" s="2" t="s">
        <v>50</v>
      </c>
      <c r="Q448">
        <v>9</v>
      </c>
      <c r="R448">
        <v>2</v>
      </c>
      <c r="S448">
        <v>4808</v>
      </c>
      <c r="T448" s="2" t="s">
        <v>51</v>
      </c>
    </row>
    <row r="449" spans="1:20" x14ac:dyDescent="0.3">
      <c r="A449" s="1">
        <v>45468</v>
      </c>
      <c r="B449" s="2" t="s">
        <v>55</v>
      </c>
      <c r="C449" s="2" t="s">
        <v>32</v>
      </c>
      <c r="D449" s="2" t="s">
        <v>53</v>
      </c>
      <c r="E449">
        <v>3268</v>
      </c>
      <c r="F449" t="b">
        <v>1</v>
      </c>
      <c r="G449" s="2" t="s">
        <v>34</v>
      </c>
      <c r="H449" s="2" t="s">
        <v>70</v>
      </c>
      <c r="I449" s="2" t="s">
        <v>59</v>
      </c>
      <c r="J449" s="2" t="s">
        <v>26</v>
      </c>
      <c r="K449">
        <v>0</v>
      </c>
      <c r="L449" s="2" t="s">
        <v>49</v>
      </c>
      <c r="M449" s="2" t="s">
        <v>28</v>
      </c>
      <c r="N449" t="b">
        <v>0</v>
      </c>
      <c r="O449">
        <v>112</v>
      </c>
      <c r="P449" s="2" t="s">
        <v>50</v>
      </c>
      <c r="Q449">
        <v>4</v>
      </c>
      <c r="R449">
        <v>1</v>
      </c>
      <c r="S449">
        <v>1985</v>
      </c>
      <c r="T449" s="2" t="s">
        <v>30</v>
      </c>
    </row>
    <row r="450" spans="1:20" x14ac:dyDescent="0.3">
      <c r="A450" s="1">
        <v>45468</v>
      </c>
      <c r="B450" s="2" t="s">
        <v>55</v>
      </c>
      <c r="C450" s="2" t="s">
        <v>21</v>
      </c>
      <c r="D450" s="2" t="s">
        <v>53</v>
      </c>
      <c r="E450">
        <v>2255</v>
      </c>
      <c r="F450" t="b">
        <v>1</v>
      </c>
      <c r="G450" s="2" t="s">
        <v>64</v>
      </c>
      <c r="H450" s="2" t="s">
        <v>41</v>
      </c>
      <c r="I450" s="2" t="s">
        <v>59</v>
      </c>
      <c r="J450" s="2" t="s">
        <v>43</v>
      </c>
      <c r="K450">
        <v>0</v>
      </c>
      <c r="L450" s="2" t="s">
        <v>27</v>
      </c>
      <c r="M450" s="2" t="s">
        <v>58</v>
      </c>
      <c r="N450" t="b">
        <v>1</v>
      </c>
      <c r="O450">
        <v>52</v>
      </c>
      <c r="P450" s="2" t="s">
        <v>29</v>
      </c>
      <c r="Q450">
        <v>9</v>
      </c>
      <c r="R450">
        <v>2</v>
      </c>
      <c r="S450">
        <v>1429</v>
      </c>
      <c r="T450" s="2" t="s">
        <v>30</v>
      </c>
    </row>
    <row r="451" spans="1:20" x14ac:dyDescent="0.3">
      <c r="A451" s="1">
        <v>45468</v>
      </c>
      <c r="B451" s="2" t="s">
        <v>77</v>
      </c>
      <c r="C451" s="2" t="s">
        <v>21</v>
      </c>
      <c r="D451" s="2" t="s">
        <v>33</v>
      </c>
      <c r="E451">
        <v>2158</v>
      </c>
      <c r="F451" t="b">
        <v>0</v>
      </c>
      <c r="G451" s="2" t="s">
        <v>23</v>
      </c>
      <c r="H451" s="2" t="s">
        <v>35</v>
      </c>
      <c r="I451" s="2" t="s">
        <v>25</v>
      </c>
      <c r="J451" s="2" t="s">
        <v>48</v>
      </c>
      <c r="K451">
        <v>5</v>
      </c>
      <c r="L451" s="2" t="s">
        <v>36</v>
      </c>
      <c r="M451" s="2" t="s">
        <v>73</v>
      </c>
      <c r="N451" t="b">
        <v>0</v>
      </c>
      <c r="O451">
        <v>13</v>
      </c>
      <c r="P451" s="2" t="s">
        <v>63</v>
      </c>
      <c r="Q451">
        <v>6</v>
      </c>
      <c r="R451">
        <v>3</v>
      </c>
      <c r="S451">
        <v>3122</v>
      </c>
      <c r="T451" s="2" t="s">
        <v>51</v>
      </c>
    </row>
    <row r="452" spans="1:20" x14ac:dyDescent="0.3">
      <c r="A452" s="1">
        <v>45468</v>
      </c>
      <c r="B452" s="2" t="s">
        <v>62</v>
      </c>
      <c r="C452" s="2" t="s">
        <v>60</v>
      </c>
      <c r="D452" s="2" t="s">
        <v>33</v>
      </c>
      <c r="E452">
        <v>3001</v>
      </c>
      <c r="F452" t="b">
        <v>0</v>
      </c>
      <c r="G452" s="2" t="s">
        <v>23</v>
      </c>
      <c r="H452" s="2" t="s">
        <v>70</v>
      </c>
      <c r="I452" s="2" t="s">
        <v>42</v>
      </c>
      <c r="J452" s="2" t="s">
        <v>26</v>
      </c>
      <c r="K452">
        <v>1</v>
      </c>
      <c r="L452" s="2" t="s">
        <v>27</v>
      </c>
      <c r="M452" s="2" t="s">
        <v>66</v>
      </c>
      <c r="N452" t="b">
        <v>1</v>
      </c>
      <c r="O452">
        <v>64</v>
      </c>
      <c r="P452" s="2" t="s">
        <v>50</v>
      </c>
      <c r="Q452">
        <v>5</v>
      </c>
      <c r="R452">
        <v>2</v>
      </c>
      <c r="S452">
        <v>1249</v>
      </c>
      <c r="T452" s="2" t="s">
        <v>38</v>
      </c>
    </row>
    <row r="453" spans="1:20" x14ac:dyDescent="0.3">
      <c r="A453" s="1">
        <v>45469</v>
      </c>
      <c r="B453" s="2" t="s">
        <v>20</v>
      </c>
      <c r="C453" s="2" t="s">
        <v>32</v>
      </c>
      <c r="D453" s="2" t="s">
        <v>46</v>
      </c>
      <c r="E453">
        <v>1325</v>
      </c>
      <c r="F453" t="b">
        <v>0</v>
      </c>
      <c r="G453" s="2" t="s">
        <v>23</v>
      </c>
      <c r="H453" s="2" t="s">
        <v>70</v>
      </c>
      <c r="I453" s="2" t="s">
        <v>42</v>
      </c>
      <c r="J453" s="2" t="s">
        <v>26</v>
      </c>
      <c r="K453">
        <v>5</v>
      </c>
      <c r="L453" s="2" t="s">
        <v>27</v>
      </c>
      <c r="M453" s="2" t="s">
        <v>58</v>
      </c>
      <c r="N453" t="b">
        <v>0</v>
      </c>
      <c r="O453">
        <v>114</v>
      </c>
      <c r="P453" s="2" t="s">
        <v>63</v>
      </c>
      <c r="Q453">
        <v>10</v>
      </c>
      <c r="R453">
        <v>2</v>
      </c>
      <c r="S453">
        <v>721</v>
      </c>
      <c r="T453" s="2" t="s">
        <v>30</v>
      </c>
    </row>
    <row r="454" spans="1:20" x14ac:dyDescent="0.3">
      <c r="A454" s="1">
        <v>45469</v>
      </c>
      <c r="B454" s="2" t="s">
        <v>39</v>
      </c>
      <c r="C454" s="2" t="s">
        <v>21</v>
      </c>
      <c r="D454" s="2" t="s">
        <v>33</v>
      </c>
      <c r="E454">
        <v>3725</v>
      </c>
      <c r="F454" t="b">
        <v>0</v>
      </c>
      <c r="G454" s="2" t="s">
        <v>65</v>
      </c>
      <c r="H454" s="2" t="s">
        <v>35</v>
      </c>
      <c r="I454" s="2" t="s">
        <v>47</v>
      </c>
      <c r="J454" s="2" t="s">
        <v>26</v>
      </c>
      <c r="K454">
        <v>1</v>
      </c>
      <c r="L454" s="2" t="s">
        <v>27</v>
      </c>
      <c r="M454" s="2" t="s">
        <v>28</v>
      </c>
      <c r="N454" t="b">
        <v>0</v>
      </c>
      <c r="O454">
        <v>79</v>
      </c>
      <c r="P454" s="2" t="s">
        <v>29</v>
      </c>
      <c r="Q454">
        <v>9</v>
      </c>
      <c r="R454">
        <v>2</v>
      </c>
      <c r="S454">
        <v>870</v>
      </c>
      <c r="T454" s="2" t="s">
        <v>38</v>
      </c>
    </row>
    <row r="455" spans="1:20" x14ac:dyDescent="0.3">
      <c r="A455" s="1">
        <v>45469</v>
      </c>
      <c r="B455" s="2" t="s">
        <v>77</v>
      </c>
      <c r="C455" s="2" t="s">
        <v>45</v>
      </c>
      <c r="D455" s="2" t="s">
        <v>57</v>
      </c>
      <c r="E455">
        <v>1000</v>
      </c>
      <c r="F455" t="b">
        <v>0</v>
      </c>
      <c r="G455" s="2" t="s">
        <v>23</v>
      </c>
      <c r="H455" s="2" t="s">
        <v>70</v>
      </c>
      <c r="I455" s="2" t="s">
        <v>47</v>
      </c>
      <c r="J455" s="2" t="s">
        <v>26</v>
      </c>
      <c r="K455">
        <v>0</v>
      </c>
      <c r="L455" s="2" t="s">
        <v>36</v>
      </c>
      <c r="M455" s="2" t="s">
        <v>73</v>
      </c>
      <c r="N455" t="b">
        <v>0</v>
      </c>
      <c r="O455">
        <v>54</v>
      </c>
      <c r="P455" s="2" t="s">
        <v>37</v>
      </c>
      <c r="Q455">
        <v>6</v>
      </c>
      <c r="R455">
        <v>1</v>
      </c>
      <c r="S455">
        <v>3748</v>
      </c>
      <c r="T455" s="2" t="s">
        <v>51</v>
      </c>
    </row>
    <row r="456" spans="1:20" x14ac:dyDescent="0.3">
      <c r="A456" s="1">
        <v>45469</v>
      </c>
      <c r="B456" s="2" t="s">
        <v>52</v>
      </c>
      <c r="C456" s="2" t="s">
        <v>60</v>
      </c>
      <c r="D456" s="2" t="s">
        <v>33</v>
      </c>
      <c r="E456">
        <v>2874</v>
      </c>
      <c r="F456" t="b">
        <v>0</v>
      </c>
      <c r="G456" s="2" t="s">
        <v>65</v>
      </c>
      <c r="H456" s="2" t="s">
        <v>35</v>
      </c>
      <c r="I456" s="2" t="s">
        <v>25</v>
      </c>
      <c r="J456" s="2" t="s">
        <v>54</v>
      </c>
      <c r="K456">
        <v>0</v>
      </c>
      <c r="L456" s="2" t="s">
        <v>49</v>
      </c>
      <c r="M456" s="2" t="s">
        <v>28</v>
      </c>
      <c r="N456" t="b">
        <v>0</v>
      </c>
      <c r="O456">
        <v>7</v>
      </c>
      <c r="P456" s="2" t="s">
        <v>29</v>
      </c>
      <c r="Q456">
        <v>6</v>
      </c>
      <c r="R456">
        <v>1</v>
      </c>
      <c r="S456">
        <v>3394</v>
      </c>
      <c r="T456" s="2" t="s">
        <v>30</v>
      </c>
    </row>
    <row r="457" spans="1:20" x14ac:dyDescent="0.3">
      <c r="A457" s="1">
        <v>45469</v>
      </c>
      <c r="B457" s="2" t="s">
        <v>31</v>
      </c>
      <c r="C457" s="2" t="s">
        <v>32</v>
      </c>
      <c r="D457" s="2" t="s">
        <v>46</v>
      </c>
      <c r="E457">
        <v>1593</v>
      </c>
      <c r="F457" t="b">
        <v>1</v>
      </c>
      <c r="G457" s="2" t="s">
        <v>64</v>
      </c>
      <c r="H457" s="2" t="s">
        <v>35</v>
      </c>
      <c r="I457" s="2" t="s">
        <v>25</v>
      </c>
      <c r="J457" s="2" t="s">
        <v>26</v>
      </c>
      <c r="K457">
        <v>3</v>
      </c>
      <c r="L457" s="2" t="s">
        <v>36</v>
      </c>
      <c r="M457" s="2" t="s">
        <v>28</v>
      </c>
      <c r="N457" t="b">
        <v>0</v>
      </c>
      <c r="O457">
        <v>71</v>
      </c>
      <c r="P457" s="2" t="s">
        <v>37</v>
      </c>
      <c r="Q457">
        <v>6</v>
      </c>
      <c r="R457">
        <v>1</v>
      </c>
      <c r="S457">
        <v>1376</v>
      </c>
      <c r="T457" s="2" t="s">
        <v>38</v>
      </c>
    </row>
    <row r="458" spans="1:20" x14ac:dyDescent="0.3">
      <c r="A458" s="1">
        <v>45470</v>
      </c>
      <c r="B458" s="2" t="s">
        <v>44</v>
      </c>
      <c r="C458" s="2" t="s">
        <v>32</v>
      </c>
      <c r="D458" s="2" t="s">
        <v>57</v>
      </c>
      <c r="E458">
        <v>1000</v>
      </c>
      <c r="F458" t="b">
        <v>0</v>
      </c>
      <c r="G458" s="2" t="s">
        <v>40</v>
      </c>
      <c r="H458" s="2" t="s">
        <v>41</v>
      </c>
      <c r="I458" s="2" t="s">
        <v>47</v>
      </c>
      <c r="J458" s="2" t="s">
        <v>43</v>
      </c>
      <c r="K458">
        <v>2</v>
      </c>
      <c r="L458" s="2" t="s">
        <v>49</v>
      </c>
      <c r="M458" s="2" t="s">
        <v>66</v>
      </c>
      <c r="N458" t="b">
        <v>0</v>
      </c>
      <c r="O458">
        <v>119</v>
      </c>
      <c r="P458" s="2" t="s">
        <v>67</v>
      </c>
      <c r="Q458">
        <v>9</v>
      </c>
      <c r="R458">
        <v>1</v>
      </c>
      <c r="S458">
        <v>763</v>
      </c>
      <c r="T458" s="2" t="s">
        <v>38</v>
      </c>
    </row>
    <row r="459" spans="1:20" x14ac:dyDescent="0.3">
      <c r="A459" s="1">
        <v>45470</v>
      </c>
      <c r="B459" s="2" t="s">
        <v>39</v>
      </c>
      <c r="C459" s="2" t="s">
        <v>60</v>
      </c>
      <c r="D459" s="2" t="s">
        <v>61</v>
      </c>
      <c r="E459">
        <v>1000</v>
      </c>
      <c r="F459" t="b">
        <v>0</v>
      </c>
      <c r="G459" s="2" t="s">
        <v>65</v>
      </c>
      <c r="H459" s="2" t="s">
        <v>41</v>
      </c>
      <c r="I459" s="2" t="s">
        <v>47</v>
      </c>
      <c r="J459" s="2" t="s">
        <v>43</v>
      </c>
      <c r="K459">
        <v>0</v>
      </c>
      <c r="L459" s="2" t="s">
        <v>27</v>
      </c>
      <c r="M459" s="2" t="s">
        <v>73</v>
      </c>
      <c r="N459" t="b">
        <v>0</v>
      </c>
      <c r="O459">
        <v>4</v>
      </c>
      <c r="P459" s="2" t="s">
        <v>63</v>
      </c>
      <c r="Q459">
        <v>8</v>
      </c>
      <c r="R459">
        <v>3</v>
      </c>
      <c r="S459">
        <v>598</v>
      </c>
      <c r="T459" s="2" t="s">
        <v>38</v>
      </c>
    </row>
    <row r="460" spans="1:20" x14ac:dyDescent="0.3">
      <c r="A460" s="1">
        <v>45470</v>
      </c>
      <c r="B460" s="2" t="s">
        <v>74</v>
      </c>
      <c r="C460" s="2" t="s">
        <v>32</v>
      </c>
      <c r="D460" s="2" t="s">
        <v>22</v>
      </c>
      <c r="E460">
        <v>5282</v>
      </c>
      <c r="F460" t="b">
        <v>0</v>
      </c>
      <c r="G460" s="2" t="s">
        <v>65</v>
      </c>
      <c r="H460" s="2" t="s">
        <v>35</v>
      </c>
      <c r="I460" s="2" t="s">
        <v>42</v>
      </c>
      <c r="J460" s="2" t="s">
        <v>48</v>
      </c>
      <c r="K460">
        <v>1</v>
      </c>
      <c r="L460" s="2" t="s">
        <v>36</v>
      </c>
      <c r="M460" s="2" t="s">
        <v>73</v>
      </c>
      <c r="N460" t="b">
        <v>1</v>
      </c>
      <c r="O460">
        <v>24</v>
      </c>
      <c r="P460" s="2" t="s">
        <v>63</v>
      </c>
      <c r="Q460">
        <v>3</v>
      </c>
      <c r="R460">
        <v>3</v>
      </c>
      <c r="S460">
        <v>4391</v>
      </c>
      <c r="T460" s="2" t="s">
        <v>51</v>
      </c>
    </row>
    <row r="461" spans="1:20" x14ac:dyDescent="0.3">
      <c r="A461" s="1">
        <v>45470</v>
      </c>
      <c r="B461" s="2" t="s">
        <v>74</v>
      </c>
      <c r="C461" s="2" t="s">
        <v>56</v>
      </c>
      <c r="D461" s="2" t="s">
        <v>57</v>
      </c>
      <c r="E461">
        <v>1000</v>
      </c>
      <c r="F461" t="b">
        <v>0</v>
      </c>
      <c r="G461" s="2" t="s">
        <v>65</v>
      </c>
      <c r="H461" s="2" t="s">
        <v>70</v>
      </c>
      <c r="I461" s="2" t="s">
        <v>42</v>
      </c>
      <c r="J461" s="2" t="s">
        <v>26</v>
      </c>
      <c r="K461">
        <v>3</v>
      </c>
      <c r="L461" s="2" t="s">
        <v>36</v>
      </c>
      <c r="M461" s="2" t="s">
        <v>28</v>
      </c>
      <c r="N461" t="b">
        <v>1</v>
      </c>
      <c r="O461">
        <v>58</v>
      </c>
      <c r="P461" s="2" t="s">
        <v>29</v>
      </c>
      <c r="Q461">
        <v>1</v>
      </c>
      <c r="R461">
        <v>2</v>
      </c>
      <c r="S461">
        <v>3201</v>
      </c>
      <c r="T461" s="2" t="s">
        <v>30</v>
      </c>
    </row>
    <row r="462" spans="1:20" x14ac:dyDescent="0.3">
      <c r="A462" s="1">
        <v>45471</v>
      </c>
      <c r="B462" s="2" t="s">
        <v>75</v>
      </c>
      <c r="C462" s="2" t="s">
        <v>32</v>
      </c>
      <c r="D462" s="2" t="s">
        <v>57</v>
      </c>
      <c r="E462">
        <v>1000</v>
      </c>
      <c r="F462" t="b">
        <v>0</v>
      </c>
      <c r="G462" s="2" t="s">
        <v>40</v>
      </c>
      <c r="H462" s="2" t="s">
        <v>41</v>
      </c>
      <c r="I462" s="2" t="s">
        <v>25</v>
      </c>
      <c r="J462" s="2" t="s">
        <v>54</v>
      </c>
      <c r="K462">
        <v>2</v>
      </c>
      <c r="L462" s="2" t="s">
        <v>27</v>
      </c>
      <c r="M462" s="2" t="s">
        <v>73</v>
      </c>
      <c r="N462" t="b">
        <v>1</v>
      </c>
      <c r="O462">
        <v>24</v>
      </c>
      <c r="P462" s="2" t="s">
        <v>37</v>
      </c>
      <c r="Q462">
        <v>4</v>
      </c>
      <c r="R462">
        <v>3</v>
      </c>
      <c r="S462">
        <v>4220</v>
      </c>
      <c r="T462" s="2" t="s">
        <v>51</v>
      </c>
    </row>
    <row r="463" spans="1:20" x14ac:dyDescent="0.3">
      <c r="A463" s="1">
        <v>45471</v>
      </c>
      <c r="B463" s="2" t="s">
        <v>44</v>
      </c>
      <c r="C463" s="2" t="s">
        <v>60</v>
      </c>
      <c r="D463" s="2" t="s">
        <v>33</v>
      </c>
      <c r="E463">
        <v>2386</v>
      </c>
      <c r="F463" t="b">
        <v>1</v>
      </c>
      <c r="G463" s="2" t="s">
        <v>65</v>
      </c>
      <c r="H463" s="2" t="s">
        <v>35</v>
      </c>
      <c r="I463" s="2" t="s">
        <v>59</v>
      </c>
      <c r="J463" s="2" t="s">
        <v>26</v>
      </c>
      <c r="K463">
        <v>2</v>
      </c>
      <c r="L463" s="2" t="s">
        <v>49</v>
      </c>
      <c r="M463" s="2" t="s">
        <v>73</v>
      </c>
      <c r="N463" t="b">
        <v>0</v>
      </c>
      <c r="O463">
        <v>52</v>
      </c>
      <c r="P463" s="2" t="s">
        <v>63</v>
      </c>
      <c r="Q463">
        <v>9</v>
      </c>
      <c r="R463">
        <v>1</v>
      </c>
      <c r="S463">
        <v>1361</v>
      </c>
      <c r="T463" s="2" t="s">
        <v>30</v>
      </c>
    </row>
    <row r="464" spans="1:20" x14ac:dyDescent="0.3">
      <c r="A464" s="1">
        <v>45471</v>
      </c>
      <c r="B464" s="2" t="s">
        <v>71</v>
      </c>
      <c r="C464" s="2" t="s">
        <v>45</v>
      </c>
      <c r="D464" s="2" t="s">
        <v>46</v>
      </c>
      <c r="E464">
        <v>2062</v>
      </c>
      <c r="F464" t="b">
        <v>1</v>
      </c>
      <c r="G464" s="2" t="s">
        <v>65</v>
      </c>
      <c r="H464" s="2" t="s">
        <v>24</v>
      </c>
      <c r="I464" s="2" t="s">
        <v>25</v>
      </c>
      <c r="J464" s="2" t="s">
        <v>26</v>
      </c>
      <c r="K464">
        <v>5</v>
      </c>
      <c r="L464" s="2" t="s">
        <v>27</v>
      </c>
      <c r="M464" s="2" t="s">
        <v>58</v>
      </c>
      <c r="N464" t="b">
        <v>0</v>
      </c>
      <c r="O464">
        <v>113</v>
      </c>
      <c r="P464" s="2" t="s">
        <v>37</v>
      </c>
      <c r="Q464">
        <v>6</v>
      </c>
      <c r="R464">
        <v>3</v>
      </c>
      <c r="S464">
        <v>976</v>
      </c>
      <c r="T464" s="2" t="s">
        <v>51</v>
      </c>
    </row>
    <row r="465" spans="1:20" x14ac:dyDescent="0.3">
      <c r="A465" s="1">
        <v>45474</v>
      </c>
      <c r="B465" s="2" t="s">
        <v>44</v>
      </c>
      <c r="C465" s="2" t="s">
        <v>56</v>
      </c>
      <c r="D465" s="2" t="s">
        <v>46</v>
      </c>
      <c r="E465">
        <v>3787</v>
      </c>
      <c r="F465" t="b">
        <v>1</v>
      </c>
      <c r="G465" s="2" t="s">
        <v>23</v>
      </c>
      <c r="H465" s="2" t="s">
        <v>24</v>
      </c>
      <c r="I465" s="2" t="s">
        <v>47</v>
      </c>
      <c r="J465" s="2" t="s">
        <v>26</v>
      </c>
      <c r="K465">
        <v>4</v>
      </c>
      <c r="L465" s="2" t="s">
        <v>49</v>
      </c>
      <c r="M465" s="2" t="s">
        <v>58</v>
      </c>
      <c r="N465" t="b">
        <v>1</v>
      </c>
      <c r="O465">
        <v>24</v>
      </c>
      <c r="P465" s="2" t="s">
        <v>37</v>
      </c>
      <c r="Q465">
        <v>3</v>
      </c>
      <c r="R465">
        <v>2</v>
      </c>
      <c r="S465">
        <v>3284</v>
      </c>
      <c r="T465" s="2" t="s">
        <v>30</v>
      </c>
    </row>
    <row r="466" spans="1:20" x14ac:dyDescent="0.3">
      <c r="A466" s="1">
        <v>45474</v>
      </c>
      <c r="B466" s="2" t="s">
        <v>62</v>
      </c>
      <c r="C466" s="2" t="s">
        <v>45</v>
      </c>
      <c r="D466" s="2" t="s">
        <v>57</v>
      </c>
      <c r="E466">
        <v>1000</v>
      </c>
      <c r="F466" t="b">
        <v>1</v>
      </c>
      <c r="G466" s="2" t="s">
        <v>64</v>
      </c>
      <c r="H466" s="2" t="s">
        <v>70</v>
      </c>
      <c r="I466" s="2" t="s">
        <v>25</v>
      </c>
      <c r="J466" s="2" t="s">
        <v>54</v>
      </c>
      <c r="K466">
        <v>2</v>
      </c>
      <c r="L466" s="2" t="s">
        <v>27</v>
      </c>
      <c r="M466" s="2" t="s">
        <v>73</v>
      </c>
      <c r="N466" t="b">
        <v>0</v>
      </c>
      <c r="O466">
        <v>76</v>
      </c>
      <c r="P466" s="2" t="s">
        <v>50</v>
      </c>
      <c r="Q466">
        <v>1</v>
      </c>
      <c r="R466">
        <v>1</v>
      </c>
      <c r="S466">
        <v>3443</v>
      </c>
      <c r="T466" s="2" t="s">
        <v>30</v>
      </c>
    </row>
    <row r="467" spans="1:20" x14ac:dyDescent="0.3">
      <c r="A467" s="1">
        <v>45474</v>
      </c>
      <c r="B467" s="2" t="s">
        <v>52</v>
      </c>
      <c r="C467" s="2" t="s">
        <v>21</v>
      </c>
      <c r="D467" s="2" t="s">
        <v>22</v>
      </c>
      <c r="E467">
        <v>7471</v>
      </c>
      <c r="F467" t="b">
        <v>0</v>
      </c>
      <c r="G467" s="2" t="s">
        <v>23</v>
      </c>
      <c r="H467" s="2" t="s">
        <v>35</v>
      </c>
      <c r="I467" s="2" t="s">
        <v>47</v>
      </c>
      <c r="J467" s="2" t="s">
        <v>48</v>
      </c>
      <c r="K467">
        <v>4</v>
      </c>
      <c r="L467" s="2" t="s">
        <v>27</v>
      </c>
      <c r="M467" s="2" t="s">
        <v>58</v>
      </c>
      <c r="N467" t="b">
        <v>1</v>
      </c>
      <c r="O467">
        <v>56</v>
      </c>
      <c r="P467" s="2" t="s">
        <v>37</v>
      </c>
      <c r="Q467">
        <v>9</v>
      </c>
      <c r="R467">
        <v>1</v>
      </c>
      <c r="S467">
        <v>3439</v>
      </c>
      <c r="T467" s="2" t="s">
        <v>38</v>
      </c>
    </row>
    <row r="468" spans="1:20" x14ac:dyDescent="0.3">
      <c r="A468" s="1">
        <v>45475</v>
      </c>
      <c r="B468" s="2" t="s">
        <v>76</v>
      </c>
      <c r="C468" s="2" t="s">
        <v>21</v>
      </c>
      <c r="D468" s="2" t="s">
        <v>57</v>
      </c>
      <c r="E468">
        <v>1000</v>
      </c>
      <c r="F468" t="b">
        <v>0</v>
      </c>
      <c r="G468" s="2" t="s">
        <v>23</v>
      </c>
      <c r="H468" s="2" t="s">
        <v>41</v>
      </c>
      <c r="I468" s="2" t="s">
        <v>42</v>
      </c>
      <c r="J468" s="2" t="s">
        <v>48</v>
      </c>
      <c r="K468">
        <v>0</v>
      </c>
      <c r="L468" s="2" t="s">
        <v>36</v>
      </c>
      <c r="M468" s="2" t="s">
        <v>58</v>
      </c>
      <c r="N468" t="b">
        <v>1</v>
      </c>
      <c r="O468">
        <v>77</v>
      </c>
      <c r="P468" s="2" t="s">
        <v>29</v>
      </c>
      <c r="Q468">
        <v>5</v>
      </c>
      <c r="R468">
        <v>2</v>
      </c>
      <c r="S468">
        <v>2011</v>
      </c>
      <c r="T468" s="2" t="s">
        <v>30</v>
      </c>
    </row>
    <row r="469" spans="1:20" x14ac:dyDescent="0.3">
      <c r="A469" s="1">
        <v>45475</v>
      </c>
      <c r="B469" s="2" t="s">
        <v>44</v>
      </c>
      <c r="C469" s="2" t="s">
        <v>32</v>
      </c>
      <c r="D469" s="2" t="s">
        <v>57</v>
      </c>
      <c r="E469">
        <v>1000</v>
      </c>
      <c r="F469" t="b">
        <v>0</v>
      </c>
      <c r="G469" s="2" t="s">
        <v>40</v>
      </c>
      <c r="H469" s="2" t="s">
        <v>70</v>
      </c>
      <c r="I469" s="2" t="s">
        <v>25</v>
      </c>
      <c r="J469" s="2" t="s">
        <v>43</v>
      </c>
      <c r="K469">
        <v>2</v>
      </c>
      <c r="L469" s="2" t="s">
        <v>36</v>
      </c>
      <c r="M469" s="2" t="s">
        <v>73</v>
      </c>
      <c r="N469" t="b">
        <v>1</v>
      </c>
      <c r="O469">
        <v>24</v>
      </c>
      <c r="P469" s="2" t="s">
        <v>29</v>
      </c>
      <c r="Q469">
        <v>4</v>
      </c>
      <c r="R469">
        <v>3</v>
      </c>
      <c r="S469">
        <v>4062</v>
      </c>
      <c r="T469" s="2" t="s">
        <v>51</v>
      </c>
    </row>
    <row r="470" spans="1:20" x14ac:dyDescent="0.3">
      <c r="A470" s="1">
        <v>45475</v>
      </c>
      <c r="B470" s="2" t="s">
        <v>72</v>
      </c>
      <c r="C470" s="2" t="s">
        <v>60</v>
      </c>
      <c r="D470" s="2" t="s">
        <v>46</v>
      </c>
      <c r="E470">
        <v>4403</v>
      </c>
      <c r="F470" t="b">
        <v>1</v>
      </c>
      <c r="G470" s="2" t="s">
        <v>23</v>
      </c>
      <c r="H470" s="2" t="s">
        <v>41</v>
      </c>
      <c r="I470" s="2" t="s">
        <v>59</v>
      </c>
      <c r="J470" s="2" t="s">
        <v>54</v>
      </c>
      <c r="K470">
        <v>3</v>
      </c>
      <c r="L470" s="2" t="s">
        <v>36</v>
      </c>
      <c r="M470" s="2" t="s">
        <v>66</v>
      </c>
      <c r="N470" t="b">
        <v>1</v>
      </c>
      <c r="O470">
        <v>52</v>
      </c>
      <c r="P470" s="2" t="s">
        <v>67</v>
      </c>
      <c r="Q470">
        <v>9</v>
      </c>
      <c r="R470">
        <v>3</v>
      </c>
      <c r="S470">
        <v>1006</v>
      </c>
      <c r="T470" s="2" t="s">
        <v>38</v>
      </c>
    </row>
    <row r="471" spans="1:20" x14ac:dyDescent="0.3">
      <c r="A471" s="1">
        <v>45476</v>
      </c>
      <c r="B471" s="2" t="s">
        <v>68</v>
      </c>
      <c r="C471" s="2" t="s">
        <v>21</v>
      </c>
      <c r="D471" s="2" t="s">
        <v>57</v>
      </c>
      <c r="E471">
        <v>1000</v>
      </c>
      <c r="F471" t="b">
        <v>0</v>
      </c>
      <c r="G471" s="2" t="s">
        <v>23</v>
      </c>
      <c r="H471" s="2" t="s">
        <v>35</v>
      </c>
      <c r="I471" s="2" t="s">
        <v>42</v>
      </c>
      <c r="J471" s="2" t="s">
        <v>43</v>
      </c>
      <c r="K471">
        <v>0</v>
      </c>
      <c r="L471" s="2" t="s">
        <v>36</v>
      </c>
      <c r="M471" s="2" t="s">
        <v>73</v>
      </c>
      <c r="N471" t="b">
        <v>1</v>
      </c>
      <c r="O471">
        <v>16</v>
      </c>
      <c r="P471" s="2" t="s">
        <v>67</v>
      </c>
      <c r="Q471">
        <v>2</v>
      </c>
      <c r="R471">
        <v>2</v>
      </c>
      <c r="S471">
        <v>1347</v>
      </c>
      <c r="T471" s="2" t="s">
        <v>51</v>
      </c>
    </row>
    <row r="472" spans="1:20" x14ac:dyDescent="0.3">
      <c r="A472" s="1">
        <v>45476</v>
      </c>
      <c r="B472" s="2" t="s">
        <v>20</v>
      </c>
      <c r="C472" s="2" t="s">
        <v>60</v>
      </c>
      <c r="D472" s="2" t="s">
        <v>22</v>
      </c>
      <c r="E472">
        <v>5856</v>
      </c>
      <c r="F472" t="b">
        <v>0</v>
      </c>
      <c r="G472" s="2" t="s">
        <v>40</v>
      </c>
      <c r="H472" s="2" t="s">
        <v>24</v>
      </c>
      <c r="I472" s="2" t="s">
        <v>47</v>
      </c>
      <c r="J472" s="2" t="s">
        <v>26</v>
      </c>
      <c r="K472">
        <v>2</v>
      </c>
      <c r="L472" s="2" t="s">
        <v>36</v>
      </c>
      <c r="M472" s="2" t="s">
        <v>66</v>
      </c>
      <c r="N472" t="b">
        <v>0</v>
      </c>
      <c r="O472">
        <v>17</v>
      </c>
      <c r="P472" s="2" t="s">
        <v>37</v>
      </c>
      <c r="Q472">
        <v>4</v>
      </c>
      <c r="R472">
        <v>2</v>
      </c>
      <c r="S472">
        <v>1748</v>
      </c>
      <c r="T472" s="2" t="s">
        <v>30</v>
      </c>
    </row>
    <row r="473" spans="1:20" x14ac:dyDescent="0.3">
      <c r="A473" s="1">
        <v>45477</v>
      </c>
      <c r="B473" s="2" t="s">
        <v>55</v>
      </c>
      <c r="C473" s="2" t="s">
        <v>56</v>
      </c>
      <c r="D473" s="2" t="s">
        <v>22</v>
      </c>
      <c r="E473">
        <v>9452</v>
      </c>
      <c r="F473" t="b">
        <v>0</v>
      </c>
      <c r="G473" s="2" t="s">
        <v>40</v>
      </c>
      <c r="H473" s="2" t="s">
        <v>24</v>
      </c>
      <c r="I473" s="2" t="s">
        <v>25</v>
      </c>
      <c r="J473" s="2" t="s">
        <v>26</v>
      </c>
      <c r="K473">
        <v>5</v>
      </c>
      <c r="L473" s="2" t="s">
        <v>27</v>
      </c>
      <c r="M473" s="2" t="s">
        <v>66</v>
      </c>
      <c r="N473" t="b">
        <v>0</v>
      </c>
      <c r="O473">
        <v>41</v>
      </c>
      <c r="P473" s="2" t="s">
        <v>37</v>
      </c>
      <c r="Q473">
        <v>6</v>
      </c>
      <c r="R473">
        <v>2</v>
      </c>
      <c r="S473">
        <v>4316</v>
      </c>
      <c r="T473" s="2" t="s">
        <v>51</v>
      </c>
    </row>
    <row r="474" spans="1:20" x14ac:dyDescent="0.3">
      <c r="A474" s="1">
        <v>45477</v>
      </c>
      <c r="B474" s="2" t="s">
        <v>44</v>
      </c>
      <c r="C474" s="2" t="s">
        <v>45</v>
      </c>
      <c r="D474" s="2" t="s">
        <v>46</v>
      </c>
      <c r="E474">
        <v>1885</v>
      </c>
      <c r="F474" t="b">
        <v>0</v>
      </c>
      <c r="G474" s="2" t="s">
        <v>40</v>
      </c>
      <c r="H474" s="2" t="s">
        <v>41</v>
      </c>
      <c r="I474" s="2" t="s">
        <v>59</v>
      </c>
      <c r="J474" s="2" t="s">
        <v>43</v>
      </c>
      <c r="K474">
        <v>1</v>
      </c>
      <c r="L474" s="2" t="s">
        <v>27</v>
      </c>
      <c r="M474" s="2" t="s">
        <v>28</v>
      </c>
      <c r="N474" t="b">
        <v>0</v>
      </c>
      <c r="O474">
        <v>57</v>
      </c>
      <c r="P474" s="2" t="s">
        <v>63</v>
      </c>
      <c r="Q474">
        <v>2</v>
      </c>
      <c r="R474">
        <v>3</v>
      </c>
      <c r="S474">
        <v>2752</v>
      </c>
      <c r="T474" s="2" t="s">
        <v>51</v>
      </c>
    </row>
    <row r="475" spans="1:20" x14ac:dyDescent="0.3">
      <c r="A475" s="1">
        <v>45477</v>
      </c>
      <c r="B475" s="2" t="s">
        <v>39</v>
      </c>
      <c r="C475" s="2" t="s">
        <v>32</v>
      </c>
      <c r="D475" s="2" t="s">
        <v>53</v>
      </c>
      <c r="E475">
        <v>3584</v>
      </c>
      <c r="F475" t="b">
        <v>0</v>
      </c>
      <c r="G475" s="2" t="s">
        <v>64</v>
      </c>
      <c r="H475" s="2" t="s">
        <v>24</v>
      </c>
      <c r="I475" s="2" t="s">
        <v>47</v>
      </c>
      <c r="J475" s="2" t="s">
        <v>54</v>
      </c>
      <c r="K475">
        <v>4</v>
      </c>
      <c r="L475" s="2" t="s">
        <v>36</v>
      </c>
      <c r="M475" s="2" t="s">
        <v>73</v>
      </c>
      <c r="N475" t="b">
        <v>0</v>
      </c>
      <c r="O475">
        <v>104</v>
      </c>
      <c r="P475" s="2" t="s">
        <v>37</v>
      </c>
      <c r="Q475">
        <v>10</v>
      </c>
      <c r="R475">
        <v>1</v>
      </c>
      <c r="S475">
        <v>838</v>
      </c>
      <c r="T475" s="2" t="s">
        <v>51</v>
      </c>
    </row>
    <row r="476" spans="1:20" x14ac:dyDescent="0.3">
      <c r="A476" s="1">
        <v>45478</v>
      </c>
      <c r="B476" s="2" t="s">
        <v>52</v>
      </c>
      <c r="C476" s="2" t="s">
        <v>56</v>
      </c>
      <c r="D476" s="2" t="s">
        <v>57</v>
      </c>
      <c r="E476">
        <v>1000</v>
      </c>
      <c r="F476" t="b">
        <v>0</v>
      </c>
      <c r="G476" s="2" t="s">
        <v>64</v>
      </c>
      <c r="H476" s="2" t="s">
        <v>24</v>
      </c>
      <c r="I476" s="2" t="s">
        <v>42</v>
      </c>
      <c r="J476" s="2" t="s">
        <v>26</v>
      </c>
      <c r="K476">
        <v>2</v>
      </c>
      <c r="L476" s="2" t="s">
        <v>27</v>
      </c>
      <c r="M476" s="2" t="s">
        <v>66</v>
      </c>
      <c r="N476" t="b">
        <v>1</v>
      </c>
      <c r="O476">
        <v>70</v>
      </c>
      <c r="P476" s="2" t="s">
        <v>67</v>
      </c>
      <c r="Q476">
        <v>10</v>
      </c>
      <c r="R476">
        <v>1</v>
      </c>
      <c r="S476">
        <v>3087</v>
      </c>
      <c r="T476" s="2" t="s">
        <v>38</v>
      </c>
    </row>
    <row r="477" spans="1:20" x14ac:dyDescent="0.3">
      <c r="A477" s="1">
        <v>45479</v>
      </c>
      <c r="B477" s="2" t="s">
        <v>52</v>
      </c>
      <c r="C477" s="2" t="s">
        <v>56</v>
      </c>
      <c r="D477" s="2" t="s">
        <v>33</v>
      </c>
      <c r="E477">
        <v>3725</v>
      </c>
      <c r="F477" t="b">
        <v>1</v>
      </c>
      <c r="G477" s="2" t="s">
        <v>64</v>
      </c>
      <c r="H477" s="2" t="s">
        <v>24</v>
      </c>
      <c r="I477" s="2" t="s">
        <v>42</v>
      </c>
      <c r="J477" s="2" t="s">
        <v>54</v>
      </c>
      <c r="K477">
        <v>1</v>
      </c>
      <c r="L477" s="2" t="s">
        <v>49</v>
      </c>
      <c r="M477" s="2" t="s">
        <v>28</v>
      </c>
      <c r="N477" t="b">
        <v>0</v>
      </c>
      <c r="O477">
        <v>31</v>
      </c>
      <c r="P477" s="2" t="s">
        <v>29</v>
      </c>
      <c r="Q477">
        <v>7</v>
      </c>
      <c r="R477">
        <v>1</v>
      </c>
      <c r="S477">
        <v>1819</v>
      </c>
      <c r="T477" s="2" t="s">
        <v>30</v>
      </c>
    </row>
    <row r="478" spans="1:20" x14ac:dyDescent="0.3">
      <c r="A478" s="1">
        <v>45479</v>
      </c>
      <c r="B478" s="2" t="s">
        <v>44</v>
      </c>
      <c r="C478" s="2" t="s">
        <v>21</v>
      </c>
      <c r="D478" s="2" t="s">
        <v>46</v>
      </c>
      <c r="E478">
        <v>4076</v>
      </c>
      <c r="F478" t="b">
        <v>0</v>
      </c>
      <c r="G478" s="2" t="s">
        <v>34</v>
      </c>
      <c r="H478" s="2" t="s">
        <v>70</v>
      </c>
      <c r="I478" s="2" t="s">
        <v>42</v>
      </c>
      <c r="J478" s="2" t="s">
        <v>54</v>
      </c>
      <c r="K478">
        <v>1</v>
      </c>
      <c r="L478" s="2" t="s">
        <v>27</v>
      </c>
      <c r="M478" s="2" t="s">
        <v>66</v>
      </c>
      <c r="N478" t="b">
        <v>0</v>
      </c>
      <c r="O478">
        <v>5</v>
      </c>
      <c r="P478" s="2" t="s">
        <v>29</v>
      </c>
      <c r="Q478">
        <v>8</v>
      </c>
      <c r="R478">
        <v>2</v>
      </c>
      <c r="S478">
        <v>4100</v>
      </c>
      <c r="T478" s="2" t="s">
        <v>51</v>
      </c>
    </row>
    <row r="479" spans="1:20" x14ac:dyDescent="0.3">
      <c r="A479" s="1">
        <v>45479</v>
      </c>
      <c r="B479" s="2" t="s">
        <v>75</v>
      </c>
      <c r="C479" s="2" t="s">
        <v>45</v>
      </c>
      <c r="D479" s="2" t="s">
        <v>53</v>
      </c>
      <c r="E479">
        <v>4915</v>
      </c>
      <c r="F479" t="b">
        <v>0</v>
      </c>
      <c r="G479" s="2" t="s">
        <v>34</v>
      </c>
      <c r="H479" s="2" t="s">
        <v>41</v>
      </c>
      <c r="I479" s="2" t="s">
        <v>47</v>
      </c>
      <c r="J479" s="2" t="s">
        <v>54</v>
      </c>
      <c r="K479">
        <v>3</v>
      </c>
      <c r="L479" s="2" t="s">
        <v>27</v>
      </c>
      <c r="M479" s="2" t="s">
        <v>66</v>
      </c>
      <c r="N479" t="b">
        <v>0</v>
      </c>
      <c r="O479">
        <v>7</v>
      </c>
      <c r="P479" s="2" t="s">
        <v>63</v>
      </c>
      <c r="Q479">
        <v>1</v>
      </c>
      <c r="R479">
        <v>2</v>
      </c>
      <c r="S479">
        <v>3719</v>
      </c>
      <c r="T479" s="2" t="s">
        <v>51</v>
      </c>
    </row>
    <row r="480" spans="1:20" x14ac:dyDescent="0.3">
      <c r="A480" s="1">
        <v>45480</v>
      </c>
      <c r="B480" s="2" t="s">
        <v>77</v>
      </c>
      <c r="C480" s="2" t="s">
        <v>45</v>
      </c>
      <c r="D480" s="2" t="s">
        <v>53</v>
      </c>
      <c r="E480">
        <v>2274</v>
      </c>
      <c r="F480" t="b">
        <v>1</v>
      </c>
      <c r="G480" s="2" t="s">
        <v>23</v>
      </c>
      <c r="H480" s="2" t="s">
        <v>35</v>
      </c>
      <c r="I480" s="2" t="s">
        <v>25</v>
      </c>
      <c r="J480" s="2" t="s">
        <v>43</v>
      </c>
      <c r="K480">
        <v>3</v>
      </c>
      <c r="L480" s="2" t="s">
        <v>49</v>
      </c>
      <c r="M480" s="2" t="s">
        <v>58</v>
      </c>
      <c r="N480" t="b">
        <v>1</v>
      </c>
      <c r="O480">
        <v>36</v>
      </c>
      <c r="P480" s="2" t="s">
        <v>67</v>
      </c>
      <c r="Q480">
        <v>10</v>
      </c>
      <c r="R480">
        <v>3</v>
      </c>
      <c r="S480">
        <v>4605</v>
      </c>
      <c r="T480" s="2" t="s">
        <v>38</v>
      </c>
    </row>
    <row r="481" spans="1:20" x14ac:dyDescent="0.3">
      <c r="A481" s="1">
        <v>45480</v>
      </c>
      <c r="B481" s="2" t="s">
        <v>75</v>
      </c>
      <c r="C481" s="2" t="s">
        <v>21</v>
      </c>
      <c r="D481" s="2" t="s">
        <v>22</v>
      </c>
      <c r="E481">
        <v>6606</v>
      </c>
      <c r="F481" t="b">
        <v>0</v>
      </c>
      <c r="G481" s="2" t="s">
        <v>34</v>
      </c>
      <c r="H481" s="2" t="s">
        <v>70</v>
      </c>
      <c r="I481" s="2" t="s">
        <v>59</v>
      </c>
      <c r="J481" s="2" t="s">
        <v>54</v>
      </c>
      <c r="K481">
        <v>0</v>
      </c>
      <c r="L481" s="2" t="s">
        <v>27</v>
      </c>
      <c r="M481" s="2" t="s">
        <v>58</v>
      </c>
      <c r="N481" t="b">
        <v>0</v>
      </c>
      <c r="O481">
        <v>13</v>
      </c>
      <c r="P481" s="2" t="s">
        <v>67</v>
      </c>
      <c r="Q481">
        <v>10</v>
      </c>
      <c r="R481">
        <v>1</v>
      </c>
      <c r="S481">
        <v>764</v>
      </c>
      <c r="T481" s="2" t="s">
        <v>51</v>
      </c>
    </row>
    <row r="482" spans="1:20" x14ac:dyDescent="0.3">
      <c r="A482" s="1">
        <v>45480</v>
      </c>
      <c r="B482" s="2" t="s">
        <v>55</v>
      </c>
      <c r="C482" s="2" t="s">
        <v>32</v>
      </c>
      <c r="D482" s="2" t="s">
        <v>46</v>
      </c>
      <c r="E482">
        <v>4085</v>
      </c>
      <c r="F482" t="b">
        <v>1</v>
      </c>
      <c r="G482" s="2" t="s">
        <v>64</v>
      </c>
      <c r="H482" s="2" t="s">
        <v>24</v>
      </c>
      <c r="I482" s="2" t="s">
        <v>42</v>
      </c>
      <c r="J482" s="2" t="s">
        <v>54</v>
      </c>
      <c r="K482">
        <v>5</v>
      </c>
      <c r="L482" s="2" t="s">
        <v>27</v>
      </c>
      <c r="M482" s="2" t="s">
        <v>73</v>
      </c>
      <c r="N482" t="b">
        <v>1</v>
      </c>
      <c r="O482">
        <v>101</v>
      </c>
      <c r="P482" s="2" t="s">
        <v>67</v>
      </c>
      <c r="Q482">
        <v>2</v>
      </c>
      <c r="R482">
        <v>1</v>
      </c>
      <c r="S482">
        <v>830</v>
      </c>
      <c r="T482" s="2" t="s">
        <v>38</v>
      </c>
    </row>
    <row r="483" spans="1:20" x14ac:dyDescent="0.3">
      <c r="A483" s="1">
        <v>45481</v>
      </c>
      <c r="B483" s="2" t="s">
        <v>69</v>
      </c>
      <c r="C483" s="2" t="s">
        <v>21</v>
      </c>
      <c r="D483" s="2" t="s">
        <v>53</v>
      </c>
      <c r="E483">
        <v>5378</v>
      </c>
      <c r="F483" t="b">
        <v>0</v>
      </c>
      <c r="G483" s="2" t="s">
        <v>40</v>
      </c>
      <c r="H483" s="2" t="s">
        <v>41</v>
      </c>
      <c r="I483" s="2" t="s">
        <v>47</v>
      </c>
      <c r="J483" s="2" t="s">
        <v>54</v>
      </c>
      <c r="K483">
        <v>3</v>
      </c>
      <c r="L483" s="2" t="s">
        <v>36</v>
      </c>
      <c r="M483" s="2" t="s">
        <v>58</v>
      </c>
      <c r="N483" t="b">
        <v>1</v>
      </c>
      <c r="O483">
        <v>24</v>
      </c>
      <c r="P483" s="2" t="s">
        <v>50</v>
      </c>
      <c r="Q483">
        <v>4</v>
      </c>
      <c r="R483">
        <v>1</v>
      </c>
      <c r="S483">
        <v>3865</v>
      </c>
      <c r="T483" s="2" t="s">
        <v>38</v>
      </c>
    </row>
    <row r="484" spans="1:20" x14ac:dyDescent="0.3">
      <c r="A484" s="1">
        <v>45481</v>
      </c>
      <c r="B484" s="2" t="s">
        <v>75</v>
      </c>
      <c r="C484" s="2" t="s">
        <v>56</v>
      </c>
      <c r="D484" s="2" t="s">
        <v>57</v>
      </c>
      <c r="E484">
        <v>1000</v>
      </c>
      <c r="F484" t="b">
        <v>0</v>
      </c>
      <c r="G484" s="2" t="s">
        <v>34</v>
      </c>
      <c r="H484" s="2" t="s">
        <v>41</v>
      </c>
      <c r="I484" s="2" t="s">
        <v>59</v>
      </c>
      <c r="J484" s="2" t="s">
        <v>54</v>
      </c>
      <c r="K484">
        <v>4</v>
      </c>
      <c r="L484" s="2" t="s">
        <v>49</v>
      </c>
      <c r="M484" s="2" t="s">
        <v>73</v>
      </c>
      <c r="N484" t="b">
        <v>1</v>
      </c>
      <c r="O484">
        <v>42</v>
      </c>
      <c r="P484" s="2" t="s">
        <v>67</v>
      </c>
      <c r="Q484">
        <v>6</v>
      </c>
      <c r="R484">
        <v>3</v>
      </c>
      <c r="S484">
        <v>564</v>
      </c>
      <c r="T484" s="2" t="s">
        <v>38</v>
      </c>
    </row>
    <row r="485" spans="1:20" x14ac:dyDescent="0.3">
      <c r="A485" s="1">
        <v>45482</v>
      </c>
      <c r="B485" s="2" t="s">
        <v>44</v>
      </c>
      <c r="C485" s="2" t="s">
        <v>45</v>
      </c>
      <c r="D485" s="2" t="s">
        <v>53</v>
      </c>
      <c r="E485">
        <v>2722</v>
      </c>
      <c r="F485" t="b">
        <v>0</v>
      </c>
      <c r="G485" s="2" t="s">
        <v>40</v>
      </c>
      <c r="H485" s="2" t="s">
        <v>35</v>
      </c>
      <c r="I485" s="2" t="s">
        <v>47</v>
      </c>
      <c r="J485" s="2" t="s">
        <v>54</v>
      </c>
      <c r="K485">
        <v>2</v>
      </c>
      <c r="L485" s="2" t="s">
        <v>49</v>
      </c>
      <c r="M485" s="2" t="s">
        <v>66</v>
      </c>
      <c r="N485" t="b">
        <v>0</v>
      </c>
      <c r="O485">
        <v>18</v>
      </c>
      <c r="P485" s="2" t="s">
        <v>67</v>
      </c>
      <c r="Q485">
        <v>5</v>
      </c>
      <c r="R485">
        <v>1</v>
      </c>
      <c r="S485">
        <v>2004</v>
      </c>
      <c r="T485" s="2" t="s">
        <v>30</v>
      </c>
    </row>
    <row r="486" spans="1:20" x14ac:dyDescent="0.3">
      <c r="A486" s="1">
        <v>45482</v>
      </c>
      <c r="B486" s="2" t="s">
        <v>39</v>
      </c>
      <c r="C486" s="2" t="s">
        <v>32</v>
      </c>
      <c r="D486" s="2" t="s">
        <v>57</v>
      </c>
      <c r="E486">
        <v>1000</v>
      </c>
      <c r="F486" t="b">
        <v>0</v>
      </c>
      <c r="G486" s="2" t="s">
        <v>64</v>
      </c>
      <c r="H486" s="2" t="s">
        <v>70</v>
      </c>
      <c r="I486" s="2" t="s">
        <v>42</v>
      </c>
      <c r="J486" s="2" t="s">
        <v>54</v>
      </c>
      <c r="K486">
        <v>0</v>
      </c>
      <c r="L486" s="2" t="s">
        <v>49</v>
      </c>
      <c r="M486" s="2" t="s">
        <v>66</v>
      </c>
      <c r="N486" t="b">
        <v>0</v>
      </c>
      <c r="O486">
        <v>105</v>
      </c>
      <c r="P486" s="2" t="s">
        <v>63</v>
      </c>
      <c r="Q486">
        <v>4</v>
      </c>
      <c r="R486">
        <v>2</v>
      </c>
      <c r="S486">
        <v>1557</v>
      </c>
      <c r="T486" s="2" t="s">
        <v>30</v>
      </c>
    </row>
    <row r="487" spans="1:20" x14ac:dyDescent="0.3">
      <c r="A487" s="1">
        <v>45482</v>
      </c>
      <c r="B487" s="2" t="s">
        <v>74</v>
      </c>
      <c r="C487" s="2" t="s">
        <v>32</v>
      </c>
      <c r="D487" s="2" t="s">
        <v>22</v>
      </c>
      <c r="E487">
        <v>9345</v>
      </c>
      <c r="F487" t="b">
        <v>1</v>
      </c>
      <c r="G487" s="2" t="s">
        <v>65</v>
      </c>
      <c r="H487" s="2" t="s">
        <v>24</v>
      </c>
      <c r="I487" s="2" t="s">
        <v>47</v>
      </c>
      <c r="J487" s="2" t="s">
        <v>54</v>
      </c>
      <c r="K487">
        <v>4</v>
      </c>
      <c r="L487" s="2" t="s">
        <v>49</v>
      </c>
      <c r="M487" s="2" t="s">
        <v>73</v>
      </c>
      <c r="N487" t="b">
        <v>0</v>
      </c>
      <c r="O487">
        <v>18</v>
      </c>
      <c r="P487" s="2" t="s">
        <v>63</v>
      </c>
      <c r="Q487">
        <v>3</v>
      </c>
      <c r="R487">
        <v>3</v>
      </c>
      <c r="S487">
        <v>3125</v>
      </c>
      <c r="T487" s="2" t="s">
        <v>51</v>
      </c>
    </row>
    <row r="488" spans="1:20" x14ac:dyDescent="0.3">
      <c r="A488" s="1">
        <v>45483</v>
      </c>
      <c r="B488" s="2" t="s">
        <v>39</v>
      </c>
      <c r="C488" s="2" t="s">
        <v>45</v>
      </c>
      <c r="D488" s="2" t="s">
        <v>22</v>
      </c>
      <c r="E488">
        <v>5562</v>
      </c>
      <c r="F488" t="b">
        <v>0</v>
      </c>
      <c r="G488" s="2" t="s">
        <v>64</v>
      </c>
      <c r="H488" s="2" t="s">
        <v>35</v>
      </c>
      <c r="I488" s="2" t="s">
        <v>59</v>
      </c>
      <c r="J488" s="2" t="s">
        <v>26</v>
      </c>
      <c r="K488">
        <v>4</v>
      </c>
      <c r="L488" s="2" t="s">
        <v>36</v>
      </c>
      <c r="M488" s="2" t="s">
        <v>66</v>
      </c>
      <c r="N488" t="b">
        <v>0</v>
      </c>
      <c r="O488">
        <v>77</v>
      </c>
      <c r="P488" s="2" t="s">
        <v>37</v>
      </c>
      <c r="Q488">
        <v>2</v>
      </c>
      <c r="R488">
        <v>1</v>
      </c>
      <c r="S488">
        <v>2046</v>
      </c>
      <c r="T488" s="2" t="s">
        <v>38</v>
      </c>
    </row>
    <row r="489" spans="1:20" x14ac:dyDescent="0.3">
      <c r="A489" s="1">
        <v>45483</v>
      </c>
      <c r="B489" s="2" t="s">
        <v>52</v>
      </c>
      <c r="C489" s="2" t="s">
        <v>21</v>
      </c>
      <c r="D489" s="2" t="s">
        <v>22</v>
      </c>
      <c r="E489">
        <v>9264</v>
      </c>
      <c r="F489" t="b">
        <v>1</v>
      </c>
      <c r="G489" s="2" t="s">
        <v>34</v>
      </c>
      <c r="H489" s="2" t="s">
        <v>24</v>
      </c>
      <c r="I489" s="2" t="s">
        <v>47</v>
      </c>
      <c r="J489" s="2" t="s">
        <v>26</v>
      </c>
      <c r="K489">
        <v>5</v>
      </c>
      <c r="L489" s="2" t="s">
        <v>49</v>
      </c>
      <c r="M489" s="2" t="s">
        <v>73</v>
      </c>
      <c r="N489" t="b">
        <v>0</v>
      </c>
      <c r="O489">
        <v>111</v>
      </c>
      <c r="P489" s="2" t="s">
        <v>29</v>
      </c>
      <c r="Q489">
        <v>3</v>
      </c>
      <c r="R489">
        <v>1</v>
      </c>
      <c r="S489">
        <v>1740</v>
      </c>
      <c r="T489" s="2" t="s">
        <v>51</v>
      </c>
    </row>
    <row r="490" spans="1:20" x14ac:dyDescent="0.3">
      <c r="A490" s="1">
        <v>45483</v>
      </c>
      <c r="B490" s="2" t="s">
        <v>76</v>
      </c>
      <c r="C490" s="2" t="s">
        <v>32</v>
      </c>
      <c r="D490" s="2" t="s">
        <v>22</v>
      </c>
      <c r="E490">
        <v>9857</v>
      </c>
      <c r="F490" t="b">
        <v>0</v>
      </c>
      <c r="G490" s="2" t="s">
        <v>23</v>
      </c>
      <c r="H490" s="2" t="s">
        <v>35</v>
      </c>
      <c r="I490" s="2" t="s">
        <v>25</v>
      </c>
      <c r="J490" s="2" t="s">
        <v>48</v>
      </c>
      <c r="K490">
        <v>5</v>
      </c>
      <c r="L490" s="2" t="s">
        <v>36</v>
      </c>
      <c r="M490" s="2" t="s">
        <v>66</v>
      </c>
      <c r="N490" t="b">
        <v>1</v>
      </c>
      <c r="O490">
        <v>83</v>
      </c>
      <c r="P490" s="2" t="s">
        <v>29</v>
      </c>
      <c r="Q490">
        <v>10</v>
      </c>
      <c r="R490">
        <v>2</v>
      </c>
      <c r="S490">
        <v>977</v>
      </c>
      <c r="T490" s="2" t="s">
        <v>51</v>
      </c>
    </row>
    <row r="491" spans="1:20" x14ac:dyDescent="0.3">
      <c r="A491" s="1">
        <v>45484</v>
      </c>
      <c r="B491" s="2" t="s">
        <v>44</v>
      </c>
      <c r="C491" s="2" t="s">
        <v>60</v>
      </c>
      <c r="D491" s="2" t="s">
        <v>61</v>
      </c>
      <c r="E491">
        <v>1000</v>
      </c>
      <c r="F491" t="b">
        <v>1</v>
      </c>
      <c r="G491" s="2" t="s">
        <v>40</v>
      </c>
      <c r="H491" s="2" t="s">
        <v>41</v>
      </c>
      <c r="I491" s="2" t="s">
        <v>59</v>
      </c>
      <c r="J491" s="2" t="s">
        <v>48</v>
      </c>
      <c r="K491">
        <v>1</v>
      </c>
      <c r="L491" s="2" t="s">
        <v>49</v>
      </c>
      <c r="M491" s="2" t="s">
        <v>28</v>
      </c>
      <c r="N491" t="b">
        <v>0</v>
      </c>
      <c r="O491">
        <v>31</v>
      </c>
      <c r="P491" s="2" t="s">
        <v>37</v>
      </c>
      <c r="Q491">
        <v>2</v>
      </c>
      <c r="R491">
        <v>2</v>
      </c>
      <c r="S491">
        <v>2737</v>
      </c>
      <c r="T491" s="2" t="s">
        <v>38</v>
      </c>
    </row>
    <row r="492" spans="1:20" x14ac:dyDescent="0.3">
      <c r="A492" s="1">
        <v>45484</v>
      </c>
      <c r="B492" s="2" t="s">
        <v>77</v>
      </c>
      <c r="C492" s="2" t="s">
        <v>32</v>
      </c>
      <c r="D492" s="2" t="s">
        <v>57</v>
      </c>
      <c r="E492">
        <v>1000</v>
      </c>
      <c r="F492" t="b">
        <v>1</v>
      </c>
      <c r="G492" s="2" t="s">
        <v>23</v>
      </c>
      <c r="H492" s="2" t="s">
        <v>70</v>
      </c>
      <c r="I492" s="2" t="s">
        <v>42</v>
      </c>
      <c r="J492" s="2" t="s">
        <v>26</v>
      </c>
      <c r="K492">
        <v>5</v>
      </c>
      <c r="L492" s="2" t="s">
        <v>27</v>
      </c>
      <c r="M492" s="2" t="s">
        <v>73</v>
      </c>
      <c r="N492" t="b">
        <v>1</v>
      </c>
      <c r="O492">
        <v>71</v>
      </c>
      <c r="P492" s="2" t="s">
        <v>63</v>
      </c>
      <c r="Q492">
        <v>2</v>
      </c>
      <c r="R492">
        <v>1</v>
      </c>
      <c r="S492">
        <v>637</v>
      </c>
      <c r="T492" s="2" t="s">
        <v>30</v>
      </c>
    </row>
    <row r="493" spans="1:20" x14ac:dyDescent="0.3">
      <c r="A493" s="1">
        <v>45484</v>
      </c>
      <c r="B493" s="2" t="s">
        <v>75</v>
      </c>
      <c r="C493" s="2" t="s">
        <v>32</v>
      </c>
      <c r="D493" s="2" t="s">
        <v>57</v>
      </c>
      <c r="E493">
        <v>1000</v>
      </c>
      <c r="F493" t="b">
        <v>0</v>
      </c>
      <c r="G493" s="2" t="s">
        <v>65</v>
      </c>
      <c r="H493" s="2" t="s">
        <v>41</v>
      </c>
      <c r="I493" s="2" t="s">
        <v>47</v>
      </c>
      <c r="J493" s="2" t="s">
        <v>54</v>
      </c>
      <c r="K493">
        <v>1</v>
      </c>
      <c r="L493" s="2" t="s">
        <v>36</v>
      </c>
      <c r="M493" s="2" t="s">
        <v>73</v>
      </c>
      <c r="N493" t="b">
        <v>1</v>
      </c>
      <c r="O493">
        <v>116</v>
      </c>
      <c r="P493" s="2" t="s">
        <v>37</v>
      </c>
      <c r="Q493">
        <v>6</v>
      </c>
      <c r="R493">
        <v>3</v>
      </c>
      <c r="S493">
        <v>3416</v>
      </c>
      <c r="T493" s="2" t="s">
        <v>30</v>
      </c>
    </row>
    <row r="494" spans="1:20" x14ac:dyDescent="0.3">
      <c r="A494" s="1">
        <v>45484</v>
      </c>
      <c r="B494" s="2" t="s">
        <v>31</v>
      </c>
      <c r="C494" s="2" t="s">
        <v>32</v>
      </c>
      <c r="D494" s="2" t="s">
        <v>46</v>
      </c>
      <c r="E494">
        <v>1471</v>
      </c>
      <c r="F494" t="b">
        <v>0</v>
      </c>
      <c r="G494" s="2" t="s">
        <v>64</v>
      </c>
      <c r="H494" s="2" t="s">
        <v>41</v>
      </c>
      <c r="I494" s="2" t="s">
        <v>47</v>
      </c>
      <c r="J494" s="2" t="s">
        <v>54</v>
      </c>
      <c r="K494">
        <v>3</v>
      </c>
      <c r="L494" s="2" t="s">
        <v>49</v>
      </c>
      <c r="M494" s="2" t="s">
        <v>66</v>
      </c>
      <c r="N494" t="b">
        <v>0</v>
      </c>
      <c r="O494">
        <v>5</v>
      </c>
      <c r="P494" s="2" t="s">
        <v>37</v>
      </c>
      <c r="Q494">
        <v>3</v>
      </c>
      <c r="R494">
        <v>1</v>
      </c>
      <c r="S494">
        <v>876</v>
      </c>
      <c r="T494" s="2" t="s">
        <v>30</v>
      </c>
    </row>
    <row r="495" spans="1:20" x14ac:dyDescent="0.3">
      <c r="A495" s="1">
        <v>45485</v>
      </c>
      <c r="B495" s="2" t="s">
        <v>68</v>
      </c>
      <c r="C495" s="2" t="s">
        <v>32</v>
      </c>
      <c r="D495" s="2" t="s">
        <v>46</v>
      </c>
      <c r="E495">
        <v>3483</v>
      </c>
      <c r="F495" t="b">
        <v>1</v>
      </c>
      <c r="G495" s="2" t="s">
        <v>64</v>
      </c>
      <c r="H495" s="2" t="s">
        <v>24</v>
      </c>
      <c r="I495" s="2" t="s">
        <v>42</v>
      </c>
      <c r="J495" s="2" t="s">
        <v>43</v>
      </c>
      <c r="K495">
        <v>4</v>
      </c>
      <c r="L495" s="2" t="s">
        <v>36</v>
      </c>
      <c r="M495" s="2" t="s">
        <v>28</v>
      </c>
      <c r="N495" t="b">
        <v>0</v>
      </c>
      <c r="O495">
        <v>7</v>
      </c>
      <c r="P495" s="2" t="s">
        <v>37</v>
      </c>
      <c r="Q495">
        <v>1</v>
      </c>
      <c r="R495">
        <v>2</v>
      </c>
      <c r="S495">
        <v>716</v>
      </c>
      <c r="T495" s="2" t="s">
        <v>38</v>
      </c>
    </row>
    <row r="496" spans="1:20" x14ac:dyDescent="0.3">
      <c r="A496" s="1">
        <v>45486</v>
      </c>
      <c r="B496" s="2" t="s">
        <v>77</v>
      </c>
      <c r="C496" s="2" t="s">
        <v>45</v>
      </c>
      <c r="D496" s="2" t="s">
        <v>33</v>
      </c>
      <c r="E496">
        <v>3910</v>
      </c>
      <c r="F496" t="b">
        <v>1</v>
      </c>
      <c r="G496" s="2" t="s">
        <v>34</v>
      </c>
      <c r="H496" s="2" t="s">
        <v>35</v>
      </c>
      <c r="I496" s="2" t="s">
        <v>42</v>
      </c>
      <c r="J496" s="2" t="s">
        <v>48</v>
      </c>
      <c r="K496">
        <v>2</v>
      </c>
      <c r="L496" s="2" t="s">
        <v>49</v>
      </c>
      <c r="M496" s="2" t="s">
        <v>28</v>
      </c>
      <c r="N496" t="b">
        <v>1</v>
      </c>
      <c r="O496">
        <v>27</v>
      </c>
      <c r="P496" s="2" t="s">
        <v>67</v>
      </c>
      <c r="Q496">
        <v>2</v>
      </c>
      <c r="R496">
        <v>2</v>
      </c>
      <c r="S496">
        <v>4390</v>
      </c>
      <c r="T496" s="2" t="s">
        <v>30</v>
      </c>
    </row>
    <row r="497" spans="1:20" x14ac:dyDescent="0.3">
      <c r="A497" s="1">
        <v>45486</v>
      </c>
      <c r="B497" s="2" t="s">
        <v>75</v>
      </c>
      <c r="C497" s="2" t="s">
        <v>21</v>
      </c>
      <c r="D497" s="2" t="s">
        <v>57</v>
      </c>
      <c r="E497">
        <v>1000</v>
      </c>
      <c r="F497" t="b">
        <v>0</v>
      </c>
      <c r="G497" s="2" t="s">
        <v>34</v>
      </c>
      <c r="H497" s="2" t="s">
        <v>35</v>
      </c>
      <c r="I497" s="2" t="s">
        <v>42</v>
      </c>
      <c r="J497" s="2" t="s">
        <v>48</v>
      </c>
      <c r="K497">
        <v>5</v>
      </c>
      <c r="L497" s="2" t="s">
        <v>49</v>
      </c>
      <c r="M497" s="2" t="s">
        <v>66</v>
      </c>
      <c r="N497" t="b">
        <v>1</v>
      </c>
      <c r="O497">
        <v>71</v>
      </c>
      <c r="P497" s="2" t="s">
        <v>50</v>
      </c>
      <c r="Q497">
        <v>1</v>
      </c>
      <c r="R497">
        <v>3</v>
      </c>
      <c r="S497">
        <v>4511</v>
      </c>
      <c r="T497" s="2" t="s">
        <v>30</v>
      </c>
    </row>
    <row r="498" spans="1:20" x14ac:dyDescent="0.3">
      <c r="A498" s="1">
        <v>45486</v>
      </c>
      <c r="B498" s="2" t="s">
        <v>74</v>
      </c>
      <c r="C498" s="2" t="s">
        <v>56</v>
      </c>
      <c r="D498" s="2" t="s">
        <v>53</v>
      </c>
      <c r="E498">
        <v>4627</v>
      </c>
      <c r="F498" t="b">
        <v>0</v>
      </c>
      <c r="G498" s="2" t="s">
        <v>65</v>
      </c>
      <c r="H498" s="2" t="s">
        <v>70</v>
      </c>
      <c r="I498" s="2" t="s">
        <v>59</v>
      </c>
      <c r="J498" s="2" t="s">
        <v>48</v>
      </c>
      <c r="K498">
        <v>5</v>
      </c>
      <c r="L498" s="2" t="s">
        <v>27</v>
      </c>
      <c r="M498" s="2" t="s">
        <v>58</v>
      </c>
      <c r="N498" t="b">
        <v>1</v>
      </c>
      <c r="O498">
        <v>29</v>
      </c>
      <c r="P498" s="2" t="s">
        <v>37</v>
      </c>
      <c r="Q498">
        <v>5</v>
      </c>
      <c r="R498">
        <v>2</v>
      </c>
      <c r="S498">
        <v>3367</v>
      </c>
      <c r="T498" s="2" t="s">
        <v>38</v>
      </c>
    </row>
    <row r="499" spans="1:20" x14ac:dyDescent="0.3">
      <c r="A499" s="1">
        <v>45487</v>
      </c>
      <c r="B499" s="2" t="s">
        <v>39</v>
      </c>
      <c r="C499" s="2" t="s">
        <v>45</v>
      </c>
      <c r="D499" s="2" t="s">
        <v>22</v>
      </c>
      <c r="E499">
        <v>9744</v>
      </c>
      <c r="F499" t="b">
        <v>0</v>
      </c>
      <c r="G499" s="2" t="s">
        <v>23</v>
      </c>
      <c r="H499" s="2" t="s">
        <v>24</v>
      </c>
      <c r="I499" s="2" t="s">
        <v>59</v>
      </c>
      <c r="J499" s="2" t="s">
        <v>48</v>
      </c>
      <c r="K499">
        <v>5</v>
      </c>
      <c r="L499" s="2" t="s">
        <v>36</v>
      </c>
      <c r="M499" s="2" t="s">
        <v>66</v>
      </c>
      <c r="N499" t="b">
        <v>0</v>
      </c>
      <c r="O499">
        <v>115</v>
      </c>
      <c r="P499" s="2" t="s">
        <v>67</v>
      </c>
      <c r="Q499">
        <v>9</v>
      </c>
      <c r="R499">
        <v>1</v>
      </c>
      <c r="S499">
        <v>2739</v>
      </c>
      <c r="T499" s="2" t="s">
        <v>30</v>
      </c>
    </row>
    <row r="500" spans="1:20" x14ac:dyDescent="0.3">
      <c r="A500" s="1">
        <v>45488</v>
      </c>
      <c r="B500" s="2" t="s">
        <v>39</v>
      </c>
      <c r="C500" s="2" t="s">
        <v>60</v>
      </c>
      <c r="D500" s="2" t="s">
        <v>22</v>
      </c>
      <c r="E500">
        <v>9051</v>
      </c>
      <c r="F500" t="b">
        <v>0</v>
      </c>
      <c r="G500" s="2" t="s">
        <v>34</v>
      </c>
      <c r="H500" s="2" t="s">
        <v>41</v>
      </c>
      <c r="I500" s="2" t="s">
        <v>47</v>
      </c>
      <c r="J500" s="2" t="s">
        <v>48</v>
      </c>
      <c r="K500">
        <v>2</v>
      </c>
      <c r="L500" s="2" t="s">
        <v>49</v>
      </c>
      <c r="M500" s="2" t="s">
        <v>73</v>
      </c>
      <c r="N500" t="b">
        <v>0</v>
      </c>
      <c r="O500">
        <v>55</v>
      </c>
      <c r="P500" s="2" t="s">
        <v>50</v>
      </c>
      <c r="Q500">
        <v>9</v>
      </c>
      <c r="R500">
        <v>2</v>
      </c>
      <c r="S500">
        <v>4410</v>
      </c>
      <c r="T500" s="2" t="s">
        <v>51</v>
      </c>
    </row>
    <row r="501" spans="1:20" x14ac:dyDescent="0.3">
      <c r="A501" s="1">
        <v>45488</v>
      </c>
      <c r="B501" s="2" t="s">
        <v>62</v>
      </c>
      <c r="C501" s="2" t="s">
        <v>21</v>
      </c>
      <c r="D501" s="2" t="s">
        <v>46</v>
      </c>
      <c r="E501">
        <v>1247</v>
      </c>
      <c r="F501" t="b">
        <v>0</v>
      </c>
      <c r="G501" s="2" t="s">
        <v>34</v>
      </c>
      <c r="H501" s="2" t="s">
        <v>41</v>
      </c>
      <c r="I501" s="2" t="s">
        <v>47</v>
      </c>
      <c r="J501" s="2" t="s">
        <v>43</v>
      </c>
      <c r="K501">
        <v>3</v>
      </c>
      <c r="L501" s="2" t="s">
        <v>27</v>
      </c>
      <c r="M501" s="2" t="s">
        <v>73</v>
      </c>
      <c r="N501" t="b">
        <v>1</v>
      </c>
      <c r="O501">
        <v>6</v>
      </c>
      <c r="P501" s="2" t="s">
        <v>67</v>
      </c>
      <c r="Q501">
        <v>4</v>
      </c>
      <c r="R501">
        <v>2</v>
      </c>
      <c r="S501">
        <v>2385</v>
      </c>
      <c r="T501" s="2" t="s">
        <v>38</v>
      </c>
    </row>
    <row r="502" spans="1:20" x14ac:dyDescent="0.3">
      <c r="A502" s="1">
        <v>45488</v>
      </c>
      <c r="B502" s="2" t="s">
        <v>52</v>
      </c>
      <c r="C502" s="2" t="s">
        <v>32</v>
      </c>
      <c r="D502" s="2" t="s">
        <v>57</v>
      </c>
      <c r="E502">
        <v>1000</v>
      </c>
      <c r="F502" t="b">
        <v>1</v>
      </c>
      <c r="G502" s="2" t="s">
        <v>65</v>
      </c>
      <c r="H502" s="2" t="s">
        <v>24</v>
      </c>
      <c r="I502" s="2" t="s">
        <v>47</v>
      </c>
      <c r="J502" s="2" t="s">
        <v>43</v>
      </c>
      <c r="K502">
        <v>0</v>
      </c>
      <c r="L502" s="2" t="s">
        <v>36</v>
      </c>
      <c r="M502" s="2" t="s">
        <v>28</v>
      </c>
      <c r="N502" t="b">
        <v>0</v>
      </c>
      <c r="O502">
        <v>79</v>
      </c>
      <c r="P502" s="2" t="s">
        <v>67</v>
      </c>
      <c r="Q502">
        <v>3</v>
      </c>
      <c r="R502">
        <v>3</v>
      </c>
      <c r="S502">
        <v>1436</v>
      </c>
      <c r="T502" s="2" t="s">
        <v>38</v>
      </c>
    </row>
    <row r="503" spans="1:20" x14ac:dyDescent="0.3">
      <c r="A503" s="1">
        <v>45489</v>
      </c>
      <c r="B503" s="2" t="s">
        <v>68</v>
      </c>
      <c r="C503" s="2" t="s">
        <v>45</v>
      </c>
      <c r="D503" s="2" t="s">
        <v>33</v>
      </c>
      <c r="E503">
        <v>2307</v>
      </c>
      <c r="F503" t="b">
        <v>1</v>
      </c>
      <c r="G503" s="2" t="s">
        <v>40</v>
      </c>
      <c r="H503" s="2" t="s">
        <v>24</v>
      </c>
      <c r="I503" s="2" t="s">
        <v>59</v>
      </c>
      <c r="J503" s="2" t="s">
        <v>43</v>
      </c>
      <c r="K503">
        <v>1</v>
      </c>
      <c r="L503" s="2" t="s">
        <v>36</v>
      </c>
      <c r="M503" s="2" t="s">
        <v>66</v>
      </c>
      <c r="N503" t="b">
        <v>1</v>
      </c>
      <c r="O503">
        <v>75</v>
      </c>
      <c r="P503" s="2" t="s">
        <v>67</v>
      </c>
      <c r="Q503">
        <v>5</v>
      </c>
      <c r="R503">
        <v>1</v>
      </c>
      <c r="S503">
        <v>2446</v>
      </c>
      <c r="T503" s="2" t="s">
        <v>30</v>
      </c>
    </row>
    <row r="504" spans="1:20" x14ac:dyDescent="0.3">
      <c r="A504" s="1">
        <v>45489</v>
      </c>
      <c r="B504" s="2" t="s">
        <v>20</v>
      </c>
      <c r="C504" s="2" t="s">
        <v>56</v>
      </c>
      <c r="D504" s="2" t="s">
        <v>33</v>
      </c>
      <c r="E504">
        <v>1583</v>
      </c>
      <c r="F504" t="b">
        <v>1</v>
      </c>
      <c r="G504" s="2" t="s">
        <v>40</v>
      </c>
      <c r="H504" s="2" t="s">
        <v>70</v>
      </c>
      <c r="I504" s="2" t="s">
        <v>25</v>
      </c>
      <c r="J504" s="2" t="s">
        <v>43</v>
      </c>
      <c r="K504">
        <v>22</v>
      </c>
      <c r="L504" s="2" t="s">
        <v>49</v>
      </c>
      <c r="M504" s="2" t="s">
        <v>66</v>
      </c>
      <c r="N504" t="b">
        <v>0</v>
      </c>
      <c r="O504">
        <v>39</v>
      </c>
      <c r="P504" s="2" t="s">
        <v>67</v>
      </c>
      <c r="Q504">
        <v>7</v>
      </c>
      <c r="R504">
        <v>3</v>
      </c>
      <c r="S504">
        <v>908</v>
      </c>
      <c r="T504" s="2" t="s">
        <v>38</v>
      </c>
    </row>
    <row r="505" spans="1:20" x14ac:dyDescent="0.3">
      <c r="A505" s="1">
        <v>45490</v>
      </c>
      <c r="B505" s="2" t="s">
        <v>74</v>
      </c>
      <c r="C505" s="2" t="s">
        <v>45</v>
      </c>
      <c r="D505" s="2" t="s">
        <v>22</v>
      </c>
      <c r="E505">
        <v>6948</v>
      </c>
      <c r="F505" t="b">
        <v>0</v>
      </c>
      <c r="G505" s="2" t="s">
        <v>65</v>
      </c>
      <c r="H505" s="2" t="s">
        <v>24</v>
      </c>
      <c r="I505" s="2" t="s">
        <v>25</v>
      </c>
      <c r="J505" s="2" t="s">
        <v>26</v>
      </c>
      <c r="K505">
        <v>1</v>
      </c>
      <c r="L505" s="2" t="s">
        <v>27</v>
      </c>
      <c r="M505" s="2" t="s">
        <v>73</v>
      </c>
      <c r="N505" t="b">
        <v>1</v>
      </c>
      <c r="O505">
        <v>22</v>
      </c>
      <c r="P505" s="2" t="s">
        <v>37</v>
      </c>
      <c r="Q505">
        <v>2</v>
      </c>
      <c r="R505">
        <v>1</v>
      </c>
      <c r="S505">
        <v>4062</v>
      </c>
      <c r="T505" s="2" t="s">
        <v>38</v>
      </c>
    </row>
    <row r="506" spans="1:20" x14ac:dyDescent="0.3">
      <c r="A506" s="1">
        <v>45490</v>
      </c>
      <c r="B506" s="2" t="s">
        <v>69</v>
      </c>
      <c r="C506" s="2" t="s">
        <v>60</v>
      </c>
      <c r="D506" s="2" t="s">
        <v>61</v>
      </c>
      <c r="E506">
        <v>1000</v>
      </c>
      <c r="F506" t="b">
        <v>0</v>
      </c>
      <c r="G506" s="2" t="s">
        <v>40</v>
      </c>
      <c r="H506" s="2" t="s">
        <v>35</v>
      </c>
      <c r="I506" s="2" t="s">
        <v>47</v>
      </c>
      <c r="J506" s="2" t="s">
        <v>54</v>
      </c>
      <c r="K506">
        <v>2</v>
      </c>
      <c r="L506" s="2" t="s">
        <v>49</v>
      </c>
      <c r="M506" s="2" t="s">
        <v>73</v>
      </c>
      <c r="N506" t="b">
        <v>1</v>
      </c>
      <c r="O506">
        <v>69</v>
      </c>
      <c r="P506" s="2" t="s">
        <v>50</v>
      </c>
      <c r="Q506">
        <v>7</v>
      </c>
      <c r="R506">
        <v>2</v>
      </c>
      <c r="S506">
        <v>1158</v>
      </c>
      <c r="T506" s="2" t="s">
        <v>38</v>
      </c>
    </row>
    <row r="507" spans="1:20" x14ac:dyDescent="0.3">
      <c r="A507" s="1">
        <v>45490</v>
      </c>
      <c r="B507" s="2" t="s">
        <v>44</v>
      </c>
      <c r="C507" s="2" t="s">
        <v>45</v>
      </c>
      <c r="D507" s="2" t="s">
        <v>33</v>
      </c>
      <c r="E507">
        <v>1591</v>
      </c>
      <c r="F507" t="b">
        <v>0</v>
      </c>
      <c r="G507" s="2" t="s">
        <v>64</v>
      </c>
      <c r="H507" s="2" t="s">
        <v>41</v>
      </c>
      <c r="I507" s="2" t="s">
        <v>59</v>
      </c>
      <c r="J507" s="2" t="s">
        <v>48</v>
      </c>
      <c r="K507">
        <v>0</v>
      </c>
      <c r="L507" s="2" t="s">
        <v>27</v>
      </c>
      <c r="M507" s="2" t="s">
        <v>28</v>
      </c>
      <c r="N507" t="b">
        <v>1</v>
      </c>
      <c r="O507">
        <v>9</v>
      </c>
      <c r="P507" s="2" t="s">
        <v>37</v>
      </c>
      <c r="Q507">
        <v>10</v>
      </c>
      <c r="R507">
        <v>3</v>
      </c>
      <c r="S507">
        <v>3282</v>
      </c>
      <c r="T507" s="2" t="s">
        <v>51</v>
      </c>
    </row>
    <row r="508" spans="1:20" x14ac:dyDescent="0.3">
      <c r="A508" s="1">
        <v>45491</v>
      </c>
      <c r="B508" s="2" t="s">
        <v>68</v>
      </c>
      <c r="C508" s="2" t="s">
        <v>32</v>
      </c>
      <c r="D508" s="2" t="s">
        <v>22</v>
      </c>
      <c r="E508">
        <v>9886</v>
      </c>
      <c r="F508" t="b">
        <v>0</v>
      </c>
      <c r="G508" s="2" t="s">
        <v>65</v>
      </c>
      <c r="H508" s="2" t="s">
        <v>24</v>
      </c>
      <c r="I508" s="2" t="s">
        <v>47</v>
      </c>
      <c r="J508" s="2" t="s">
        <v>26</v>
      </c>
      <c r="K508">
        <v>2</v>
      </c>
      <c r="L508" s="2" t="s">
        <v>49</v>
      </c>
      <c r="M508" s="2" t="s">
        <v>66</v>
      </c>
      <c r="N508" t="b">
        <v>0</v>
      </c>
      <c r="O508">
        <v>119</v>
      </c>
      <c r="P508" s="2" t="s">
        <v>67</v>
      </c>
      <c r="Q508">
        <v>1</v>
      </c>
      <c r="R508">
        <v>2</v>
      </c>
      <c r="S508">
        <v>3914</v>
      </c>
      <c r="T508" s="2" t="s">
        <v>30</v>
      </c>
    </row>
    <row r="509" spans="1:20" x14ac:dyDescent="0.3">
      <c r="A509" s="1">
        <v>45492</v>
      </c>
      <c r="B509" s="2" t="s">
        <v>20</v>
      </c>
      <c r="C509" s="2" t="s">
        <v>45</v>
      </c>
      <c r="D509" s="2" t="s">
        <v>22</v>
      </c>
      <c r="E509">
        <v>5701</v>
      </c>
      <c r="F509" t="b">
        <v>0</v>
      </c>
      <c r="G509" s="2" t="s">
        <v>64</v>
      </c>
      <c r="H509" s="2" t="s">
        <v>24</v>
      </c>
      <c r="I509" s="2" t="s">
        <v>59</v>
      </c>
      <c r="J509" s="2" t="s">
        <v>43</v>
      </c>
      <c r="K509">
        <v>1</v>
      </c>
      <c r="L509" s="2" t="s">
        <v>27</v>
      </c>
      <c r="M509" s="2" t="s">
        <v>58</v>
      </c>
      <c r="N509" t="b">
        <v>1</v>
      </c>
      <c r="O509">
        <v>83</v>
      </c>
      <c r="P509" s="2" t="s">
        <v>50</v>
      </c>
      <c r="Q509">
        <v>10</v>
      </c>
      <c r="R509">
        <v>1</v>
      </c>
      <c r="S509">
        <v>4799</v>
      </c>
      <c r="T509" s="2" t="s">
        <v>38</v>
      </c>
    </row>
    <row r="510" spans="1:20" x14ac:dyDescent="0.3">
      <c r="A510" s="1">
        <v>45492</v>
      </c>
      <c r="B510" s="2" t="s">
        <v>52</v>
      </c>
      <c r="C510" s="2" t="s">
        <v>56</v>
      </c>
      <c r="D510" s="2" t="s">
        <v>53</v>
      </c>
      <c r="E510">
        <v>7565</v>
      </c>
      <c r="F510" t="b">
        <v>0</v>
      </c>
      <c r="G510" s="2" t="s">
        <v>64</v>
      </c>
      <c r="H510" s="2" t="s">
        <v>35</v>
      </c>
      <c r="I510" s="2" t="s">
        <v>47</v>
      </c>
      <c r="J510" s="2" t="s">
        <v>54</v>
      </c>
      <c r="K510">
        <v>2</v>
      </c>
      <c r="L510" s="2" t="s">
        <v>27</v>
      </c>
      <c r="M510" s="2" t="s">
        <v>58</v>
      </c>
      <c r="N510" t="b">
        <v>0</v>
      </c>
      <c r="O510">
        <v>78</v>
      </c>
      <c r="P510" s="2" t="s">
        <v>50</v>
      </c>
      <c r="Q510">
        <v>9</v>
      </c>
      <c r="R510">
        <v>1</v>
      </c>
      <c r="S510">
        <v>1916</v>
      </c>
      <c r="T510" s="2" t="s">
        <v>30</v>
      </c>
    </row>
    <row r="511" spans="1:20" x14ac:dyDescent="0.3">
      <c r="A511" s="1">
        <v>45492</v>
      </c>
      <c r="B511" s="2" t="s">
        <v>69</v>
      </c>
      <c r="C511" s="2" t="s">
        <v>56</v>
      </c>
      <c r="D511" s="2" t="s">
        <v>57</v>
      </c>
      <c r="E511">
        <v>5000</v>
      </c>
      <c r="F511" t="b">
        <v>0</v>
      </c>
      <c r="G511" s="2" t="s">
        <v>65</v>
      </c>
      <c r="H511" s="2" t="s">
        <v>70</v>
      </c>
      <c r="I511" s="2" t="s">
        <v>59</v>
      </c>
      <c r="J511" s="2" t="s">
        <v>48</v>
      </c>
      <c r="K511">
        <v>3</v>
      </c>
      <c r="L511" s="2" t="s">
        <v>27</v>
      </c>
      <c r="M511" s="2" t="s">
        <v>66</v>
      </c>
      <c r="N511" t="b">
        <v>0</v>
      </c>
      <c r="O511">
        <v>55</v>
      </c>
      <c r="P511" s="2" t="s">
        <v>37</v>
      </c>
      <c r="Q511">
        <v>1</v>
      </c>
      <c r="R511">
        <v>3</v>
      </c>
      <c r="S511">
        <v>1040</v>
      </c>
      <c r="T511" s="2" t="s">
        <v>51</v>
      </c>
    </row>
    <row r="512" spans="1:20" x14ac:dyDescent="0.3">
      <c r="A512" s="1">
        <v>45492</v>
      </c>
      <c r="B512" s="2" t="s">
        <v>71</v>
      </c>
      <c r="C512" s="2" t="s">
        <v>56</v>
      </c>
      <c r="D512" s="2" t="s">
        <v>33</v>
      </c>
      <c r="E512">
        <v>3767</v>
      </c>
      <c r="F512" t="b">
        <v>0</v>
      </c>
      <c r="G512" s="2" t="s">
        <v>65</v>
      </c>
      <c r="H512" s="2" t="s">
        <v>41</v>
      </c>
      <c r="I512" s="2" t="s">
        <v>47</v>
      </c>
      <c r="J512" s="2" t="s">
        <v>26</v>
      </c>
      <c r="K512">
        <v>5</v>
      </c>
      <c r="L512" s="2" t="s">
        <v>27</v>
      </c>
      <c r="M512" s="2" t="s">
        <v>58</v>
      </c>
      <c r="N512" t="b">
        <v>0</v>
      </c>
      <c r="O512">
        <v>4</v>
      </c>
      <c r="P512" s="2" t="s">
        <v>67</v>
      </c>
      <c r="Q512">
        <v>6</v>
      </c>
      <c r="R512">
        <v>3</v>
      </c>
      <c r="S512">
        <v>2189</v>
      </c>
      <c r="T512" s="2" t="s">
        <v>38</v>
      </c>
    </row>
    <row r="513" spans="1:20" x14ac:dyDescent="0.3">
      <c r="A513" s="1">
        <v>45493</v>
      </c>
      <c r="B513" s="2" t="s">
        <v>62</v>
      </c>
      <c r="C513" s="2" t="s">
        <v>60</v>
      </c>
      <c r="D513" s="2" t="s">
        <v>53</v>
      </c>
      <c r="E513">
        <v>2068</v>
      </c>
      <c r="F513" t="b">
        <v>0</v>
      </c>
      <c r="G513" s="2" t="s">
        <v>23</v>
      </c>
      <c r="H513" s="2" t="s">
        <v>35</v>
      </c>
      <c r="I513" s="2" t="s">
        <v>42</v>
      </c>
      <c r="J513" s="2" t="s">
        <v>43</v>
      </c>
      <c r="K513">
        <v>2</v>
      </c>
      <c r="L513" s="2" t="s">
        <v>49</v>
      </c>
      <c r="M513" s="2" t="s">
        <v>28</v>
      </c>
      <c r="N513" t="b">
        <v>1</v>
      </c>
      <c r="O513">
        <v>30</v>
      </c>
      <c r="P513" s="2" t="s">
        <v>63</v>
      </c>
      <c r="Q513">
        <v>6</v>
      </c>
      <c r="R513">
        <v>2</v>
      </c>
      <c r="S513">
        <v>2121</v>
      </c>
      <c r="T513" s="2" t="s">
        <v>30</v>
      </c>
    </row>
    <row r="514" spans="1:20" x14ac:dyDescent="0.3">
      <c r="A514" s="1">
        <v>45493</v>
      </c>
      <c r="B514" s="2" t="s">
        <v>71</v>
      </c>
      <c r="C514" s="2" t="s">
        <v>21</v>
      </c>
      <c r="D514" s="2" t="s">
        <v>57</v>
      </c>
      <c r="E514">
        <v>1000</v>
      </c>
      <c r="F514" t="b">
        <v>0</v>
      </c>
      <c r="G514" s="2" t="s">
        <v>34</v>
      </c>
      <c r="H514" s="2" t="s">
        <v>70</v>
      </c>
      <c r="I514" s="2" t="s">
        <v>42</v>
      </c>
      <c r="J514" s="2" t="s">
        <v>26</v>
      </c>
      <c r="K514">
        <v>0</v>
      </c>
      <c r="L514" s="2" t="s">
        <v>36</v>
      </c>
      <c r="M514" s="2" t="s">
        <v>73</v>
      </c>
      <c r="N514" t="b">
        <v>1</v>
      </c>
      <c r="O514">
        <v>36</v>
      </c>
      <c r="P514" s="2" t="s">
        <v>67</v>
      </c>
      <c r="Q514">
        <v>1</v>
      </c>
      <c r="R514">
        <v>3</v>
      </c>
      <c r="S514">
        <v>681</v>
      </c>
      <c r="T514" s="2" t="s">
        <v>30</v>
      </c>
    </row>
    <row r="515" spans="1:20" x14ac:dyDescent="0.3">
      <c r="A515" s="1">
        <v>45493</v>
      </c>
      <c r="B515" s="2" t="s">
        <v>77</v>
      </c>
      <c r="C515" s="2" t="s">
        <v>21</v>
      </c>
      <c r="D515" s="2" t="s">
        <v>57</v>
      </c>
      <c r="E515">
        <v>1000</v>
      </c>
      <c r="F515" t="b">
        <v>0</v>
      </c>
      <c r="G515" s="2" t="s">
        <v>23</v>
      </c>
      <c r="H515" s="2" t="s">
        <v>35</v>
      </c>
      <c r="I515" s="2" t="s">
        <v>25</v>
      </c>
      <c r="J515" s="2" t="s">
        <v>26</v>
      </c>
      <c r="K515">
        <v>2</v>
      </c>
      <c r="L515" s="2" t="s">
        <v>27</v>
      </c>
      <c r="M515" s="2" t="s">
        <v>58</v>
      </c>
      <c r="N515" t="b">
        <v>0</v>
      </c>
      <c r="O515">
        <v>32</v>
      </c>
      <c r="P515" s="2" t="s">
        <v>37</v>
      </c>
      <c r="Q515">
        <v>3</v>
      </c>
      <c r="R515">
        <v>2</v>
      </c>
      <c r="S515">
        <v>4741</v>
      </c>
      <c r="T515" s="2" t="s">
        <v>30</v>
      </c>
    </row>
    <row r="516" spans="1:20" x14ac:dyDescent="0.3">
      <c r="A516" s="1">
        <v>45493</v>
      </c>
      <c r="B516" s="2" t="s">
        <v>69</v>
      </c>
      <c r="C516" s="2" t="s">
        <v>32</v>
      </c>
      <c r="D516" s="2" t="s">
        <v>53</v>
      </c>
      <c r="E516">
        <v>5495</v>
      </c>
      <c r="F516" t="b">
        <v>0</v>
      </c>
      <c r="G516" s="2" t="s">
        <v>23</v>
      </c>
      <c r="H516" s="2" t="s">
        <v>70</v>
      </c>
      <c r="I516" s="2" t="s">
        <v>25</v>
      </c>
      <c r="J516" s="2" t="s">
        <v>43</v>
      </c>
      <c r="K516">
        <v>3</v>
      </c>
      <c r="L516" s="2" t="s">
        <v>27</v>
      </c>
      <c r="M516" s="2" t="s">
        <v>58</v>
      </c>
      <c r="N516" t="b">
        <v>1</v>
      </c>
      <c r="O516">
        <v>119</v>
      </c>
      <c r="P516" s="2" t="s">
        <v>50</v>
      </c>
      <c r="Q516">
        <v>2</v>
      </c>
      <c r="R516">
        <v>3</v>
      </c>
      <c r="S516">
        <v>4488</v>
      </c>
      <c r="T516" s="2" t="s">
        <v>51</v>
      </c>
    </row>
    <row r="517" spans="1:20" x14ac:dyDescent="0.3">
      <c r="A517" s="1">
        <v>45494</v>
      </c>
      <c r="B517" s="2" t="s">
        <v>20</v>
      </c>
      <c r="C517" s="2" t="s">
        <v>56</v>
      </c>
      <c r="D517" s="2" t="s">
        <v>33</v>
      </c>
      <c r="E517">
        <v>3892</v>
      </c>
      <c r="F517" t="b">
        <v>1</v>
      </c>
      <c r="G517" s="2" t="s">
        <v>23</v>
      </c>
      <c r="H517" s="2" t="s">
        <v>24</v>
      </c>
      <c r="I517" s="2" t="s">
        <v>25</v>
      </c>
      <c r="J517" s="2" t="s">
        <v>54</v>
      </c>
      <c r="K517">
        <v>4</v>
      </c>
      <c r="L517" s="2" t="s">
        <v>27</v>
      </c>
      <c r="M517" s="2" t="s">
        <v>58</v>
      </c>
      <c r="N517" t="b">
        <v>0</v>
      </c>
      <c r="O517">
        <v>22</v>
      </c>
      <c r="P517" s="2" t="s">
        <v>50</v>
      </c>
      <c r="Q517">
        <v>10</v>
      </c>
      <c r="R517">
        <v>2</v>
      </c>
      <c r="S517">
        <v>2373</v>
      </c>
      <c r="T517" s="2" t="s">
        <v>51</v>
      </c>
    </row>
    <row r="518" spans="1:20" x14ac:dyDescent="0.3">
      <c r="A518" s="1">
        <v>45494</v>
      </c>
      <c r="B518" s="2" t="s">
        <v>69</v>
      </c>
      <c r="C518" s="2" t="s">
        <v>60</v>
      </c>
      <c r="D518" s="2" t="s">
        <v>53</v>
      </c>
      <c r="E518">
        <v>2089</v>
      </c>
      <c r="F518" t="b">
        <v>1</v>
      </c>
      <c r="G518" s="2" t="s">
        <v>64</v>
      </c>
      <c r="H518" s="2" t="s">
        <v>41</v>
      </c>
      <c r="I518" s="2" t="s">
        <v>42</v>
      </c>
      <c r="J518" s="2" t="s">
        <v>48</v>
      </c>
      <c r="K518">
        <v>2</v>
      </c>
      <c r="L518" s="2" t="s">
        <v>27</v>
      </c>
      <c r="M518" s="2" t="s">
        <v>58</v>
      </c>
      <c r="N518" t="b">
        <v>1</v>
      </c>
      <c r="O518">
        <v>104</v>
      </c>
      <c r="P518" s="2" t="s">
        <v>63</v>
      </c>
      <c r="Q518">
        <v>3</v>
      </c>
      <c r="R518">
        <v>1</v>
      </c>
      <c r="S518">
        <v>3595</v>
      </c>
      <c r="T518" s="2" t="s">
        <v>38</v>
      </c>
    </row>
    <row r="519" spans="1:20" x14ac:dyDescent="0.3">
      <c r="A519" s="1">
        <v>45495</v>
      </c>
      <c r="B519" s="2" t="s">
        <v>77</v>
      </c>
      <c r="C519" s="2" t="s">
        <v>21</v>
      </c>
      <c r="D519" s="2" t="s">
        <v>57</v>
      </c>
      <c r="E519">
        <v>1000</v>
      </c>
      <c r="F519" t="b">
        <v>0</v>
      </c>
      <c r="G519" s="2" t="s">
        <v>64</v>
      </c>
      <c r="H519" s="2" t="s">
        <v>24</v>
      </c>
      <c r="I519" s="2" t="s">
        <v>59</v>
      </c>
      <c r="J519" s="2" t="s">
        <v>26</v>
      </c>
      <c r="K519">
        <v>1</v>
      </c>
      <c r="L519" s="2" t="s">
        <v>27</v>
      </c>
      <c r="M519" s="2" t="s">
        <v>28</v>
      </c>
      <c r="N519" t="b">
        <v>0</v>
      </c>
      <c r="O519">
        <v>32</v>
      </c>
      <c r="P519" s="2" t="s">
        <v>50</v>
      </c>
      <c r="Q519">
        <v>1</v>
      </c>
      <c r="R519">
        <v>3</v>
      </c>
      <c r="S519">
        <v>2661</v>
      </c>
      <c r="T519" s="2" t="s">
        <v>51</v>
      </c>
    </row>
    <row r="520" spans="1:20" x14ac:dyDescent="0.3">
      <c r="A520" s="1">
        <v>45495</v>
      </c>
      <c r="B520" s="2" t="s">
        <v>52</v>
      </c>
      <c r="C520" s="2" t="s">
        <v>56</v>
      </c>
      <c r="D520" s="2" t="s">
        <v>22</v>
      </c>
      <c r="E520">
        <v>9205</v>
      </c>
      <c r="F520" t="b">
        <v>0</v>
      </c>
      <c r="G520" s="2" t="s">
        <v>34</v>
      </c>
      <c r="H520" s="2" t="s">
        <v>35</v>
      </c>
      <c r="I520" s="2" t="s">
        <v>25</v>
      </c>
      <c r="J520" s="2" t="s">
        <v>54</v>
      </c>
      <c r="K520">
        <v>5</v>
      </c>
      <c r="L520" s="2" t="s">
        <v>36</v>
      </c>
      <c r="M520" s="2" t="s">
        <v>66</v>
      </c>
      <c r="N520" t="b">
        <v>0</v>
      </c>
      <c r="O520">
        <v>36</v>
      </c>
      <c r="P520" s="2" t="s">
        <v>63</v>
      </c>
      <c r="Q520">
        <v>1</v>
      </c>
      <c r="R520">
        <v>2</v>
      </c>
      <c r="S520">
        <v>3510</v>
      </c>
      <c r="T520" s="2" t="s">
        <v>30</v>
      </c>
    </row>
    <row r="521" spans="1:20" x14ac:dyDescent="0.3">
      <c r="A521" s="1">
        <v>45496</v>
      </c>
      <c r="B521" s="2" t="s">
        <v>44</v>
      </c>
      <c r="C521" s="2" t="s">
        <v>32</v>
      </c>
      <c r="D521" s="2" t="s">
        <v>57</v>
      </c>
      <c r="E521">
        <v>1000</v>
      </c>
      <c r="F521" t="b">
        <v>0</v>
      </c>
      <c r="G521" s="2" t="s">
        <v>40</v>
      </c>
      <c r="H521" s="2" t="s">
        <v>70</v>
      </c>
      <c r="I521" s="2" t="s">
        <v>25</v>
      </c>
      <c r="J521" s="2" t="s">
        <v>54</v>
      </c>
      <c r="K521">
        <v>4</v>
      </c>
      <c r="L521" s="2" t="s">
        <v>49</v>
      </c>
      <c r="M521" s="2" t="s">
        <v>58</v>
      </c>
      <c r="N521" t="b">
        <v>0</v>
      </c>
      <c r="O521">
        <v>25</v>
      </c>
      <c r="P521" s="2" t="s">
        <v>37</v>
      </c>
      <c r="Q521">
        <v>9</v>
      </c>
      <c r="R521">
        <v>3</v>
      </c>
      <c r="S521">
        <v>616</v>
      </c>
      <c r="T521" s="2" t="s">
        <v>38</v>
      </c>
    </row>
    <row r="522" spans="1:20" x14ac:dyDescent="0.3">
      <c r="A522" s="1">
        <v>45496</v>
      </c>
      <c r="B522" s="2" t="s">
        <v>20</v>
      </c>
      <c r="C522" s="2" t="s">
        <v>56</v>
      </c>
      <c r="D522" s="2" t="s">
        <v>53</v>
      </c>
      <c r="E522">
        <v>5304</v>
      </c>
      <c r="F522" t="b">
        <v>1</v>
      </c>
      <c r="G522" s="2" t="s">
        <v>40</v>
      </c>
      <c r="H522" s="2" t="s">
        <v>35</v>
      </c>
      <c r="I522" s="2" t="s">
        <v>25</v>
      </c>
      <c r="J522" s="2" t="s">
        <v>43</v>
      </c>
      <c r="K522">
        <v>4</v>
      </c>
      <c r="L522" s="2" t="s">
        <v>36</v>
      </c>
      <c r="M522" s="2" t="s">
        <v>66</v>
      </c>
      <c r="N522" t="b">
        <v>0</v>
      </c>
      <c r="O522">
        <v>62</v>
      </c>
      <c r="P522" s="2" t="s">
        <v>67</v>
      </c>
      <c r="Q522">
        <v>7</v>
      </c>
      <c r="R522">
        <v>3</v>
      </c>
      <c r="S522">
        <v>2916</v>
      </c>
      <c r="T522" s="2" t="s">
        <v>30</v>
      </c>
    </row>
    <row r="523" spans="1:20" x14ac:dyDescent="0.3">
      <c r="A523" s="1">
        <v>45497</v>
      </c>
      <c r="B523" s="2" t="s">
        <v>55</v>
      </c>
      <c r="C523" s="2" t="s">
        <v>56</v>
      </c>
      <c r="D523" s="2" t="s">
        <v>53</v>
      </c>
      <c r="E523">
        <v>3921</v>
      </c>
      <c r="F523" t="b">
        <v>1</v>
      </c>
      <c r="G523" s="2" t="s">
        <v>65</v>
      </c>
      <c r="H523" s="2" t="s">
        <v>70</v>
      </c>
      <c r="I523" s="2" t="s">
        <v>47</v>
      </c>
      <c r="J523" s="2" t="s">
        <v>43</v>
      </c>
      <c r="K523">
        <v>5</v>
      </c>
      <c r="L523" s="2" t="s">
        <v>36</v>
      </c>
      <c r="M523" s="2" t="s">
        <v>73</v>
      </c>
      <c r="N523" t="b">
        <v>0</v>
      </c>
      <c r="O523">
        <v>114</v>
      </c>
      <c r="P523" s="2" t="s">
        <v>63</v>
      </c>
      <c r="Q523">
        <v>9</v>
      </c>
      <c r="R523">
        <v>3</v>
      </c>
      <c r="S523">
        <v>1533</v>
      </c>
      <c r="T523" s="2" t="s">
        <v>38</v>
      </c>
    </row>
    <row r="524" spans="1:20" x14ac:dyDescent="0.3">
      <c r="A524" s="1">
        <v>45498</v>
      </c>
      <c r="B524" s="2" t="s">
        <v>76</v>
      </c>
      <c r="C524" s="2" t="s">
        <v>56</v>
      </c>
      <c r="D524" s="2" t="s">
        <v>57</v>
      </c>
      <c r="E524">
        <v>1000</v>
      </c>
      <c r="F524" t="b">
        <v>0</v>
      </c>
      <c r="G524" s="2" t="s">
        <v>65</v>
      </c>
      <c r="H524" s="2" t="s">
        <v>35</v>
      </c>
      <c r="I524" s="2" t="s">
        <v>42</v>
      </c>
      <c r="J524" s="2" t="s">
        <v>48</v>
      </c>
      <c r="K524">
        <v>0</v>
      </c>
      <c r="L524" s="2" t="s">
        <v>36</v>
      </c>
      <c r="M524" s="2" t="s">
        <v>66</v>
      </c>
      <c r="N524" t="b">
        <v>1</v>
      </c>
      <c r="O524">
        <v>91</v>
      </c>
      <c r="P524" s="2" t="s">
        <v>50</v>
      </c>
      <c r="Q524">
        <v>6</v>
      </c>
      <c r="R524">
        <v>3</v>
      </c>
      <c r="S524">
        <v>1397</v>
      </c>
      <c r="T524" s="2" t="s">
        <v>30</v>
      </c>
    </row>
    <row r="525" spans="1:20" x14ac:dyDescent="0.3">
      <c r="A525" s="1">
        <v>45498</v>
      </c>
      <c r="B525" s="2" t="s">
        <v>52</v>
      </c>
      <c r="C525" s="2" t="s">
        <v>60</v>
      </c>
      <c r="D525" s="2" t="s">
        <v>22</v>
      </c>
      <c r="E525">
        <v>6863</v>
      </c>
      <c r="F525" t="b">
        <v>1</v>
      </c>
      <c r="G525" s="2" t="s">
        <v>23</v>
      </c>
      <c r="H525" s="2" t="s">
        <v>70</v>
      </c>
      <c r="I525" s="2" t="s">
        <v>42</v>
      </c>
      <c r="J525" s="2" t="s">
        <v>26</v>
      </c>
      <c r="K525">
        <v>2</v>
      </c>
      <c r="L525" s="2" t="s">
        <v>36</v>
      </c>
      <c r="M525" s="2" t="s">
        <v>58</v>
      </c>
      <c r="N525" t="b">
        <v>0</v>
      </c>
      <c r="O525">
        <v>109</v>
      </c>
      <c r="P525" s="2" t="s">
        <v>63</v>
      </c>
      <c r="Q525">
        <v>3</v>
      </c>
      <c r="R525">
        <v>3</v>
      </c>
      <c r="S525">
        <v>1629</v>
      </c>
      <c r="T525" s="2" t="s">
        <v>38</v>
      </c>
    </row>
    <row r="526" spans="1:20" x14ac:dyDescent="0.3">
      <c r="A526" s="1">
        <v>45498</v>
      </c>
      <c r="B526" s="2" t="s">
        <v>76</v>
      </c>
      <c r="C526" s="2" t="s">
        <v>32</v>
      </c>
      <c r="D526" s="2" t="s">
        <v>22</v>
      </c>
      <c r="E526">
        <v>6027</v>
      </c>
      <c r="F526" t="b">
        <v>1</v>
      </c>
      <c r="G526" s="2" t="s">
        <v>23</v>
      </c>
      <c r="H526" s="2" t="s">
        <v>70</v>
      </c>
      <c r="I526" s="2" t="s">
        <v>47</v>
      </c>
      <c r="J526" s="2" t="s">
        <v>54</v>
      </c>
      <c r="K526">
        <v>4</v>
      </c>
      <c r="L526" s="2" t="s">
        <v>27</v>
      </c>
      <c r="M526" s="2" t="s">
        <v>58</v>
      </c>
      <c r="N526" t="b">
        <v>1</v>
      </c>
      <c r="O526">
        <v>73</v>
      </c>
      <c r="P526" s="2" t="s">
        <v>50</v>
      </c>
      <c r="Q526">
        <v>8</v>
      </c>
      <c r="R526">
        <v>1</v>
      </c>
      <c r="S526">
        <v>3117</v>
      </c>
      <c r="T526" s="2" t="s">
        <v>30</v>
      </c>
    </row>
    <row r="527" spans="1:20" x14ac:dyDescent="0.3">
      <c r="A527" s="1">
        <v>45499</v>
      </c>
      <c r="B527" s="2" t="s">
        <v>62</v>
      </c>
      <c r="C527" s="2" t="s">
        <v>56</v>
      </c>
      <c r="D527" s="2" t="s">
        <v>33</v>
      </c>
      <c r="E527">
        <v>3438</v>
      </c>
      <c r="F527" t="b">
        <v>1</v>
      </c>
      <c r="G527" s="2" t="s">
        <v>65</v>
      </c>
      <c r="H527" s="2" t="s">
        <v>41</v>
      </c>
      <c r="I527" s="2" t="s">
        <v>25</v>
      </c>
      <c r="J527" s="2" t="s">
        <v>54</v>
      </c>
      <c r="K527">
        <v>4</v>
      </c>
      <c r="L527" s="2" t="s">
        <v>36</v>
      </c>
      <c r="M527" s="2" t="s">
        <v>58</v>
      </c>
      <c r="N527" t="b">
        <v>1</v>
      </c>
      <c r="O527">
        <v>31</v>
      </c>
      <c r="P527" s="2" t="s">
        <v>37</v>
      </c>
      <c r="Q527">
        <v>9</v>
      </c>
      <c r="R527">
        <v>3</v>
      </c>
      <c r="S527">
        <v>3377</v>
      </c>
      <c r="T527" s="2" t="s">
        <v>30</v>
      </c>
    </row>
    <row r="528" spans="1:20" x14ac:dyDescent="0.3">
      <c r="A528" s="1">
        <v>45499</v>
      </c>
      <c r="B528" s="2" t="s">
        <v>44</v>
      </c>
      <c r="C528" s="2" t="s">
        <v>56</v>
      </c>
      <c r="D528" s="2" t="s">
        <v>57</v>
      </c>
      <c r="E528">
        <v>1000</v>
      </c>
      <c r="F528" t="b">
        <v>1</v>
      </c>
      <c r="G528" s="2" t="s">
        <v>40</v>
      </c>
      <c r="H528" s="2" t="s">
        <v>35</v>
      </c>
      <c r="I528" s="2" t="s">
        <v>42</v>
      </c>
      <c r="J528" s="2" t="s">
        <v>43</v>
      </c>
      <c r="K528">
        <v>21</v>
      </c>
      <c r="L528" s="2" t="s">
        <v>27</v>
      </c>
      <c r="M528" s="2" t="s">
        <v>66</v>
      </c>
      <c r="N528" t="b">
        <v>1</v>
      </c>
      <c r="O528">
        <v>97</v>
      </c>
      <c r="P528" s="2" t="s">
        <v>67</v>
      </c>
      <c r="Q528">
        <v>5</v>
      </c>
      <c r="R528">
        <v>2</v>
      </c>
      <c r="S528">
        <v>3572</v>
      </c>
      <c r="T528" s="2" t="s">
        <v>38</v>
      </c>
    </row>
    <row r="529" spans="1:20" x14ac:dyDescent="0.3">
      <c r="A529" s="1">
        <v>45499</v>
      </c>
      <c r="B529" s="2" t="s">
        <v>31</v>
      </c>
      <c r="C529" s="2" t="s">
        <v>60</v>
      </c>
      <c r="D529" s="2" t="s">
        <v>22</v>
      </c>
      <c r="E529">
        <v>8166</v>
      </c>
      <c r="F529" t="b">
        <v>0</v>
      </c>
      <c r="G529" s="2" t="s">
        <v>65</v>
      </c>
      <c r="H529" s="2" t="s">
        <v>35</v>
      </c>
      <c r="I529" s="2" t="s">
        <v>59</v>
      </c>
      <c r="J529" s="2" t="s">
        <v>48</v>
      </c>
      <c r="K529">
        <v>4</v>
      </c>
      <c r="L529" s="2" t="s">
        <v>27</v>
      </c>
      <c r="M529" s="2" t="s">
        <v>73</v>
      </c>
      <c r="N529" t="b">
        <v>1</v>
      </c>
      <c r="O529">
        <v>41</v>
      </c>
      <c r="P529" s="2" t="s">
        <v>37</v>
      </c>
      <c r="Q529">
        <v>7</v>
      </c>
      <c r="R529">
        <v>3</v>
      </c>
      <c r="S529">
        <v>1138</v>
      </c>
      <c r="T529" s="2" t="s">
        <v>38</v>
      </c>
    </row>
    <row r="530" spans="1:20" x14ac:dyDescent="0.3">
      <c r="A530" s="1">
        <v>45499</v>
      </c>
      <c r="B530" s="2" t="s">
        <v>75</v>
      </c>
      <c r="C530" s="2" t="s">
        <v>32</v>
      </c>
      <c r="D530" s="2" t="s">
        <v>57</v>
      </c>
      <c r="E530">
        <v>1000</v>
      </c>
      <c r="F530" t="b">
        <v>0</v>
      </c>
      <c r="G530" s="2" t="s">
        <v>65</v>
      </c>
      <c r="H530" s="2" t="s">
        <v>24</v>
      </c>
      <c r="I530" s="2" t="s">
        <v>25</v>
      </c>
      <c r="J530" s="2" t="s">
        <v>43</v>
      </c>
      <c r="K530">
        <v>2</v>
      </c>
      <c r="L530" s="2" t="s">
        <v>49</v>
      </c>
      <c r="M530" s="2" t="s">
        <v>58</v>
      </c>
      <c r="N530" t="b">
        <v>0</v>
      </c>
      <c r="O530">
        <v>93</v>
      </c>
      <c r="P530" s="2" t="s">
        <v>67</v>
      </c>
      <c r="Q530">
        <v>9</v>
      </c>
      <c r="R530">
        <v>3</v>
      </c>
      <c r="S530">
        <v>3630</v>
      </c>
      <c r="T530" s="2" t="s">
        <v>38</v>
      </c>
    </row>
    <row r="531" spans="1:20" x14ac:dyDescent="0.3">
      <c r="A531" s="1">
        <v>45500</v>
      </c>
      <c r="B531" s="2" t="s">
        <v>31</v>
      </c>
      <c r="C531" s="2" t="s">
        <v>45</v>
      </c>
      <c r="D531" s="2" t="s">
        <v>33</v>
      </c>
      <c r="E531">
        <v>3539</v>
      </c>
      <c r="F531" t="b">
        <v>0</v>
      </c>
      <c r="G531" s="2" t="s">
        <v>64</v>
      </c>
      <c r="H531" s="2" t="s">
        <v>70</v>
      </c>
      <c r="I531" s="2" t="s">
        <v>47</v>
      </c>
      <c r="J531" s="2" t="s">
        <v>26</v>
      </c>
      <c r="K531">
        <v>3</v>
      </c>
      <c r="L531" s="2" t="s">
        <v>49</v>
      </c>
      <c r="M531" s="2" t="s">
        <v>66</v>
      </c>
      <c r="N531" t="b">
        <v>0</v>
      </c>
      <c r="O531">
        <v>103</v>
      </c>
      <c r="P531" s="2" t="s">
        <v>29</v>
      </c>
      <c r="Q531">
        <v>1</v>
      </c>
      <c r="R531">
        <v>2</v>
      </c>
      <c r="S531">
        <v>3434</v>
      </c>
      <c r="T531" s="2" t="s">
        <v>38</v>
      </c>
    </row>
    <row r="532" spans="1:20" x14ac:dyDescent="0.3">
      <c r="A532" s="1">
        <v>45500</v>
      </c>
      <c r="B532" s="2" t="s">
        <v>76</v>
      </c>
      <c r="C532" s="2" t="s">
        <v>60</v>
      </c>
      <c r="D532" s="2" t="s">
        <v>22</v>
      </c>
      <c r="E532">
        <v>6927</v>
      </c>
      <c r="F532" t="b">
        <v>0</v>
      </c>
      <c r="G532" s="2" t="s">
        <v>40</v>
      </c>
      <c r="H532" s="2" t="s">
        <v>35</v>
      </c>
      <c r="I532" s="2" t="s">
        <v>59</v>
      </c>
      <c r="J532" s="2" t="s">
        <v>48</v>
      </c>
      <c r="K532">
        <v>1</v>
      </c>
      <c r="L532" s="2" t="s">
        <v>36</v>
      </c>
      <c r="M532" s="2" t="s">
        <v>58</v>
      </c>
      <c r="N532" t="b">
        <v>1</v>
      </c>
      <c r="O532">
        <v>89</v>
      </c>
      <c r="P532" s="2" t="s">
        <v>50</v>
      </c>
      <c r="Q532">
        <v>7</v>
      </c>
      <c r="R532">
        <v>2</v>
      </c>
      <c r="S532">
        <v>1492</v>
      </c>
      <c r="T532" s="2" t="s">
        <v>30</v>
      </c>
    </row>
    <row r="533" spans="1:20" x14ac:dyDescent="0.3">
      <c r="A533" s="1">
        <v>45501</v>
      </c>
      <c r="B533" s="2" t="s">
        <v>72</v>
      </c>
      <c r="C533" s="2" t="s">
        <v>45</v>
      </c>
      <c r="D533" s="2" t="s">
        <v>46</v>
      </c>
      <c r="E533">
        <v>1152</v>
      </c>
      <c r="F533" t="b">
        <v>0</v>
      </c>
      <c r="G533" s="2" t="s">
        <v>34</v>
      </c>
      <c r="H533" s="2" t="s">
        <v>24</v>
      </c>
      <c r="I533" s="2" t="s">
        <v>59</v>
      </c>
      <c r="J533" s="2" t="s">
        <v>26</v>
      </c>
      <c r="K533">
        <v>0</v>
      </c>
      <c r="L533" s="2" t="s">
        <v>49</v>
      </c>
      <c r="M533" s="2" t="s">
        <v>66</v>
      </c>
      <c r="N533" t="b">
        <v>1</v>
      </c>
      <c r="O533">
        <v>36</v>
      </c>
      <c r="P533" s="2" t="s">
        <v>67</v>
      </c>
      <c r="Q533">
        <v>4</v>
      </c>
      <c r="R533">
        <v>1</v>
      </c>
      <c r="S533">
        <v>1493</v>
      </c>
      <c r="T533" s="2" t="s">
        <v>38</v>
      </c>
    </row>
    <row r="534" spans="1:20" x14ac:dyDescent="0.3">
      <c r="A534" s="1">
        <v>45501</v>
      </c>
      <c r="B534" s="2" t="s">
        <v>62</v>
      </c>
      <c r="C534" s="2" t="s">
        <v>60</v>
      </c>
      <c r="D534" s="2" t="s">
        <v>46</v>
      </c>
      <c r="E534">
        <v>4901</v>
      </c>
      <c r="F534" t="b">
        <v>0</v>
      </c>
      <c r="G534" s="2" t="s">
        <v>40</v>
      </c>
      <c r="H534" s="2" t="s">
        <v>70</v>
      </c>
      <c r="I534" s="2" t="s">
        <v>42</v>
      </c>
      <c r="J534" s="2" t="s">
        <v>43</v>
      </c>
      <c r="K534">
        <v>3</v>
      </c>
      <c r="L534" s="2" t="s">
        <v>36</v>
      </c>
      <c r="M534" s="2" t="s">
        <v>73</v>
      </c>
      <c r="N534" t="b">
        <v>0</v>
      </c>
      <c r="O534">
        <v>115</v>
      </c>
      <c r="P534" s="2" t="s">
        <v>63</v>
      </c>
      <c r="Q534">
        <v>5</v>
      </c>
      <c r="R534">
        <v>3</v>
      </c>
      <c r="S534">
        <v>1724</v>
      </c>
      <c r="T534" s="2" t="s">
        <v>30</v>
      </c>
    </row>
    <row r="535" spans="1:20" x14ac:dyDescent="0.3">
      <c r="A535" s="1">
        <v>45505</v>
      </c>
      <c r="B535" s="2" t="s">
        <v>75</v>
      </c>
      <c r="C535" s="2" t="s">
        <v>56</v>
      </c>
      <c r="D535" s="2" t="s">
        <v>46</v>
      </c>
      <c r="E535">
        <v>3845</v>
      </c>
      <c r="F535" t="b">
        <v>1</v>
      </c>
      <c r="G535" s="2" t="s">
        <v>23</v>
      </c>
      <c r="H535" s="2" t="s">
        <v>41</v>
      </c>
      <c r="I535" s="2" t="s">
        <v>47</v>
      </c>
      <c r="J535" s="2" t="s">
        <v>43</v>
      </c>
      <c r="K535">
        <v>26</v>
      </c>
      <c r="L535" s="2" t="s">
        <v>49</v>
      </c>
      <c r="M535" s="2" t="s">
        <v>66</v>
      </c>
      <c r="N535" t="b">
        <v>1</v>
      </c>
      <c r="O535">
        <v>10</v>
      </c>
      <c r="P535" s="2" t="s">
        <v>37</v>
      </c>
      <c r="Q535">
        <v>5</v>
      </c>
      <c r="R535">
        <v>1</v>
      </c>
      <c r="S535">
        <v>3601</v>
      </c>
      <c r="T535" s="2" t="s">
        <v>30</v>
      </c>
    </row>
    <row r="536" spans="1:20" x14ac:dyDescent="0.3">
      <c r="A536" s="1">
        <v>45505</v>
      </c>
      <c r="B536" s="2" t="s">
        <v>31</v>
      </c>
      <c r="C536" s="2" t="s">
        <v>60</v>
      </c>
      <c r="D536" s="2" t="s">
        <v>53</v>
      </c>
      <c r="E536">
        <v>4363</v>
      </c>
      <c r="F536" t="b">
        <v>0</v>
      </c>
      <c r="G536" s="2" t="s">
        <v>40</v>
      </c>
      <c r="H536" s="2" t="s">
        <v>24</v>
      </c>
      <c r="I536" s="2" t="s">
        <v>59</v>
      </c>
      <c r="J536" s="2" t="s">
        <v>48</v>
      </c>
      <c r="K536">
        <v>1</v>
      </c>
      <c r="L536" s="2" t="s">
        <v>49</v>
      </c>
      <c r="M536" s="2" t="s">
        <v>66</v>
      </c>
      <c r="N536" t="b">
        <v>0</v>
      </c>
      <c r="O536">
        <v>110</v>
      </c>
      <c r="P536" s="2" t="s">
        <v>50</v>
      </c>
      <c r="Q536">
        <v>6</v>
      </c>
      <c r="R536">
        <v>2</v>
      </c>
      <c r="S536">
        <v>4624</v>
      </c>
      <c r="T536" s="2" t="s">
        <v>30</v>
      </c>
    </row>
    <row r="537" spans="1:20" x14ac:dyDescent="0.3">
      <c r="A537" s="1">
        <v>45505</v>
      </c>
      <c r="B537" s="2" t="s">
        <v>44</v>
      </c>
      <c r="C537" s="2" t="s">
        <v>21</v>
      </c>
      <c r="D537" s="2" t="s">
        <v>33</v>
      </c>
      <c r="E537">
        <v>2039</v>
      </c>
      <c r="F537" t="b">
        <v>1</v>
      </c>
      <c r="G537" s="2" t="s">
        <v>40</v>
      </c>
      <c r="H537" s="2" t="s">
        <v>41</v>
      </c>
      <c r="I537" s="2" t="s">
        <v>42</v>
      </c>
      <c r="J537" s="2" t="s">
        <v>48</v>
      </c>
      <c r="K537">
        <v>4</v>
      </c>
      <c r="L537" s="2" t="s">
        <v>27</v>
      </c>
      <c r="M537" s="2" t="s">
        <v>66</v>
      </c>
      <c r="N537" t="b">
        <v>1</v>
      </c>
      <c r="O537">
        <v>101</v>
      </c>
      <c r="P537" s="2" t="s">
        <v>29</v>
      </c>
      <c r="Q537">
        <v>6</v>
      </c>
      <c r="R537">
        <v>3</v>
      </c>
      <c r="S537">
        <v>4470</v>
      </c>
      <c r="T537" s="2" t="s">
        <v>38</v>
      </c>
    </row>
    <row r="538" spans="1:20" x14ac:dyDescent="0.3">
      <c r="A538" s="1">
        <v>45505</v>
      </c>
      <c r="B538" s="2" t="s">
        <v>77</v>
      </c>
      <c r="C538" s="2" t="s">
        <v>56</v>
      </c>
      <c r="D538" s="2" t="s">
        <v>22</v>
      </c>
      <c r="E538">
        <v>8494</v>
      </c>
      <c r="F538" t="b">
        <v>0</v>
      </c>
      <c r="G538" s="2" t="s">
        <v>23</v>
      </c>
      <c r="H538" s="2" t="s">
        <v>35</v>
      </c>
      <c r="I538" s="2" t="s">
        <v>25</v>
      </c>
      <c r="J538" s="2" t="s">
        <v>48</v>
      </c>
      <c r="K538">
        <v>3</v>
      </c>
      <c r="L538" s="2" t="s">
        <v>49</v>
      </c>
      <c r="M538" s="2" t="s">
        <v>28</v>
      </c>
      <c r="N538" t="b">
        <v>1</v>
      </c>
      <c r="O538">
        <v>22</v>
      </c>
      <c r="P538" s="2" t="s">
        <v>37</v>
      </c>
      <c r="Q538">
        <v>3</v>
      </c>
      <c r="R538">
        <v>1</v>
      </c>
      <c r="S538">
        <v>1196</v>
      </c>
      <c r="T538" s="2" t="s">
        <v>51</v>
      </c>
    </row>
    <row r="539" spans="1:20" x14ac:dyDescent="0.3">
      <c r="A539" s="1">
        <v>45506</v>
      </c>
      <c r="B539" s="2" t="s">
        <v>52</v>
      </c>
      <c r="C539" s="2" t="s">
        <v>45</v>
      </c>
      <c r="D539" s="2" t="s">
        <v>53</v>
      </c>
      <c r="E539">
        <v>2528</v>
      </c>
      <c r="F539" t="b">
        <v>1</v>
      </c>
      <c r="G539" s="2" t="s">
        <v>23</v>
      </c>
      <c r="H539" s="2" t="s">
        <v>24</v>
      </c>
      <c r="I539" s="2" t="s">
        <v>59</v>
      </c>
      <c r="J539" s="2" t="s">
        <v>43</v>
      </c>
      <c r="K539">
        <v>1</v>
      </c>
      <c r="L539" s="2" t="s">
        <v>27</v>
      </c>
      <c r="M539" s="2" t="s">
        <v>28</v>
      </c>
      <c r="N539" t="b">
        <v>0</v>
      </c>
      <c r="O539">
        <v>41</v>
      </c>
      <c r="P539" s="2" t="s">
        <v>50</v>
      </c>
      <c r="Q539">
        <v>2</v>
      </c>
      <c r="R539">
        <v>2</v>
      </c>
      <c r="S539">
        <v>3110</v>
      </c>
      <c r="T539" s="2" t="s">
        <v>30</v>
      </c>
    </row>
    <row r="540" spans="1:20" x14ac:dyDescent="0.3">
      <c r="A540" s="1">
        <v>45506</v>
      </c>
      <c r="B540" s="2" t="s">
        <v>69</v>
      </c>
      <c r="C540" s="2" t="s">
        <v>45</v>
      </c>
      <c r="D540" s="2" t="s">
        <v>33</v>
      </c>
      <c r="E540">
        <v>4119</v>
      </c>
      <c r="F540" t="b">
        <v>0</v>
      </c>
      <c r="G540" s="2" t="s">
        <v>34</v>
      </c>
      <c r="H540" s="2" t="s">
        <v>24</v>
      </c>
      <c r="I540" s="2" t="s">
        <v>25</v>
      </c>
      <c r="J540" s="2" t="s">
        <v>48</v>
      </c>
      <c r="K540">
        <v>0</v>
      </c>
      <c r="L540" s="2" t="s">
        <v>27</v>
      </c>
      <c r="M540" s="2" t="s">
        <v>66</v>
      </c>
      <c r="N540" t="b">
        <v>0</v>
      </c>
      <c r="O540">
        <v>29</v>
      </c>
      <c r="P540" s="2" t="s">
        <v>63</v>
      </c>
      <c r="Q540">
        <v>10</v>
      </c>
      <c r="R540">
        <v>1</v>
      </c>
      <c r="S540">
        <v>4067</v>
      </c>
      <c r="T540" s="2" t="s">
        <v>30</v>
      </c>
    </row>
    <row r="541" spans="1:20" x14ac:dyDescent="0.3">
      <c r="A541" s="1">
        <v>45506</v>
      </c>
      <c r="B541" s="2" t="s">
        <v>76</v>
      </c>
      <c r="C541" s="2" t="s">
        <v>56</v>
      </c>
      <c r="D541" s="2" t="s">
        <v>22</v>
      </c>
      <c r="E541">
        <v>9858</v>
      </c>
      <c r="F541" t="b">
        <v>0</v>
      </c>
      <c r="G541" s="2" t="s">
        <v>34</v>
      </c>
      <c r="H541" s="2" t="s">
        <v>70</v>
      </c>
      <c r="I541" s="2" t="s">
        <v>42</v>
      </c>
      <c r="J541" s="2" t="s">
        <v>48</v>
      </c>
      <c r="K541">
        <v>1</v>
      </c>
      <c r="L541" s="2" t="s">
        <v>36</v>
      </c>
      <c r="M541" s="2" t="s">
        <v>28</v>
      </c>
      <c r="N541" t="b">
        <v>1</v>
      </c>
      <c r="O541">
        <v>25</v>
      </c>
      <c r="P541" s="2" t="s">
        <v>67</v>
      </c>
      <c r="Q541">
        <v>2</v>
      </c>
      <c r="R541">
        <v>3</v>
      </c>
      <c r="S541">
        <v>3830</v>
      </c>
      <c r="T541" s="2" t="s">
        <v>51</v>
      </c>
    </row>
    <row r="542" spans="1:20" x14ac:dyDescent="0.3">
      <c r="A542" s="1">
        <v>45506</v>
      </c>
      <c r="B542" s="2" t="s">
        <v>68</v>
      </c>
      <c r="C542" s="2" t="s">
        <v>21</v>
      </c>
      <c r="D542" s="2" t="s">
        <v>22</v>
      </c>
      <c r="E542">
        <v>6023</v>
      </c>
      <c r="F542" t="b">
        <v>0</v>
      </c>
      <c r="G542" s="2" t="s">
        <v>23</v>
      </c>
      <c r="H542" s="2" t="s">
        <v>70</v>
      </c>
      <c r="I542" s="2" t="s">
        <v>59</v>
      </c>
      <c r="J542" s="2" t="s">
        <v>48</v>
      </c>
      <c r="K542">
        <v>5</v>
      </c>
      <c r="L542" s="2" t="s">
        <v>36</v>
      </c>
      <c r="M542" s="2" t="s">
        <v>73</v>
      </c>
      <c r="N542" t="b">
        <v>1</v>
      </c>
      <c r="O542">
        <v>85</v>
      </c>
      <c r="P542" s="2" t="s">
        <v>67</v>
      </c>
      <c r="Q542">
        <v>5</v>
      </c>
      <c r="R542">
        <v>3</v>
      </c>
      <c r="S542">
        <v>3433</v>
      </c>
      <c r="T542" s="2" t="s">
        <v>51</v>
      </c>
    </row>
    <row r="543" spans="1:20" x14ac:dyDescent="0.3">
      <c r="A543" s="1">
        <v>45506</v>
      </c>
      <c r="B543" s="2" t="s">
        <v>52</v>
      </c>
      <c r="C543" s="2" t="s">
        <v>60</v>
      </c>
      <c r="D543" s="2" t="s">
        <v>53</v>
      </c>
      <c r="E543">
        <v>4672</v>
      </c>
      <c r="F543" t="b">
        <v>0</v>
      </c>
      <c r="G543" s="2" t="s">
        <v>40</v>
      </c>
      <c r="H543" s="2" t="s">
        <v>24</v>
      </c>
      <c r="I543" s="2" t="s">
        <v>42</v>
      </c>
      <c r="J543" s="2" t="s">
        <v>48</v>
      </c>
      <c r="K543">
        <v>2</v>
      </c>
      <c r="L543" s="2" t="s">
        <v>27</v>
      </c>
      <c r="M543" s="2" t="s">
        <v>58</v>
      </c>
      <c r="N543" t="b">
        <v>1</v>
      </c>
      <c r="O543">
        <v>60</v>
      </c>
      <c r="P543" s="2" t="s">
        <v>37</v>
      </c>
      <c r="Q543">
        <v>8</v>
      </c>
      <c r="R543">
        <v>1</v>
      </c>
      <c r="S543">
        <v>4098</v>
      </c>
      <c r="T543" s="2" t="s">
        <v>30</v>
      </c>
    </row>
    <row r="544" spans="1:20" x14ac:dyDescent="0.3">
      <c r="A544" s="1">
        <v>45506</v>
      </c>
      <c r="B544" s="2" t="s">
        <v>31</v>
      </c>
      <c r="C544" s="2" t="s">
        <v>60</v>
      </c>
      <c r="D544" s="2" t="s">
        <v>61</v>
      </c>
      <c r="E544">
        <v>1000</v>
      </c>
      <c r="F544" t="b">
        <v>0</v>
      </c>
      <c r="G544" s="2" t="s">
        <v>40</v>
      </c>
      <c r="H544" s="2" t="s">
        <v>41</v>
      </c>
      <c r="I544" s="2" t="s">
        <v>42</v>
      </c>
      <c r="J544" s="2" t="s">
        <v>26</v>
      </c>
      <c r="K544">
        <v>1</v>
      </c>
      <c r="L544" s="2" t="s">
        <v>36</v>
      </c>
      <c r="M544" s="2" t="s">
        <v>66</v>
      </c>
      <c r="N544" t="b">
        <v>0</v>
      </c>
      <c r="O544">
        <v>26</v>
      </c>
      <c r="P544" s="2" t="s">
        <v>63</v>
      </c>
      <c r="Q544">
        <v>5</v>
      </c>
      <c r="R544">
        <v>2</v>
      </c>
      <c r="S544">
        <v>3343</v>
      </c>
      <c r="T544" s="2" t="s">
        <v>51</v>
      </c>
    </row>
    <row r="545" spans="1:20" x14ac:dyDescent="0.3">
      <c r="A545" s="1">
        <v>45506</v>
      </c>
      <c r="B545" s="2" t="s">
        <v>20</v>
      </c>
      <c r="C545" s="2" t="s">
        <v>21</v>
      </c>
      <c r="D545" s="2" t="s">
        <v>57</v>
      </c>
      <c r="E545">
        <v>1000</v>
      </c>
      <c r="F545" t="b">
        <v>0</v>
      </c>
      <c r="G545" s="2" t="s">
        <v>65</v>
      </c>
      <c r="H545" s="2" t="s">
        <v>70</v>
      </c>
      <c r="I545" s="2" t="s">
        <v>25</v>
      </c>
      <c r="J545" s="2" t="s">
        <v>43</v>
      </c>
      <c r="K545">
        <v>4</v>
      </c>
      <c r="L545" s="2" t="s">
        <v>36</v>
      </c>
      <c r="M545" s="2" t="s">
        <v>73</v>
      </c>
      <c r="N545" t="b">
        <v>1</v>
      </c>
      <c r="O545">
        <v>24</v>
      </c>
      <c r="P545" s="2" t="s">
        <v>37</v>
      </c>
      <c r="Q545">
        <v>4</v>
      </c>
      <c r="R545">
        <v>3</v>
      </c>
      <c r="S545">
        <v>4055</v>
      </c>
      <c r="T545" s="2" t="s">
        <v>51</v>
      </c>
    </row>
    <row r="546" spans="1:20" x14ac:dyDescent="0.3">
      <c r="A546" s="1">
        <v>45506</v>
      </c>
      <c r="B546" s="2" t="s">
        <v>68</v>
      </c>
      <c r="C546" s="2" t="s">
        <v>21</v>
      </c>
      <c r="D546" s="2" t="s">
        <v>33</v>
      </c>
      <c r="E546">
        <v>3052</v>
      </c>
      <c r="F546" t="b">
        <v>0</v>
      </c>
      <c r="G546" s="2" t="s">
        <v>34</v>
      </c>
      <c r="H546" s="2" t="s">
        <v>35</v>
      </c>
      <c r="I546" s="2" t="s">
        <v>59</v>
      </c>
      <c r="J546" s="2" t="s">
        <v>43</v>
      </c>
      <c r="K546">
        <v>5</v>
      </c>
      <c r="L546" s="2" t="s">
        <v>27</v>
      </c>
      <c r="M546" s="2" t="s">
        <v>73</v>
      </c>
      <c r="N546" t="b">
        <v>0</v>
      </c>
      <c r="O546">
        <v>16</v>
      </c>
      <c r="P546" s="2" t="s">
        <v>67</v>
      </c>
      <c r="Q546">
        <v>1</v>
      </c>
      <c r="R546">
        <v>3</v>
      </c>
      <c r="S546">
        <v>1825</v>
      </c>
      <c r="T546" s="2" t="s">
        <v>38</v>
      </c>
    </row>
    <row r="547" spans="1:20" x14ac:dyDescent="0.3">
      <c r="A547" s="1">
        <v>45507</v>
      </c>
      <c r="B547" s="2" t="s">
        <v>55</v>
      </c>
      <c r="C547" s="2" t="s">
        <v>32</v>
      </c>
      <c r="D547" s="2" t="s">
        <v>22</v>
      </c>
      <c r="E547">
        <v>9854</v>
      </c>
      <c r="F547" t="b">
        <v>0</v>
      </c>
      <c r="G547" s="2" t="s">
        <v>34</v>
      </c>
      <c r="H547" s="2" t="s">
        <v>24</v>
      </c>
      <c r="I547" s="2" t="s">
        <v>25</v>
      </c>
      <c r="J547" s="2" t="s">
        <v>48</v>
      </c>
      <c r="K547">
        <v>0</v>
      </c>
      <c r="L547" s="2" t="s">
        <v>27</v>
      </c>
      <c r="M547" s="2" t="s">
        <v>28</v>
      </c>
      <c r="N547" t="b">
        <v>1</v>
      </c>
      <c r="O547">
        <v>17</v>
      </c>
      <c r="P547" s="2" t="s">
        <v>50</v>
      </c>
      <c r="Q547">
        <v>2</v>
      </c>
      <c r="R547">
        <v>1</v>
      </c>
      <c r="S547">
        <v>3582</v>
      </c>
      <c r="T547" s="2" t="s">
        <v>30</v>
      </c>
    </row>
    <row r="548" spans="1:20" x14ac:dyDescent="0.3">
      <c r="A548" s="1">
        <v>45507</v>
      </c>
      <c r="B548" s="2" t="s">
        <v>77</v>
      </c>
      <c r="C548" s="2" t="s">
        <v>32</v>
      </c>
      <c r="D548" s="2" t="s">
        <v>57</v>
      </c>
      <c r="E548">
        <v>1000</v>
      </c>
      <c r="F548" t="b">
        <v>1</v>
      </c>
      <c r="G548" s="2" t="s">
        <v>40</v>
      </c>
      <c r="H548" s="2" t="s">
        <v>35</v>
      </c>
      <c r="I548" s="2" t="s">
        <v>25</v>
      </c>
      <c r="J548" s="2" t="s">
        <v>26</v>
      </c>
      <c r="K548">
        <v>3</v>
      </c>
      <c r="L548" s="2" t="s">
        <v>49</v>
      </c>
      <c r="M548" s="2" t="s">
        <v>58</v>
      </c>
      <c r="N548" t="b">
        <v>1</v>
      </c>
      <c r="O548">
        <v>37</v>
      </c>
      <c r="P548" s="2" t="s">
        <v>29</v>
      </c>
      <c r="Q548">
        <v>2</v>
      </c>
      <c r="R548">
        <v>3</v>
      </c>
      <c r="S548">
        <v>2648</v>
      </c>
      <c r="T548" s="2" t="s">
        <v>51</v>
      </c>
    </row>
    <row r="549" spans="1:20" x14ac:dyDescent="0.3">
      <c r="A549" s="1">
        <v>45508</v>
      </c>
      <c r="B549" s="2" t="s">
        <v>68</v>
      </c>
      <c r="C549" s="2" t="s">
        <v>32</v>
      </c>
      <c r="D549" s="2" t="s">
        <v>33</v>
      </c>
      <c r="E549">
        <v>4354</v>
      </c>
      <c r="F549" t="b">
        <v>1</v>
      </c>
      <c r="G549" s="2" t="s">
        <v>23</v>
      </c>
      <c r="H549" s="2" t="s">
        <v>35</v>
      </c>
      <c r="I549" s="2" t="s">
        <v>47</v>
      </c>
      <c r="J549" s="2" t="s">
        <v>48</v>
      </c>
      <c r="K549">
        <v>5</v>
      </c>
      <c r="L549" s="2" t="s">
        <v>49</v>
      </c>
      <c r="M549" s="2" t="s">
        <v>66</v>
      </c>
      <c r="N549" t="b">
        <v>0</v>
      </c>
      <c r="O549">
        <v>113</v>
      </c>
      <c r="P549" s="2" t="s">
        <v>50</v>
      </c>
      <c r="Q549">
        <v>8</v>
      </c>
      <c r="R549">
        <v>1</v>
      </c>
      <c r="S549">
        <v>897</v>
      </c>
      <c r="T549" s="2" t="s">
        <v>30</v>
      </c>
    </row>
    <row r="550" spans="1:20" x14ac:dyDescent="0.3">
      <c r="A550" s="1">
        <v>45508</v>
      </c>
      <c r="B550" s="2" t="s">
        <v>62</v>
      </c>
      <c r="C550" s="2" t="s">
        <v>56</v>
      </c>
      <c r="D550" s="2" t="s">
        <v>53</v>
      </c>
      <c r="E550">
        <v>7989</v>
      </c>
      <c r="F550" t="b">
        <v>0</v>
      </c>
      <c r="G550" s="2" t="s">
        <v>64</v>
      </c>
      <c r="H550" s="2" t="s">
        <v>24</v>
      </c>
      <c r="I550" s="2" t="s">
        <v>47</v>
      </c>
      <c r="J550" s="2" t="s">
        <v>54</v>
      </c>
      <c r="K550">
        <v>2</v>
      </c>
      <c r="L550" s="2" t="s">
        <v>49</v>
      </c>
      <c r="M550" s="2" t="s">
        <v>73</v>
      </c>
      <c r="N550" t="b">
        <v>1</v>
      </c>
      <c r="O550">
        <v>90</v>
      </c>
      <c r="P550" s="2" t="s">
        <v>50</v>
      </c>
      <c r="Q550">
        <v>3</v>
      </c>
      <c r="R550">
        <v>2</v>
      </c>
      <c r="S550">
        <v>3037</v>
      </c>
      <c r="T550" s="2" t="s">
        <v>38</v>
      </c>
    </row>
    <row r="551" spans="1:20" x14ac:dyDescent="0.3">
      <c r="A551" s="1">
        <v>45508</v>
      </c>
      <c r="B551" s="2" t="s">
        <v>31</v>
      </c>
      <c r="C551" s="2" t="s">
        <v>32</v>
      </c>
      <c r="D551" s="2" t="s">
        <v>53</v>
      </c>
      <c r="E551">
        <v>5524</v>
      </c>
      <c r="F551" t="b">
        <v>0</v>
      </c>
      <c r="G551" s="2" t="s">
        <v>34</v>
      </c>
      <c r="H551" s="2" t="s">
        <v>24</v>
      </c>
      <c r="I551" s="2" t="s">
        <v>47</v>
      </c>
      <c r="J551" s="2" t="s">
        <v>43</v>
      </c>
      <c r="K551">
        <v>0</v>
      </c>
      <c r="L551" s="2" t="s">
        <v>27</v>
      </c>
      <c r="M551" s="2" t="s">
        <v>73</v>
      </c>
      <c r="N551" t="b">
        <v>1</v>
      </c>
      <c r="O551">
        <v>114</v>
      </c>
      <c r="P551" s="2" t="s">
        <v>29</v>
      </c>
      <c r="Q551">
        <v>3</v>
      </c>
      <c r="R551">
        <v>1</v>
      </c>
      <c r="S551">
        <v>4571</v>
      </c>
      <c r="T551" s="2" t="s">
        <v>30</v>
      </c>
    </row>
    <row r="552" spans="1:20" x14ac:dyDescent="0.3">
      <c r="A552" s="1">
        <v>45509</v>
      </c>
      <c r="B552" s="2" t="s">
        <v>39</v>
      </c>
      <c r="C552" s="2" t="s">
        <v>21</v>
      </c>
      <c r="D552" s="2" t="s">
        <v>22</v>
      </c>
      <c r="E552">
        <v>8820</v>
      </c>
      <c r="F552" t="b">
        <v>0</v>
      </c>
      <c r="G552" s="2" t="s">
        <v>40</v>
      </c>
      <c r="H552" s="2" t="s">
        <v>41</v>
      </c>
      <c r="I552" s="2" t="s">
        <v>42</v>
      </c>
      <c r="J552" s="2" t="s">
        <v>43</v>
      </c>
      <c r="K552">
        <v>3</v>
      </c>
      <c r="L552" s="2" t="s">
        <v>27</v>
      </c>
      <c r="M552" s="2" t="s">
        <v>28</v>
      </c>
      <c r="N552" t="b">
        <v>0</v>
      </c>
      <c r="O552">
        <v>38</v>
      </c>
      <c r="P552" s="2" t="s">
        <v>29</v>
      </c>
      <c r="Q552">
        <v>7</v>
      </c>
      <c r="R552">
        <v>2</v>
      </c>
      <c r="S552">
        <v>4757</v>
      </c>
      <c r="T552" s="2" t="s">
        <v>30</v>
      </c>
    </row>
    <row r="553" spans="1:20" x14ac:dyDescent="0.3">
      <c r="A553" s="1">
        <v>45509</v>
      </c>
      <c r="B553" s="2" t="s">
        <v>55</v>
      </c>
      <c r="C553" s="2" t="s">
        <v>56</v>
      </c>
      <c r="D553" s="2" t="s">
        <v>53</v>
      </c>
      <c r="E553">
        <v>7289</v>
      </c>
      <c r="F553" t="b">
        <v>0</v>
      </c>
      <c r="G553" s="2" t="s">
        <v>34</v>
      </c>
      <c r="H553" s="2" t="s">
        <v>35</v>
      </c>
      <c r="I553" s="2" t="s">
        <v>42</v>
      </c>
      <c r="J553" s="2" t="s">
        <v>26</v>
      </c>
      <c r="K553">
        <v>1</v>
      </c>
      <c r="L553" s="2" t="s">
        <v>27</v>
      </c>
      <c r="M553" s="2" t="s">
        <v>28</v>
      </c>
      <c r="N553" t="b">
        <v>1</v>
      </c>
      <c r="O553">
        <v>99</v>
      </c>
      <c r="P553" s="2" t="s">
        <v>50</v>
      </c>
      <c r="Q553">
        <v>5</v>
      </c>
      <c r="R553">
        <v>2</v>
      </c>
      <c r="S553">
        <v>1789</v>
      </c>
      <c r="T553" s="2" t="s">
        <v>30</v>
      </c>
    </row>
    <row r="554" spans="1:20" x14ac:dyDescent="0.3">
      <c r="A554" s="1">
        <v>45509</v>
      </c>
      <c r="B554" s="2" t="s">
        <v>39</v>
      </c>
      <c r="C554" s="2" t="s">
        <v>45</v>
      </c>
      <c r="D554" s="2" t="s">
        <v>22</v>
      </c>
      <c r="E554">
        <v>5120</v>
      </c>
      <c r="F554" t="b">
        <v>0</v>
      </c>
      <c r="G554" s="2" t="s">
        <v>65</v>
      </c>
      <c r="H554" s="2" t="s">
        <v>41</v>
      </c>
      <c r="I554" s="2" t="s">
        <v>47</v>
      </c>
      <c r="J554" s="2" t="s">
        <v>43</v>
      </c>
      <c r="K554">
        <v>1</v>
      </c>
      <c r="L554" s="2" t="s">
        <v>49</v>
      </c>
      <c r="M554" s="2" t="s">
        <v>66</v>
      </c>
      <c r="N554" t="b">
        <v>1</v>
      </c>
      <c r="O554">
        <v>88</v>
      </c>
      <c r="P554" s="2" t="s">
        <v>37</v>
      </c>
      <c r="Q554">
        <v>8</v>
      </c>
      <c r="R554">
        <v>1</v>
      </c>
      <c r="S554">
        <v>4798</v>
      </c>
      <c r="T554" s="2" t="s">
        <v>38</v>
      </c>
    </row>
    <row r="555" spans="1:20" x14ac:dyDescent="0.3">
      <c r="A555" s="1">
        <v>45509</v>
      </c>
      <c r="B555" s="2" t="s">
        <v>68</v>
      </c>
      <c r="C555" s="2" t="s">
        <v>56</v>
      </c>
      <c r="D555" s="2" t="s">
        <v>57</v>
      </c>
      <c r="E555">
        <v>1000</v>
      </c>
      <c r="F555" t="b">
        <v>0</v>
      </c>
      <c r="G555" s="2" t="s">
        <v>64</v>
      </c>
      <c r="H555" s="2" t="s">
        <v>41</v>
      </c>
      <c r="I555" s="2" t="s">
        <v>25</v>
      </c>
      <c r="J555" s="2" t="s">
        <v>48</v>
      </c>
      <c r="K555">
        <v>2</v>
      </c>
      <c r="L555" s="2" t="s">
        <v>27</v>
      </c>
      <c r="M555" s="2" t="s">
        <v>66</v>
      </c>
      <c r="N555" t="b">
        <v>1</v>
      </c>
      <c r="O555">
        <v>37</v>
      </c>
      <c r="P555" s="2" t="s">
        <v>29</v>
      </c>
      <c r="Q555">
        <v>9</v>
      </c>
      <c r="R555">
        <v>1</v>
      </c>
      <c r="S555">
        <v>4642</v>
      </c>
      <c r="T555" s="2" t="s">
        <v>51</v>
      </c>
    </row>
    <row r="556" spans="1:20" x14ac:dyDescent="0.3">
      <c r="A556" s="1">
        <v>45509</v>
      </c>
      <c r="B556" s="2" t="s">
        <v>72</v>
      </c>
      <c r="C556" s="2" t="s">
        <v>60</v>
      </c>
      <c r="D556" s="2" t="s">
        <v>22</v>
      </c>
      <c r="E556">
        <v>7887</v>
      </c>
      <c r="F556" t="b">
        <v>0</v>
      </c>
      <c r="G556" s="2" t="s">
        <v>64</v>
      </c>
      <c r="H556" s="2" t="s">
        <v>24</v>
      </c>
      <c r="I556" s="2" t="s">
        <v>59</v>
      </c>
      <c r="J556" s="2" t="s">
        <v>26</v>
      </c>
      <c r="K556">
        <v>2</v>
      </c>
      <c r="L556" s="2" t="s">
        <v>49</v>
      </c>
      <c r="M556" s="2" t="s">
        <v>28</v>
      </c>
      <c r="N556" t="b">
        <v>0</v>
      </c>
      <c r="O556">
        <v>111</v>
      </c>
      <c r="P556" s="2" t="s">
        <v>37</v>
      </c>
      <c r="Q556">
        <v>4</v>
      </c>
      <c r="R556">
        <v>3</v>
      </c>
      <c r="S556">
        <v>3130</v>
      </c>
      <c r="T556" s="2" t="s">
        <v>51</v>
      </c>
    </row>
    <row r="557" spans="1:20" x14ac:dyDescent="0.3">
      <c r="A557" s="1">
        <v>45510</v>
      </c>
      <c r="B557" s="2" t="s">
        <v>52</v>
      </c>
      <c r="C557" s="2" t="s">
        <v>45</v>
      </c>
      <c r="D557" s="2" t="s">
        <v>33</v>
      </c>
      <c r="E557">
        <v>4036</v>
      </c>
      <c r="F557" t="b">
        <v>1</v>
      </c>
      <c r="G557" s="2" t="s">
        <v>65</v>
      </c>
      <c r="H557" s="2" t="s">
        <v>41</v>
      </c>
      <c r="I557" s="2" t="s">
        <v>25</v>
      </c>
      <c r="J557" s="2" t="s">
        <v>26</v>
      </c>
      <c r="K557">
        <v>4</v>
      </c>
      <c r="L557" s="2" t="s">
        <v>49</v>
      </c>
      <c r="M557" s="2" t="s">
        <v>28</v>
      </c>
      <c r="N557" t="b">
        <v>1</v>
      </c>
      <c r="O557">
        <v>22</v>
      </c>
      <c r="P557" s="2" t="s">
        <v>63</v>
      </c>
      <c r="Q557">
        <v>5</v>
      </c>
      <c r="R557">
        <v>1</v>
      </c>
      <c r="S557">
        <v>4612</v>
      </c>
      <c r="T557" s="2" t="s">
        <v>38</v>
      </c>
    </row>
    <row r="558" spans="1:20" x14ac:dyDescent="0.3">
      <c r="A558" s="1">
        <v>45510</v>
      </c>
      <c r="B558" s="2" t="s">
        <v>75</v>
      </c>
      <c r="C558" s="2" t="s">
        <v>32</v>
      </c>
      <c r="D558" s="2" t="s">
        <v>53</v>
      </c>
      <c r="E558">
        <v>6811</v>
      </c>
      <c r="F558" t="b">
        <v>0</v>
      </c>
      <c r="G558" s="2" t="s">
        <v>34</v>
      </c>
      <c r="H558" s="2" t="s">
        <v>35</v>
      </c>
      <c r="I558" s="2" t="s">
        <v>42</v>
      </c>
      <c r="J558" s="2" t="s">
        <v>48</v>
      </c>
      <c r="K558">
        <v>2</v>
      </c>
      <c r="L558" s="2" t="s">
        <v>36</v>
      </c>
      <c r="M558" s="2" t="s">
        <v>66</v>
      </c>
      <c r="N558" t="b">
        <v>0</v>
      </c>
      <c r="O558">
        <v>61</v>
      </c>
      <c r="P558" s="2" t="s">
        <v>37</v>
      </c>
      <c r="Q558">
        <v>3</v>
      </c>
      <c r="R558">
        <v>2</v>
      </c>
      <c r="S558">
        <v>4180</v>
      </c>
      <c r="T558" s="2" t="s">
        <v>30</v>
      </c>
    </row>
    <row r="559" spans="1:20" x14ac:dyDescent="0.3">
      <c r="A559" s="1">
        <v>45510</v>
      </c>
      <c r="B559" s="2" t="s">
        <v>76</v>
      </c>
      <c r="C559" s="2" t="s">
        <v>60</v>
      </c>
      <c r="D559" s="2" t="s">
        <v>61</v>
      </c>
      <c r="E559">
        <v>1000</v>
      </c>
      <c r="F559" t="b">
        <v>1</v>
      </c>
      <c r="G559" s="2" t="s">
        <v>64</v>
      </c>
      <c r="H559" s="2" t="s">
        <v>41</v>
      </c>
      <c r="I559" s="2" t="s">
        <v>25</v>
      </c>
      <c r="J559" s="2" t="s">
        <v>26</v>
      </c>
      <c r="K559">
        <v>5</v>
      </c>
      <c r="L559" s="2" t="s">
        <v>49</v>
      </c>
      <c r="M559" s="2" t="s">
        <v>28</v>
      </c>
      <c r="N559" t="b">
        <v>1</v>
      </c>
      <c r="O559">
        <v>33</v>
      </c>
      <c r="P559" s="2" t="s">
        <v>37</v>
      </c>
      <c r="Q559">
        <v>10</v>
      </c>
      <c r="R559">
        <v>3</v>
      </c>
      <c r="S559">
        <v>3000</v>
      </c>
      <c r="T559" s="2" t="s">
        <v>38</v>
      </c>
    </row>
    <row r="560" spans="1:20" x14ac:dyDescent="0.3">
      <c r="A560" s="1">
        <v>45510</v>
      </c>
      <c r="B560" s="2" t="s">
        <v>74</v>
      </c>
      <c r="C560" s="2" t="s">
        <v>56</v>
      </c>
      <c r="D560" s="2" t="s">
        <v>57</v>
      </c>
      <c r="E560">
        <v>1000</v>
      </c>
      <c r="F560" t="b">
        <v>0</v>
      </c>
      <c r="G560" s="2" t="s">
        <v>65</v>
      </c>
      <c r="H560" s="2" t="s">
        <v>41</v>
      </c>
      <c r="I560" s="2" t="s">
        <v>47</v>
      </c>
      <c r="J560" s="2" t="s">
        <v>26</v>
      </c>
      <c r="K560">
        <v>1</v>
      </c>
      <c r="L560" s="2" t="s">
        <v>27</v>
      </c>
      <c r="M560" s="2" t="s">
        <v>28</v>
      </c>
      <c r="N560" t="b">
        <v>1</v>
      </c>
      <c r="O560">
        <v>111</v>
      </c>
      <c r="P560" s="2" t="s">
        <v>67</v>
      </c>
      <c r="Q560">
        <v>6</v>
      </c>
      <c r="R560">
        <v>3</v>
      </c>
      <c r="S560">
        <v>2524</v>
      </c>
      <c r="T560" s="2" t="s">
        <v>38</v>
      </c>
    </row>
    <row r="561" spans="1:20" x14ac:dyDescent="0.3">
      <c r="A561" s="1">
        <v>45510</v>
      </c>
      <c r="B561" s="2" t="s">
        <v>20</v>
      </c>
      <c r="C561" s="2" t="s">
        <v>21</v>
      </c>
      <c r="D561" s="2" t="s">
        <v>46</v>
      </c>
      <c r="E561">
        <v>3778</v>
      </c>
      <c r="F561" t="b">
        <v>1</v>
      </c>
      <c r="G561" s="2" t="s">
        <v>23</v>
      </c>
      <c r="H561" s="2" t="s">
        <v>35</v>
      </c>
      <c r="I561" s="2" t="s">
        <v>42</v>
      </c>
      <c r="J561" s="2" t="s">
        <v>43</v>
      </c>
      <c r="K561">
        <v>0</v>
      </c>
      <c r="L561" s="2" t="s">
        <v>36</v>
      </c>
      <c r="M561" s="2" t="s">
        <v>58</v>
      </c>
      <c r="N561" t="b">
        <v>0</v>
      </c>
      <c r="O561">
        <v>12</v>
      </c>
      <c r="P561" s="2" t="s">
        <v>37</v>
      </c>
      <c r="Q561">
        <v>5</v>
      </c>
      <c r="R561">
        <v>3</v>
      </c>
      <c r="S561">
        <v>4671</v>
      </c>
      <c r="T561" s="2" t="s">
        <v>30</v>
      </c>
    </row>
    <row r="562" spans="1:20" x14ac:dyDescent="0.3">
      <c r="A562" s="1">
        <v>45511</v>
      </c>
      <c r="B562" s="2" t="s">
        <v>77</v>
      </c>
      <c r="C562" s="2" t="s">
        <v>32</v>
      </c>
      <c r="D562" s="2" t="s">
        <v>53</v>
      </c>
      <c r="E562">
        <v>3246</v>
      </c>
      <c r="F562" t="b">
        <v>0</v>
      </c>
      <c r="G562" s="2" t="s">
        <v>65</v>
      </c>
      <c r="H562" s="2" t="s">
        <v>24</v>
      </c>
      <c r="I562" s="2" t="s">
        <v>25</v>
      </c>
      <c r="J562" s="2" t="s">
        <v>48</v>
      </c>
      <c r="K562">
        <v>4</v>
      </c>
      <c r="L562" s="2" t="s">
        <v>27</v>
      </c>
      <c r="M562" s="2" t="s">
        <v>66</v>
      </c>
      <c r="N562" t="b">
        <v>0</v>
      </c>
      <c r="O562">
        <v>120</v>
      </c>
      <c r="P562" s="2" t="s">
        <v>67</v>
      </c>
      <c r="Q562">
        <v>10</v>
      </c>
      <c r="R562">
        <v>3</v>
      </c>
      <c r="S562">
        <v>2975</v>
      </c>
      <c r="T562" s="2" t="s">
        <v>30</v>
      </c>
    </row>
    <row r="563" spans="1:20" x14ac:dyDescent="0.3">
      <c r="A563" s="1">
        <v>45511</v>
      </c>
      <c r="B563" s="2" t="s">
        <v>72</v>
      </c>
      <c r="C563" s="2" t="s">
        <v>45</v>
      </c>
      <c r="D563" s="2" t="s">
        <v>46</v>
      </c>
      <c r="E563">
        <v>2397</v>
      </c>
      <c r="F563" t="b">
        <v>0</v>
      </c>
      <c r="G563" s="2" t="s">
        <v>23</v>
      </c>
      <c r="H563" s="2" t="s">
        <v>24</v>
      </c>
      <c r="I563" s="2" t="s">
        <v>59</v>
      </c>
      <c r="J563" s="2" t="s">
        <v>43</v>
      </c>
      <c r="K563">
        <v>3</v>
      </c>
      <c r="L563" s="2" t="s">
        <v>27</v>
      </c>
      <c r="M563" s="2" t="s">
        <v>58</v>
      </c>
      <c r="N563" t="b">
        <v>0</v>
      </c>
      <c r="O563">
        <v>103</v>
      </c>
      <c r="P563" s="2" t="s">
        <v>67</v>
      </c>
      <c r="Q563">
        <v>5</v>
      </c>
      <c r="R563">
        <v>2</v>
      </c>
      <c r="S563">
        <v>784</v>
      </c>
      <c r="T563" s="2" t="s">
        <v>30</v>
      </c>
    </row>
    <row r="564" spans="1:20" x14ac:dyDescent="0.3">
      <c r="A564" s="1">
        <v>45512</v>
      </c>
      <c r="B564" s="2" t="s">
        <v>75</v>
      </c>
      <c r="C564" s="2" t="s">
        <v>60</v>
      </c>
      <c r="D564" s="2" t="s">
        <v>61</v>
      </c>
      <c r="E564">
        <v>1000</v>
      </c>
      <c r="F564" t="b">
        <v>1</v>
      </c>
      <c r="G564" s="2" t="s">
        <v>23</v>
      </c>
      <c r="H564" s="2" t="s">
        <v>35</v>
      </c>
      <c r="I564" s="2" t="s">
        <v>25</v>
      </c>
      <c r="J564" s="2" t="s">
        <v>48</v>
      </c>
      <c r="K564">
        <v>3</v>
      </c>
      <c r="L564" s="2" t="s">
        <v>36</v>
      </c>
      <c r="M564" s="2" t="s">
        <v>58</v>
      </c>
      <c r="N564" t="b">
        <v>1</v>
      </c>
      <c r="O564">
        <v>100</v>
      </c>
      <c r="P564" s="2" t="s">
        <v>67</v>
      </c>
      <c r="Q564">
        <v>6</v>
      </c>
      <c r="R564">
        <v>2</v>
      </c>
      <c r="S564">
        <v>2261</v>
      </c>
      <c r="T564" s="2" t="s">
        <v>51</v>
      </c>
    </row>
    <row r="565" spans="1:20" x14ac:dyDescent="0.3">
      <c r="A565" s="1">
        <v>45512</v>
      </c>
      <c r="B565" s="2" t="s">
        <v>76</v>
      </c>
      <c r="C565" s="2" t="s">
        <v>45</v>
      </c>
      <c r="D565" s="2" t="s">
        <v>33</v>
      </c>
      <c r="E565">
        <v>4584</v>
      </c>
      <c r="F565" t="b">
        <v>0</v>
      </c>
      <c r="G565" s="2" t="s">
        <v>40</v>
      </c>
      <c r="H565" s="2" t="s">
        <v>24</v>
      </c>
      <c r="I565" s="2" t="s">
        <v>47</v>
      </c>
      <c r="J565" s="2" t="s">
        <v>26</v>
      </c>
      <c r="K565">
        <v>3</v>
      </c>
      <c r="L565" s="2" t="s">
        <v>49</v>
      </c>
      <c r="M565" s="2" t="s">
        <v>73</v>
      </c>
      <c r="N565" t="b">
        <v>1</v>
      </c>
      <c r="O565">
        <v>89</v>
      </c>
      <c r="P565" s="2" t="s">
        <v>37</v>
      </c>
      <c r="Q565">
        <v>6</v>
      </c>
      <c r="R565">
        <v>3</v>
      </c>
      <c r="S565">
        <v>2244</v>
      </c>
      <c r="T565" s="2" t="s">
        <v>30</v>
      </c>
    </row>
    <row r="566" spans="1:20" x14ac:dyDescent="0.3">
      <c r="A566" s="1">
        <v>45512</v>
      </c>
      <c r="B566" s="2" t="s">
        <v>72</v>
      </c>
      <c r="C566" s="2" t="s">
        <v>56</v>
      </c>
      <c r="D566" s="2" t="s">
        <v>33</v>
      </c>
      <c r="E566">
        <v>3239</v>
      </c>
      <c r="F566" t="b">
        <v>0</v>
      </c>
      <c r="G566" s="2" t="s">
        <v>40</v>
      </c>
      <c r="H566" s="2" t="s">
        <v>41</v>
      </c>
      <c r="I566" s="2" t="s">
        <v>42</v>
      </c>
      <c r="J566" s="2" t="s">
        <v>43</v>
      </c>
      <c r="K566">
        <v>4</v>
      </c>
      <c r="L566" s="2" t="s">
        <v>36</v>
      </c>
      <c r="M566" s="2" t="s">
        <v>28</v>
      </c>
      <c r="N566" t="b">
        <v>1</v>
      </c>
      <c r="O566">
        <v>77</v>
      </c>
      <c r="P566" s="2" t="s">
        <v>29</v>
      </c>
      <c r="Q566">
        <v>8</v>
      </c>
      <c r="R566">
        <v>3</v>
      </c>
      <c r="S566">
        <v>2818</v>
      </c>
      <c r="T566" s="2" t="s">
        <v>30</v>
      </c>
    </row>
    <row r="567" spans="1:20" x14ac:dyDescent="0.3">
      <c r="A567" s="1">
        <v>45512</v>
      </c>
      <c r="B567" s="2" t="s">
        <v>62</v>
      </c>
      <c r="C567" s="2" t="s">
        <v>21</v>
      </c>
      <c r="D567" s="2" t="s">
        <v>22</v>
      </c>
      <c r="E567">
        <v>9700</v>
      </c>
      <c r="F567" t="b">
        <v>0</v>
      </c>
      <c r="G567" s="2" t="s">
        <v>64</v>
      </c>
      <c r="H567" s="2" t="s">
        <v>41</v>
      </c>
      <c r="I567" s="2" t="s">
        <v>47</v>
      </c>
      <c r="J567" s="2" t="s">
        <v>43</v>
      </c>
      <c r="K567">
        <v>3</v>
      </c>
      <c r="L567" s="2" t="s">
        <v>36</v>
      </c>
      <c r="M567" s="2" t="s">
        <v>28</v>
      </c>
      <c r="N567" t="b">
        <v>0</v>
      </c>
      <c r="O567">
        <v>46</v>
      </c>
      <c r="P567" s="2" t="s">
        <v>50</v>
      </c>
      <c r="Q567">
        <v>3</v>
      </c>
      <c r="R567">
        <v>2</v>
      </c>
      <c r="S567">
        <v>3903</v>
      </c>
      <c r="T567" s="2" t="s">
        <v>51</v>
      </c>
    </row>
    <row r="568" spans="1:20" x14ac:dyDescent="0.3">
      <c r="A568" s="1">
        <v>45513</v>
      </c>
      <c r="B568" s="2" t="s">
        <v>62</v>
      </c>
      <c r="C568" s="2" t="s">
        <v>21</v>
      </c>
      <c r="D568" s="2" t="s">
        <v>33</v>
      </c>
      <c r="E568">
        <v>3102</v>
      </c>
      <c r="F568" t="b">
        <v>0</v>
      </c>
      <c r="G568" s="2" t="s">
        <v>40</v>
      </c>
      <c r="H568" s="2" t="s">
        <v>24</v>
      </c>
      <c r="I568" s="2" t="s">
        <v>25</v>
      </c>
      <c r="J568" s="2" t="s">
        <v>26</v>
      </c>
      <c r="K568">
        <v>2</v>
      </c>
      <c r="L568" s="2" t="s">
        <v>49</v>
      </c>
      <c r="M568" s="2" t="s">
        <v>28</v>
      </c>
      <c r="N568" t="b">
        <v>1</v>
      </c>
      <c r="O568">
        <v>110</v>
      </c>
      <c r="P568" s="2" t="s">
        <v>67</v>
      </c>
      <c r="Q568">
        <v>4</v>
      </c>
      <c r="R568">
        <v>1</v>
      </c>
      <c r="S568">
        <v>698</v>
      </c>
      <c r="T568" s="2" t="s">
        <v>30</v>
      </c>
    </row>
    <row r="569" spans="1:20" x14ac:dyDescent="0.3">
      <c r="A569" s="1">
        <v>45513</v>
      </c>
      <c r="B569" s="2" t="s">
        <v>31</v>
      </c>
      <c r="C569" s="2" t="s">
        <v>45</v>
      </c>
      <c r="D569" s="2" t="s">
        <v>33</v>
      </c>
      <c r="E569">
        <v>4377</v>
      </c>
      <c r="F569" t="b">
        <v>1</v>
      </c>
      <c r="G569" s="2" t="s">
        <v>64</v>
      </c>
      <c r="H569" s="2" t="s">
        <v>35</v>
      </c>
      <c r="I569" s="2" t="s">
        <v>42</v>
      </c>
      <c r="J569" s="2" t="s">
        <v>26</v>
      </c>
      <c r="K569">
        <v>0</v>
      </c>
      <c r="L569" s="2" t="s">
        <v>27</v>
      </c>
      <c r="M569" s="2" t="s">
        <v>58</v>
      </c>
      <c r="N569" t="b">
        <v>0</v>
      </c>
      <c r="O569">
        <v>22</v>
      </c>
      <c r="P569" s="2" t="s">
        <v>50</v>
      </c>
      <c r="Q569">
        <v>6</v>
      </c>
      <c r="R569">
        <v>1</v>
      </c>
      <c r="S569">
        <v>2804</v>
      </c>
      <c r="T569" s="2" t="s">
        <v>30</v>
      </c>
    </row>
    <row r="570" spans="1:20" x14ac:dyDescent="0.3">
      <c r="A570" s="1">
        <v>45513</v>
      </c>
      <c r="B570" s="2" t="s">
        <v>72</v>
      </c>
      <c r="C570" s="2" t="s">
        <v>32</v>
      </c>
      <c r="D570" s="2" t="s">
        <v>57</v>
      </c>
      <c r="E570">
        <v>1000</v>
      </c>
      <c r="F570" t="b">
        <v>1</v>
      </c>
      <c r="G570" s="2" t="s">
        <v>65</v>
      </c>
      <c r="H570" s="2" t="s">
        <v>41</v>
      </c>
      <c r="I570" s="2" t="s">
        <v>59</v>
      </c>
      <c r="J570" s="2" t="s">
        <v>26</v>
      </c>
      <c r="K570">
        <v>4</v>
      </c>
      <c r="L570" s="2" t="s">
        <v>27</v>
      </c>
      <c r="M570" s="2" t="s">
        <v>28</v>
      </c>
      <c r="N570" t="b">
        <v>1</v>
      </c>
      <c r="O570">
        <v>42</v>
      </c>
      <c r="P570" s="2" t="s">
        <v>67</v>
      </c>
      <c r="Q570">
        <v>4</v>
      </c>
      <c r="R570">
        <v>1</v>
      </c>
      <c r="S570">
        <v>2616</v>
      </c>
      <c r="T570" s="2" t="s">
        <v>30</v>
      </c>
    </row>
    <row r="571" spans="1:20" x14ac:dyDescent="0.3">
      <c r="A571" s="1">
        <v>45514</v>
      </c>
      <c r="B571" s="2" t="s">
        <v>20</v>
      </c>
      <c r="C571" s="2" t="s">
        <v>45</v>
      </c>
      <c r="D571" s="2" t="s">
        <v>22</v>
      </c>
      <c r="E571">
        <v>8097</v>
      </c>
      <c r="F571" t="b">
        <v>1</v>
      </c>
      <c r="G571" s="2" t="s">
        <v>65</v>
      </c>
      <c r="H571" s="2" t="s">
        <v>70</v>
      </c>
      <c r="I571" s="2" t="s">
        <v>59</v>
      </c>
      <c r="J571" s="2" t="s">
        <v>48</v>
      </c>
      <c r="K571">
        <v>3</v>
      </c>
      <c r="L571" s="2" t="s">
        <v>27</v>
      </c>
      <c r="M571" s="2" t="s">
        <v>66</v>
      </c>
      <c r="N571" t="b">
        <v>0</v>
      </c>
      <c r="O571">
        <v>71</v>
      </c>
      <c r="P571" s="2" t="s">
        <v>50</v>
      </c>
      <c r="Q571">
        <v>3</v>
      </c>
      <c r="R571">
        <v>3</v>
      </c>
      <c r="S571">
        <v>2259</v>
      </c>
      <c r="T571" s="2" t="s">
        <v>51</v>
      </c>
    </row>
    <row r="572" spans="1:20" x14ac:dyDescent="0.3">
      <c r="A572" s="1">
        <v>45514</v>
      </c>
      <c r="B572" s="2" t="s">
        <v>52</v>
      </c>
      <c r="C572" s="2" t="s">
        <v>32</v>
      </c>
      <c r="D572" s="2" t="s">
        <v>46</v>
      </c>
      <c r="E572">
        <v>2453</v>
      </c>
      <c r="F572" t="b">
        <v>1</v>
      </c>
      <c r="G572" s="2" t="s">
        <v>23</v>
      </c>
      <c r="H572" s="2" t="s">
        <v>70</v>
      </c>
      <c r="I572" s="2" t="s">
        <v>47</v>
      </c>
      <c r="J572" s="2" t="s">
        <v>26</v>
      </c>
      <c r="K572">
        <v>1</v>
      </c>
      <c r="L572" s="2" t="s">
        <v>36</v>
      </c>
      <c r="M572" s="2" t="s">
        <v>58</v>
      </c>
      <c r="N572" t="b">
        <v>0</v>
      </c>
      <c r="O572">
        <v>57</v>
      </c>
      <c r="P572" s="2" t="s">
        <v>50</v>
      </c>
      <c r="Q572">
        <v>4</v>
      </c>
      <c r="R572">
        <v>3</v>
      </c>
      <c r="S572">
        <v>629</v>
      </c>
      <c r="T572" s="2" t="s">
        <v>51</v>
      </c>
    </row>
    <row r="573" spans="1:20" x14ac:dyDescent="0.3">
      <c r="A573" s="1">
        <v>45515</v>
      </c>
      <c r="B573" s="2" t="s">
        <v>39</v>
      </c>
      <c r="C573" s="2" t="s">
        <v>60</v>
      </c>
      <c r="D573" s="2" t="s">
        <v>53</v>
      </c>
      <c r="E573">
        <v>4189</v>
      </c>
      <c r="F573" t="b">
        <v>0</v>
      </c>
      <c r="G573" s="2" t="s">
        <v>34</v>
      </c>
      <c r="H573" s="2" t="s">
        <v>35</v>
      </c>
      <c r="I573" s="2" t="s">
        <v>47</v>
      </c>
      <c r="J573" s="2" t="s">
        <v>43</v>
      </c>
      <c r="K573">
        <v>3</v>
      </c>
      <c r="L573" s="2" t="s">
        <v>49</v>
      </c>
      <c r="M573" s="2" t="s">
        <v>73</v>
      </c>
      <c r="N573" t="b">
        <v>1</v>
      </c>
      <c r="O573">
        <v>106</v>
      </c>
      <c r="P573" s="2" t="s">
        <v>50</v>
      </c>
      <c r="Q573">
        <v>2</v>
      </c>
      <c r="R573">
        <v>2</v>
      </c>
      <c r="S573">
        <v>2921</v>
      </c>
      <c r="T573" s="2" t="s">
        <v>30</v>
      </c>
    </row>
    <row r="574" spans="1:20" x14ac:dyDescent="0.3">
      <c r="A574" s="1">
        <v>45516</v>
      </c>
      <c r="B574" s="2" t="s">
        <v>68</v>
      </c>
      <c r="C574" s="2" t="s">
        <v>60</v>
      </c>
      <c r="D574" s="2" t="s">
        <v>33</v>
      </c>
      <c r="E574">
        <v>3870</v>
      </c>
      <c r="F574" t="b">
        <v>0</v>
      </c>
      <c r="G574" s="2" t="s">
        <v>65</v>
      </c>
      <c r="H574" s="2" t="s">
        <v>70</v>
      </c>
      <c r="I574" s="2" t="s">
        <v>25</v>
      </c>
      <c r="J574" s="2" t="s">
        <v>43</v>
      </c>
      <c r="K574">
        <v>2</v>
      </c>
      <c r="L574" s="2" t="s">
        <v>27</v>
      </c>
      <c r="M574" s="2" t="s">
        <v>66</v>
      </c>
      <c r="N574" t="b">
        <v>0</v>
      </c>
      <c r="O574">
        <v>23</v>
      </c>
      <c r="P574" s="2" t="s">
        <v>50</v>
      </c>
      <c r="Q574">
        <v>10</v>
      </c>
      <c r="R574">
        <v>2</v>
      </c>
      <c r="S574">
        <v>3944</v>
      </c>
      <c r="T574" s="2" t="s">
        <v>38</v>
      </c>
    </row>
    <row r="575" spans="1:20" x14ac:dyDescent="0.3">
      <c r="A575" s="1">
        <v>45516</v>
      </c>
      <c r="B575" s="2" t="s">
        <v>44</v>
      </c>
      <c r="C575" s="2" t="s">
        <v>60</v>
      </c>
      <c r="D575" s="2" t="s">
        <v>61</v>
      </c>
      <c r="E575">
        <v>1000</v>
      </c>
      <c r="F575" t="b">
        <v>0</v>
      </c>
      <c r="G575" s="2" t="s">
        <v>23</v>
      </c>
      <c r="H575" s="2" t="s">
        <v>35</v>
      </c>
      <c r="I575" s="2" t="s">
        <v>47</v>
      </c>
      <c r="J575" s="2" t="s">
        <v>48</v>
      </c>
      <c r="K575">
        <v>2</v>
      </c>
      <c r="L575" s="2" t="s">
        <v>36</v>
      </c>
      <c r="M575" s="2" t="s">
        <v>58</v>
      </c>
      <c r="N575" t="b">
        <v>0</v>
      </c>
      <c r="O575">
        <v>117</v>
      </c>
      <c r="P575" s="2" t="s">
        <v>29</v>
      </c>
      <c r="Q575">
        <v>4</v>
      </c>
      <c r="R575">
        <v>2</v>
      </c>
      <c r="S575">
        <v>2782</v>
      </c>
      <c r="T575" s="2" t="s">
        <v>51</v>
      </c>
    </row>
    <row r="576" spans="1:20" x14ac:dyDescent="0.3">
      <c r="A576" s="1">
        <v>45516</v>
      </c>
      <c r="B576" s="2" t="s">
        <v>44</v>
      </c>
      <c r="C576" s="2" t="s">
        <v>56</v>
      </c>
      <c r="D576" s="2" t="s">
        <v>22</v>
      </c>
      <c r="E576">
        <v>6306</v>
      </c>
      <c r="F576" t="b">
        <v>1</v>
      </c>
      <c r="G576" s="2" t="s">
        <v>40</v>
      </c>
      <c r="H576" s="2" t="s">
        <v>24</v>
      </c>
      <c r="I576" s="2" t="s">
        <v>42</v>
      </c>
      <c r="J576" s="2" t="s">
        <v>54</v>
      </c>
      <c r="K576">
        <v>1</v>
      </c>
      <c r="L576" s="2" t="s">
        <v>49</v>
      </c>
      <c r="M576" s="2" t="s">
        <v>73</v>
      </c>
      <c r="N576" t="b">
        <v>0</v>
      </c>
      <c r="O576">
        <v>73</v>
      </c>
      <c r="P576" s="2" t="s">
        <v>50</v>
      </c>
      <c r="Q576">
        <v>7</v>
      </c>
      <c r="R576">
        <v>2</v>
      </c>
      <c r="S576">
        <v>1586</v>
      </c>
      <c r="T576" s="2" t="s">
        <v>30</v>
      </c>
    </row>
    <row r="577" spans="1:20" x14ac:dyDescent="0.3">
      <c r="A577" s="1">
        <v>45516</v>
      </c>
      <c r="B577" s="2" t="s">
        <v>72</v>
      </c>
      <c r="C577" s="2" t="s">
        <v>56</v>
      </c>
      <c r="D577" s="2" t="s">
        <v>22</v>
      </c>
      <c r="E577">
        <v>7336</v>
      </c>
      <c r="F577" t="b">
        <v>0</v>
      </c>
      <c r="G577" s="2" t="s">
        <v>23</v>
      </c>
      <c r="H577" s="2" t="s">
        <v>35</v>
      </c>
      <c r="I577" s="2" t="s">
        <v>47</v>
      </c>
      <c r="J577" s="2" t="s">
        <v>43</v>
      </c>
      <c r="K577">
        <v>1</v>
      </c>
      <c r="L577" s="2" t="s">
        <v>27</v>
      </c>
      <c r="M577" s="2" t="s">
        <v>73</v>
      </c>
      <c r="N577" t="b">
        <v>1</v>
      </c>
      <c r="O577">
        <v>56</v>
      </c>
      <c r="P577" s="2" t="s">
        <v>50</v>
      </c>
      <c r="Q577">
        <v>5</v>
      </c>
      <c r="R577">
        <v>2</v>
      </c>
      <c r="S577">
        <v>2576</v>
      </c>
      <c r="T577" s="2" t="s">
        <v>38</v>
      </c>
    </row>
    <row r="578" spans="1:20" x14ac:dyDescent="0.3">
      <c r="A578" s="1">
        <v>45517</v>
      </c>
      <c r="B578" s="2" t="s">
        <v>52</v>
      </c>
      <c r="C578" s="2" t="s">
        <v>21</v>
      </c>
      <c r="D578" s="2" t="s">
        <v>22</v>
      </c>
      <c r="E578">
        <v>9680</v>
      </c>
      <c r="F578" t="b">
        <v>1</v>
      </c>
      <c r="G578" s="2" t="s">
        <v>40</v>
      </c>
      <c r="H578" s="2" t="s">
        <v>24</v>
      </c>
      <c r="I578" s="2" t="s">
        <v>47</v>
      </c>
      <c r="J578" s="2" t="s">
        <v>54</v>
      </c>
      <c r="K578">
        <v>2</v>
      </c>
      <c r="L578" s="2" t="s">
        <v>49</v>
      </c>
      <c r="M578" s="2" t="s">
        <v>28</v>
      </c>
      <c r="N578" t="b">
        <v>1</v>
      </c>
      <c r="O578">
        <v>78</v>
      </c>
      <c r="P578" s="2" t="s">
        <v>67</v>
      </c>
      <c r="Q578">
        <v>5</v>
      </c>
      <c r="R578">
        <v>3</v>
      </c>
      <c r="S578">
        <v>910</v>
      </c>
      <c r="T578" s="2" t="s">
        <v>30</v>
      </c>
    </row>
    <row r="579" spans="1:20" x14ac:dyDescent="0.3">
      <c r="A579" s="1">
        <v>45517</v>
      </c>
      <c r="B579" s="2" t="s">
        <v>20</v>
      </c>
      <c r="C579" s="2" t="s">
        <v>45</v>
      </c>
      <c r="D579" s="2" t="s">
        <v>53</v>
      </c>
      <c r="E579">
        <v>6749</v>
      </c>
      <c r="F579" t="b">
        <v>0</v>
      </c>
      <c r="G579" s="2" t="s">
        <v>23</v>
      </c>
      <c r="H579" s="2" t="s">
        <v>41</v>
      </c>
      <c r="I579" s="2" t="s">
        <v>25</v>
      </c>
      <c r="J579" s="2" t="s">
        <v>43</v>
      </c>
      <c r="K579">
        <v>1</v>
      </c>
      <c r="L579" s="2" t="s">
        <v>36</v>
      </c>
      <c r="M579" s="2" t="s">
        <v>58</v>
      </c>
      <c r="N579" t="b">
        <v>1</v>
      </c>
      <c r="O579">
        <v>68</v>
      </c>
      <c r="P579" s="2" t="s">
        <v>37</v>
      </c>
      <c r="Q579">
        <v>10</v>
      </c>
      <c r="R579">
        <v>2</v>
      </c>
      <c r="S579">
        <v>1386</v>
      </c>
      <c r="T579" s="2" t="s">
        <v>51</v>
      </c>
    </row>
    <row r="580" spans="1:20" x14ac:dyDescent="0.3">
      <c r="A580" s="1">
        <v>45517</v>
      </c>
      <c r="B580" s="2" t="s">
        <v>44</v>
      </c>
      <c r="C580" s="2" t="s">
        <v>60</v>
      </c>
      <c r="D580" s="2" t="s">
        <v>46</v>
      </c>
      <c r="E580">
        <v>1289</v>
      </c>
      <c r="F580" t="b">
        <v>0</v>
      </c>
      <c r="G580" s="2" t="s">
        <v>40</v>
      </c>
      <c r="H580" s="2" t="s">
        <v>41</v>
      </c>
      <c r="I580" s="2" t="s">
        <v>59</v>
      </c>
      <c r="J580" s="2" t="s">
        <v>48</v>
      </c>
      <c r="K580">
        <v>2</v>
      </c>
      <c r="L580" s="2" t="s">
        <v>36</v>
      </c>
      <c r="M580" s="2" t="s">
        <v>58</v>
      </c>
      <c r="N580" t="b">
        <v>1</v>
      </c>
      <c r="O580">
        <v>38</v>
      </c>
      <c r="P580" s="2" t="s">
        <v>29</v>
      </c>
      <c r="Q580">
        <v>10</v>
      </c>
      <c r="R580">
        <v>3</v>
      </c>
      <c r="S580">
        <v>777</v>
      </c>
      <c r="T580" s="2" t="s">
        <v>51</v>
      </c>
    </row>
    <row r="581" spans="1:20" x14ac:dyDescent="0.3">
      <c r="A581" s="1">
        <v>45517</v>
      </c>
      <c r="B581" s="2" t="s">
        <v>77</v>
      </c>
      <c r="C581" s="2" t="s">
        <v>60</v>
      </c>
      <c r="D581" s="2" t="s">
        <v>46</v>
      </c>
      <c r="E581">
        <v>3316</v>
      </c>
      <c r="F581" t="b">
        <v>1</v>
      </c>
      <c r="G581" s="2" t="s">
        <v>34</v>
      </c>
      <c r="H581" s="2" t="s">
        <v>41</v>
      </c>
      <c r="I581" s="2" t="s">
        <v>42</v>
      </c>
      <c r="J581" s="2" t="s">
        <v>54</v>
      </c>
      <c r="K581">
        <v>4</v>
      </c>
      <c r="L581" s="2" t="s">
        <v>49</v>
      </c>
      <c r="M581" s="2" t="s">
        <v>66</v>
      </c>
      <c r="N581" t="b">
        <v>1</v>
      </c>
      <c r="O581">
        <v>30</v>
      </c>
      <c r="P581" s="2" t="s">
        <v>67</v>
      </c>
      <c r="Q581">
        <v>10</v>
      </c>
      <c r="R581">
        <v>2</v>
      </c>
      <c r="S581">
        <v>3048</v>
      </c>
      <c r="T581" s="2" t="s">
        <v>38</v>
      </c>
    </row>
    <row r="582" spans="1:20" x14ac:dyDescent="0.3">
      <c r="A582" s="1">
        <v>45517</v>
      </c>
      <c r="B582" s="2" t="s">
        <v>72</v>
      </c>
      <c r="C582" s="2" t="s">
        <v>32</v>
      </c>
      <c r="D582" s="2" t="s">
        <v>57</v>
      </c>
      <c r="E582">
        <v>1000</v>
      </c>
      <c r="F582" t="b">
        <v>0</v>
      </c>
      <c r="G582" s="2" t="s">
        <v>40</v>
      </c>
      <c r="H582" s="2" t="s">
        <v>70</v>
      </c>
      <c r="I582" s="2" t="s">
        <v>42</v>
      </c>
      <c r="J582" s="2" t="s">
        <v>26</v>
      </c>
      <c r="K582">
        <v>4</v>
      </c>
      <c r="L582" s="2" t="s">
        <v>36</v>
      </c>
      <c r="M582" s="2" t="s">
        <v>73</v>
      </c>
      <c r="N582" t="b">
        <v>0</v>
      </c>
      <c r="O582">
        <v>96</v>
      </c>
      <c r="P582" s="2" t="s">
        <v>37</v>
      </c>
      <c r="Q582">
        <v>9</v>
      </c>
      <c r="R582">
        <v>2</v>
      </c>
      <c r="S582">
        <v>3102</v>
      </c>
      <c r="T582" s="2" t="s">
        <v>38</v>
      </c>
    </row>
    <row r="583" spans="1:20" x14ac:dyDescent="0.3">
      <c r="A583" s="1">
        <v>45517</v>
      </c>
      <c r="B583" s="2" t="s">
        <v>71</v>
      </c>
      <c r="C583" s="2" t="s">
        <v>45</v>
      </c>
      <c r="D583" s="2" t="s">
        <v>33</v>
      </c>
      <c r="E583">
        <v>1731</v>
      </c>
      <c r="F583" t="b">
        <v>0</v>
      </c>
      <c r="G583" s="2" t="s">
        <v>64</v>
      </c>
      <c r="H583" s="2" t="s">
        <v>24</v>
      </c>
      <c r="I583" s="2" t="s">
        <v>25</v>
      </c>
      <c r="J583" s="2" t="s">
        <v>26</v>
      </c>
      <c r="K583">
        <v>1</v>
      </c>
      <c r="L583" s="2" t="s">
        <v>36</v>
      </c>
      <c r="M583" s="2" t="s">
        <v>58</v>
      </c>
      <c r="N583" t="b">
        <v>1</v>
      </c>
      <c r="O583">
        <v>100</v>
      </c>
      <c r="P583" s="2" t="s">
        <v>29</v>
      </c>
      <c r="Q583">
        <v>8</v>
      </c>
      <c r="R583">
        <v>3</v>
      </c>
      <c r="S583">
        <v>1707</v>
      </c>
      <c r="T583" s="2" t="s">
        <v>30</v>
      </c>
    </row>
    <row r="584" spans="1:20" x14ac:dyDescent="0.3">
      <c r="A584" s="1">
        <v>45517</v>
      </c>
      <c r="B584" s="2" t="s">
        <v>69</v>
      </c>
      <c r="C584" s="2" t="s">
        <v>32</v>
      </c>
      <c r="D584" s="2" t="s">
        <v>33</v>
      </c>
      <c r="E584">
        <v>4237</v>
      </c>
      <c r="F584" t="b">
        <v>0</v>
      </c>
      <c r="G584" s="2" t="s">
        <v>65</v>
      </c>
      <c r="H584" s="2" t="s">
        <v>41</v>
      </c>
      <c r="I584" s="2" t="s">
        <v>59</v>
      </c>
      <c r="J584" s="2" t="s">
        <v>54</v>
      </c>
      <c r="K584">
        <v>5</v>
      </c>
      <c r="L584" s="2" t="s">
        <v>49</v>
      </c>
      <c r="M584" s="2" t="s">
        <v>28</v>
      </c>
      <c r="N584" t="b">
        <v>1</v>
      </c>
      <c r="O584">
        <v>79</v>
      </c>
      <c r="P584" s="2" t="s">
        <v>67</v>
      </c>
      <c r="Q584">
        <v>7</v>
      </c>
      <c r="R584">
        <v>3</v>
      </c>
      <c r="S584">
        <v>4629</v>
      </c>
      <c r="T584" s="2" t="s">
        <v>30</v>
      </c>
    </row>
    <row r="585" spans="1:20" x14ac:dyDescent="0.3">
      <c r="A585" s="1">
        <v>45517</v>
      </c>
      <c r="B585" s="2" t="s">
        <v>77</v>
      </c>
      <c r="C585" s="2" t="s">
        <v>56</v>
      </c>
      <c r="D585" s="2" t="s">
        <v>33</v>
      </c>
      <c r="E585">
        <v>4145</v>
      </c>
      <c r="F585" t="b">
        <v>0</v>
      </c>
      <c r="G585" s="2" t="s">
        <v>40</v>
      </c>
      <c r="H585" s="2" t="s">
        <v>35</v>
      </c>
      <c r="I585" s="2" t="s">
        <v>59</v>
      </c>
      <c r="J585" s="2" t="s">
        <v>26</v>
      </c>
      <c r="K585">
        <v>1</v>
      </c>
      <c r="L585" s="2" t="s">
        <v>49</v>
      </c>
      <c r="M585" s="2" t="s">
        <v>28</v>
      </c>
      <c r="N585" t="b">
        <v>0</v>
      </c>
      <c r="O585">
        <v>45</v>
      </c>
      <c r="P585" s="2" t="s">
        <v>67</v>
      </c>
      <c r="Q585">
        <v>8</v>
      </c>
      <c r="R585">
        <v>3</v>
      </c>
      <c r="S585">
        <v>1632</v>
      </c>
      <c r="T585" s="2" t="s">
        <v>51</v>
      </c>
    </row>
    <row r="586" spans="1:20" x14ac:dyDescent="0.3">
      <c r="A586" s="1">
        <v>45518</v>
      </c>
      <c r="B586" s="2" t="s">
        <v>74</v>
      </c>
      <c r="C586" s="2" t="s">
        <v>56</v>
      </c>
      <c r="D586" s="2" t="s">
        <v>53</v>
      </c>
      <c r="E586">
        <v>5883</v>
      </c>
      <c r="F586" t="b">
        <v>0</v>
      </c>
      <c r="G586" s="2" t="s">
        <v>34</v>
      </c>
      <c r="H586" s="2" t="s">
        <v>35</v>
      </c>
      <c r="I586" s="2" t="s">
        <v>25</v>
      </c>
      <c r="J586" s="2" t="s">
        <v>48</v>
      </c>
      <c r="K586">
        <v>3</v>
      </c>
      <c r="L586" s="2" t="s">
        <v>36</v>
      </c>
      <c r="M586" s="2" t="s">
        <v>66</v>
      </c>
      <c r="N586" t="b">
        <v>0</v>
      </c>
      <c r="O586">
        <v>80</v>
      </c>
      <c r="P586" s="2" t="s">
        <v>29</v>
      </c>
      <c r="Q586">
        <v>5</v>
      </c>
      <c r="R586">
        <v>1</v>
      </c>
      <c r="S586">
        <v>913</v>
      </c>
      <c r="T586" s="2" t="s">
        <v>38</v>
      </c>
    </row>
    <row r="587" spans="1:20" x14ac:dyDescent="0.3">
      <c r="A587" s="1">
        <v>45518</v>
      </c>
      <c r="B587" s="2" t="s">
        <v>31</v>
      </c>
      <c r="C587" s="2" t="s">
        <v>56</v>
      </c>
      <c r="D587" s="2" t="s">
        <v>22</v>
      </c>
      <c r="E587">
        <v>8225</v>
      </c>
      <c r="F587" t="b">
        <v>1</v>
      </c>
      <c r="G587" s="2" t="s">
        <v>40</v>
      </c>
      <c r="H587" s="2" t="s">
        <v>41</v>
      </c>
      <c r="I587" s="2" t="s">
        <v>59</v>
      </c>
      <c r="J587" s="2" t="s">
        <v>26</v>
      </c>
      <c r="K587">
        <v>3</v>
      </c>
      <c r="L587" s="2" t="s">
        <v>49</v>
      </c>
      <c r="M587" s="2" t="s">
        <v>73</v>
      </c>
      <c r="N587" t="b">
        <v>1</v>
      </c>
      <c r="O587">
        <v>25</v>
      </c>
      <c r="P587" s="2" t="s">
        <v>29</v>
      </c>
      <c r="Q587">
        <v>7</v>
      </c>
      <c r="R587">
        <v>3</v>
      </c>
      <c r="S587">
        <v>3575</v>
      </c>
      <c r="T587" s="2" t="s">
        <v>38</v>
      </c>
    </row>
    <row r="588" spans="1:20" x14ac:dyDescent="0.3">
      <c r="A588" s="1">
        <v>45518</v>
      </c>
      <c r="B588" s="2" t="s">
        <v>44</v>
      </c>
      <c r="C588" s="2" t="s">
        <v>45</v>
      </c>
      <c r="D588" s="2" t="s">
        <v>33</v>
      </c>
      <c r="E588">
        <v>3496</v>
      </c>
      <c r="F588" t="b">
        <v>0</v>
      </c>
      <c r="G588" s="2" t="s">
        <v>23</v>
      </c>
      <c r="H588" s="2" t="s">
        <v>35</v>
      </c>
      <c r="I588" s="2" t="s">
        <v>59</v>
      </c>
      <c r="J588" s="2" t="s">
        <v>48</v>
      </c>
      <c r="K588">
        <v>0</v>
      </c>
      <c r="L588" s="2" t="s">
        <v>49</v>
      </c>
      <c r="M588" s="2" t="s">
        <v>28</v>
      </c>
      <c r="N588" t="b">
        <v>0</v>
      </c>
      <c r="O588">
        <v>112</v>
      </c>
      <c r="P588" s="2" t="s">
        <v>63</v>
      </c>
      <c r="Q588">
        <v>7</v>
      </c>
      <c r="R588">
        <v>2</v>
      </c>
      <c r="S588">
        <v>2334</v>
      </c>
      <c r="T588" s="2" t="s">
        <v>51</v>
      </c>
    </row>
    <row r="589" spans="1:20" x14ac:dyDescent="0.3">
      <c r="A589" s="1">
        <v>45518</v>
      </c>
      <c r="B589" s="2" t="s">
        <v>20</v>
      </c>
      <c r="C589" s="2" t="s">
        <v>21</v>
      </c>
      <c r="D589" s="2" t="s">
        <v>46</v>
      </c>
      <c r="E589">
        <v>4987</v>
      </c>
      <c r="F589" t="b">
        <v>0</v>
      </c>
      <c r="G589" s="2" t="s">
        <v>34</v>
      </c>
      <c r="H589" s="2" t="s">
        <v>35</v>
      </c>
      <c r="I589" s="2" t="s">
        <v>25</v>
      </c>
      <c r="J589" s="2" t="s">
        <v>43</v>
      </c>
      <c r="K589">
        <v>2</v>
      </c>
      <c r="L589" s="2" t="s">
        <v>27</v>
      </c>
      <c r="M589" s="2" t="s">
        <v>58</v>
      </c>
      <c r="N589" t="b">
        <v>1</v>
      </c>
      <c r="O589">
        <v>78</v>
      </c>
      <c r="P589" s="2" t="s">
        <v>29</v>
      </c>
      <c r="Q589">
        <v>10</v>
      </c>
      <c r="R589">
        <v>2</v>
      </c>
      <c r="S589">
        <v>1716</v>
      </c>
      <c r="T589" s="2" t="s">
        <v>38</v>
      </c>
    </row>
    <row r="590" spans="1:20" x14ac:dyDescent="0.3">
      <c r="A590" s="1">
        <v>45518</v>
      </c>
      <c r="B590" s="2" t="s">
        <v>31</v>
      </c>
      <c r="C590" s="2" t="s">
        <v>21</v>
      </c>
      <c r="D590" s="2" t="s">
        <v>53</v>
      </c>
      <c r="E590">
        <v>7088</v>
      </c>
      <c r="F590" t="b">
        <v>0</v>
      </c>
      <c r="G590" s="2" t="s">
        <v>40</v>
      </c>
      <c r="H590" s="2" t="s">
        <v>35</v>
      </c>
      <c r="I590" s="2" t="s">
        <v>47</v>
      </c>
      <c r="J590" s="2" t="s">
        <v>48</v>
      </c>
      <c r="K590">
        <v>2</v>
      </c>
      <c r="L590" s="2" t="s">
        <v>36</v>
      </c>
      <c r="M590" s="2" t="s">
        <v>28</v>
      </c>
      <c r="N590" t="b">
        <v>1</v>
      </c>
      <c r="O590">
        <v>25</v>
      </c>
      <c r="P590" s="2" t="s">
        <v>50</v>
      </c>
      <c r="Q590">
        <v>8</v>
      </c>
      <c r="R590">
        <v>1</v>
      </c>
      <c r="S590">
        <v>2523</v>
      </c>
      <c r="T590" s="2" t="s">
        <v>38</v>
      </c>
    </row>
    <row r="591" spans="1:20" x14ac:dyDescent="0.3">
      <c r="A591" s="1">
        <v>45518</v>
      </c>
      <c r="B591" s="2" t="s">
        <v>69</v>
      </c>
      <c r="C591" s="2" t="s">
        <v>45</v>
      </c>
      <c r="D591" s="2" t="s">
        <v>46</v>
      </c>
      <c r="E591">
        <v>3386</v>
      </c>
      <c r="F591" t="b">
        <v>1</v>
      </c>
      <c r="G591" s="2" t="s">
        <v>34</v>
      </c>
      <c r="H591" s="2" t="s">
        <v>70</v>
      </c>
      <c r="I591" s="2" t="s">
        <v>59</v>
      </c>
      <c r="J591" s="2" t="s">
        <v>43</v>
      </c>
      <c r="K591">
        <v>5</v>
      </c>
      <c r="L591" s="2" t="s">
        <v>36</v>
      </c>
      <c r="M591" s="2" t="s">
        <v>58</v>
      </c>
      <c r="N591" t="b">
        <v>0</v>
      </c>
      <c r="O591">
        <v>97</v>
      </c>
      <c r="P591" s="2" t="s">
        <v>67</v>
      </c>
      <c r="Q591">
        <v>3</v>
      </c>
      <c r="R591">
        <v>2</v>
      </c>
      <c r="S591">
        <v>3319</v>
      </c>
      <c r="T591" s="2" t="s">
        <v>51</v>
      </c>
    </row>
    <row r="592" spans="1:20" x14ac:dyDescent="0.3">
      <c r="A592" s="1">
        <v>45519</v>
      </c>
      <c r="B592" s="2" t="s">
        <v>72</v>
      </c>
      <c r="C592" s="2" t="s">
        <v>60</v>
      </c>
      <c r="D592" s="2" t="s">
        <v>33</v>
      </c>
      <c r="E592">
        <v>1997</v>
      </c>
      <c r="F592" t="b">
        <v>1</v>
      </c>
      <c r="G592" s="2" t="s">
        <v>40</v>
      </c>
      <c r="H592" s="2" t="s">
        <v>24</v>
      </c>
      <c r="I592" s="2" t="s">
        <v>47</v>
      </c>
      <c r="J592" s="2" t="s">
        <v>54</v>
      </c>
      <c r="K592">
        <v>1</v>
      </c>
      <c r="L592" s="2" t="s">
        <v>27</v>
      </c>
      <c r="M592" s="2" t="s">
        <v>28</v>
      </c>
      <c r="N592" t="b">
        <v>0</v>
      </c>
      <c r="O592">
        <v>101</v>
      </c>
      <c r="P592" s="2" t="s">
        <v>37</v>
      </c>
      <c r="Q592">
        <v>3</v>
      </c>
      <c r="R592">
        <v>3</v>
      </c>
      <c r="S592">
        <v>4283</v>
      </c>
      <c r="T592" s="2" t="s">
        <v>30</v>
      </c>
    </row>
    <row r="593" spans="1:20" x14ac:dyDescent="0.3">
      <c r="A593" s="1">
        <v>45519</v>
      </c>
      <c r="B593" s="2" t="s">
        <v>72</v>
      </c>
      <c r="C593" s="2" t="s">
        <v>56</v>
      </c>
      <c r="D593" s="2" t="s">
        <v>57</v>
      </c>
      <c r="E593">
        <v>1000</v>
      </c>
      <c r="F593" t="b">
        <v>1</v>
      </c>
      <c r="G593" s="2" t="s">
        <v>23</v>
      </c>
      <c r="H593" s="2" t="s">
        <v>24</v>
      </c>
      <c r="I593" s="2" t="s">
        <v>25</v>
      </c>
      <c r="J593" s="2" t="s">
        <v>26</v>
      </c>
      <c r="K593">
        <v>4</v>
      </c>
      <c r="L593" s="2" t="s">
        <v>49</v>
      </c>
      <c r="M593" s="2" t="s">
        <v>58</v>
      </c>
      <c r="N593" t="b">
        <v>1</v>
      </c>
      <c r="O593">
        <v>18</v>
      </c>
      <c r="P593" s="2" t="s">
        <v>67</v>
      </c>
      <c r="Q593">
        <v>4</v>
      </c>
      <c r="R593">
        <v>2</v>
      </c>
      <c r="S593">
        <v>4763</v>
      </c>
      <c r="T593" s="2" t="s">
        <v>38</v>
      </c>
    </row>
    <row r="594" spans="1:20" x14ac:dyDescent="0.3">
      <c r="A594" s="1">
        <v>45519</v>
      </c>
      <c r="B594" s="2" t="s">
        <v>69</v>
      </c>
      <c r="C594" s="2" t="s">
        <v>32</v>
      </c>
      <c r="D594" s="2" t="s">
        <v>53</v>
      </c>
      <c r="E594">
        <v>6008</v>
      </c>
      <c r="F594" t="b">
        <v>0</v>
      </c>
      <c r="G594" s="2" t="s">
        <v>34</v>
      </c>
      <c r="H594" s="2" t="s">
        <v>24</v>
      </c>
      <c r="I594" s="2" t="s">
        <v>42</v>
      </c>
      <c r="J594" s="2" t="s">
        <v>26</v>
      </c>
      <c r="K594">
        <v>3</v>
      </c>
      <c r="L594" s="2" t="s">
        <v>27</v>
      </c>
      <c r="M594" s="2" t="s">
        <v>58</v>
      </c>
      <c r="N594" t="b">
        <v>0</v>
      </c>
      <c r="O594">
        <v>77</v>
      </c>
      <c r="P594" s="2" t="s">
        <v>67</v>
      </c>
      <c r="Q594">
        <v>8</v>
      </c>
      <c r="R594">
        <v>3</v>
      </c>
      <c r="S594">
        <v>2792</v>
      </c>
      <c r="T594" s="2" t="s">
        <v>38</v>
      </c>
    </row>
    <row r="595" spans="1:20" x14ac:dyDescent="0.3">
      <c r="A595" s="1">
        <v>45519</v>
      </c>
      <c r="B595" s="2" t="s">
        <v>20</v>
      </c>
      <c r="C595" s="2" t="s">
        <v>60</v>
      </c>
      <c r="D595" s="2" t="s">
        <v>33</v>
      </c>
      <c r="E595">
        <v>3857</v>
      </c>
      <c r="F595" t="b">
        <v>1</v>
      </c>
      <c r="G595" s="2" t="s">
        <v>64</v>
      </c>
      <c r="H595" s="2" t="s">
        <v>35</v>
      </c>
      <c r="I595" s="2" t="s">
        <v>47</v>
      </c>
      <c r="J595" s="2" t="s">
        <v>26</v>
      </c>
      <c r="K595">
        <v>2</v>
      </c>
      <c r="L595" s="2" t="s">
        <v>49</v>
      </c>
      <c r="M595" s="2" t="s">
        <v>58</v>
      </c>
      <c r="N595" t="b">
        <v>0</v>
      </c>
      <c r="O595">
        <v>66</v>
      </c>
      <c r="P595" s="2" t="s">
        <v>50</v>
      </c>
      <c r="Q595">
        <v>1</v>
      </c>
      <c r="R595">
        <v>1</v>
      </c>
      <c r="S595">
        <v>1351</v>
      </c>
      <c r="T595" s="2" t="s">
        <v>30</v>
      </c>
    </row>
    <row r="596" spans="1:20" x14ac:dyDescent="0.3">
      <c r="A596" s="1">
        <v>45520</v>
      </c>
      <c r="B596" s="2" t="s">
        <v>71</v>
      </c>
      <c r="C596" s="2" t="s">
        <v>60</v>
      </c>
      <c r="D596" s="2" t="s">
        <v>61</v>
      </c>
      <c r="E596">
        <v>1000</v>
      </c>
      <c r="F596" t="b">
        <v>0</v>
      </c>
      <c r="G596" s="2" t="s">
        <v>23</v>
      </c>
      <c r="H596" s="2" t="s">
        <v>41</v>
      </c>
      <c r="I596" s="2" t="s">
        <v>59</v>
      </c>
      <c r="J596" s="2" t="s">
        <v>54</v>
      </c>
      <c r="K596">
        <v>2</v>
      </c>
      <c r="L596" s="2" t="s">
        <v>27</v>
      </c>
      <c r="M596" s="2" t="s">
        <v>28</v>
      </c>
      <c r="N596" t="b">
        <v>0</v>
      </c>
      <c r="O596">
        <v>25</v>
      </c>
      <c r="P596" s="2" t="s">
        <v>67</v>
      </c>
      <c r="Q596">
        <v>1</v>
      </c>
      <c r="R596">
        <v>3</v>
      </c>
      <c r="S596">
        <v>4988</v>
      </c>
      <c r="T596" s="2" t="s">
        <v>30</v>
      </c>
    </row>
    <row r="597" spans="1:20" x14ac:dyDescent="0.3">
      <c r="A597" s="1">
        <v>45520</v>
      </c>
      <c r="B597" s="2" t="s">
        <v>76</v>
      </c>
      <c r="C597" s="2" t="s">
        <v>60</v>
      </c>
      <c r="D597" s="2" t="s">
        <v>53</v>
      </c>
      <c r="E597">
        <v>7732</v>
      </c>
      <c r="F597" t="b">
        <v>1</v>
      </c>
      <c r="G597" s="2" t="s">
        <v>64</v>
      </c>
      <c r="H597" s="2" t="s">
        <v>24</v>
      </c>
      <c r="I597" s="2" t="s">
        <v>47</v>
      </c>
      <c r="J597" s="2" t="s">
        <v>54</v>
      </c>
      <c r="K597">
        <v>2</v>
      </c>
      <c r="L597" s="2" t="s">
        <v>36</v>
      </c>
      <c r="M597" s="2" t="s">
        <v>28</v>
      </c>
      <c r="N597" t="b">
        <v>0</v>
      </c>
      <c r="O597">
        <v>9</v>
      </c>
      <c r="P597" s="2" t="s">
        <v>67</v>
      </c>
      <c r="Q597">
        <v>7</v>
      </c>
      <c r="R597">
        <v>1</v>
      </c>
      <c r="S597">
        <v>1814</v>
      </c>
      <c r="T597" s="2" t="s">
        <v>38</v>
      </c>
    </row>
    <row r="598" spans="1:20" x14ac:dyDescent="0.3">
      <c r="A598" s="1">
        <v>45520</v>
      </c>
      <c r="B598" s="2" t="s">
        <v>52</v>
      </c>
      <c r="C598" s="2" t="s">
        <v>32</v>
      </c>
      <c r="D598" s="2" t="s">
        <v>57</v>
      </c>
      <c r="E598">
        <v>1000</v>
      </c>
      <c r="F598" t="b">
        <v>1</v>
      </c>
      <c r="G598" s="2" t="s">
        <v>23</v>
      </c>
      <c r="H598" s="2" t="s">
        <v>24</v>
      </c>
      <c r="I598" s="2" t="s">
        <v>42</v>
      </c>
      <c r="J598" s="2" t="s">
        <v>54</v>
      </c>
      <c r="K598">
        <v>4</v>
      </c>
      <c r="L598" s="2" t="s">
        <v>36</v>
      </c>
      <c r="M598" s="2" t="s">
        <v>73</v>
      </c>
      <c r="N598" t="b">
        <v>1</v>
      </c>
      <c r="O598">
        <v>105</v>
      </c>
      <c r="P598" s="2" t="s">
        <v>63</v>
      </c>
      <c r="Q598">
        <v>9</v>
      </c>
      <c r="R598">
        <v>3</v>
      </c>
      <c r="S598">
        <v>1823</v>
      </c>
      <c r="T598" s="2" t="s">
        <v>51</v>
      </c>
    </row>
    <row r="599" spans="1:20" x14ac:dyDescent="0.3">
      <c r="A599" s="1">
        <v>45521</v>
      </c>
      <c r="B599" s="2" t="s">
        <v>31</v>
      </c>
      <c r="C599" s="2" t="s">
        <v>32</v>
      </c>
      <c r="D599" s="2" t="s">
        <v>53</v>
      </c>
      <c r="E599">
        <v>4196</v>
      </c>
      <c r="F599" t="b">
        <v>1</v>
      </c>
      <c r="G599" s="2" t="s">
        <v>65</v>
      </c>
      <c r="H599" s="2" t="s">
        <v>41</v>
      </c>
      <c r="I599" s="2" t="s">
        <v>42</v>
      </c>
      <c r="J599" s="2" t="s">
        <v>54</v>
      </c>
      <c r="K599">
        <v>1</v>
      </c>
      <c r="L599" s="2" t="s">
        <v>49</v>
      </c>
      <c r="M599" s="2" t="s">
        <v>66</v>
      </c>
      <c r="N599" t="b">
        <v>1</v>
      </c>
      <c r="O599">
        <v>91</v>
      </c>
      <c r="P599" s="2" t="s">
        <v>63</v>
      </c>
      <c r="Q599">
        <v>9</v>
      </c>
      <c r="R599">
        <v>1</v>
      </c>
      <c r="S599">
        <v>3277</v>
      </c>
      <c r="T599" s="2" t="s">
        <v>38</v>
      </c>
    </row>
    <row r="600" spans="1:20" x14ac:dyDescent="0.3">
      <c r="A600" s="1">
        <v>45522</v>
      </c>
      <c r="B600" s="2" t="s">
        <v>74</v>
      </c>
      <c r="C600" s="2" t="s">
        <v>45</v>
      </c>
      <c r="D600" s="2" t="s">
        <v>53</v>
      </c>
      <c r="E600">
        <v>7476</v>
      </c>
      <c r="F600" t="b">
        <v>1</v>
      </c>
      <c r="G600" s="2" t="s">
        <v>23</v>
      </c>
      <c r="H600" s="2" t="s">
        <v>70</v>
      </c>
      <c r="I600" s="2" t="s">
        <v>47</v>
      </c>
      <c r="J600" s="2" t="s">
        <v>43</v>
      </c>
      <c r="K600">
        <v>3</v>
      </c>
      <c r="L600" s="2" t="s">
        <v>36</v>
      </c>
      <c r="M600" s="2" t="s">
        <v>28</v>
      </c>
      <c r="N600" t="b">
        <v>1</v>
      </c>
      <c r="O600">
        <v>3</v>
      </c>
      <c r="P600" s="2" t="s">
        <v>37</v>
      </c>
      <c r="Q600">
        <v>9</v>
      </c>
      <c r="R600">
        <v>1</v>
      </c>
      <c r="S600">
        <v>2542</v>
      </c>
      <c r="T600" s="2" t="s">
        <v>38</v>
      </c>
    </row>
    <row r="601" spans="1:20" x14ac:dyDescent="0.3">
      <c r="A601" s="1">
        <v>45522</v>
      </c>
      <c r="B601" s="2" t="s">
        <v>31</v>
      </c>
      <c r="C601" s="2" t="s">
        <v>32</v>
      </c>
      <c r="D601" s="2" t="s">
        <v>22</v>
      </c>
      <c r="E601">
        <v>8481</v>
      </c>
      <c r="F601" t="b">
        <v>0</v>
      </c>
      <c r="G601" s="2" t="s">
        <v>23</v>
      </c>
      <c r="H601" s="2" t="s">
        <v>70</v>
      </c>
      <c r="I601" s="2" t="s">
        <v>47</v>
      </c>
      <c r="J601" s="2" t="s">
        <v>48</v>
      </c>
      <c r="K601">
        <v>4</v>
      </c>
      <c r="L601" s="2" t="s">
        <v>36</v>
      </c>
      <c r="M601" s="2" t="s">
        <v>66</v>
      </c>
      <c r="N601" t="b">
        <v>0</v>
      </c>
      <c r="O601">
        <v>45</v>
      </c>
      <c r="P601" s="2" t="s">
        <v>37</v>
      </c>
      <c r="Q601">
        <v>4</v>
      </c>
      <c r="R601">
        <v>2</v>
      </c>
      <c r="S601">
        <v>4833</v>
      </c>
      <c r="T601" s="2" t="s">
        <v>51</v>
      </c>
    </row>
    <row r="602" spans="1:20" x14ac:dyDescent="0.3">
      <c r="A602" s="1">
        <v>45522</v>
      </c>
      <c r="B602" s="2" t="s">
        <v>62</v>
      </c>
      <c r="C602" s="2" t="s">
        <v>21</v>
      </c>
      <c r="D602" s="2" t="s">
        <v>57</v>
      </c>
      <c r="E602">
        <v>1000</v>
      </c>
      <c r="F602" t="b">
        <v>0</v>
      </c>
      <c r="G602" s="2" t="s">
        <v>40</v>
      </c>
      <c r="H602" s="2" t="s">
        <v>41</v>
      </c>
      <c r="I602" s="2" t="s">
        <v>25</v>
      </c>
      <c r="J602" s="2" t="s">
        <v>48</v>
      </c>
      <c r="K602">
        <v>5</v>
      </c>
      <c r="L602" s="2" t="s">
        <v>49</v>
      </c>
      <c r="M602" s="2" t="s">
        <v>58</v>
      </c>
      <c r="N602" t="b">
        <v>0</v>
      </c>
      <c r="O602">
        <v>19</v>
      </c>
      <c r="P602" s="2" t="s">
        <v>63</v>
      </c>
      <c r="Q602">
        <v>1</v>
      </c>
      <c r="R602">
        <v>2</v>
      </c>
      <c r="S602">
        <v>3718</v>
      </c>
      <c r="T602" s="2" t="s">
        <v>38</v>
      </c>
    </row>
    <row r="603" spans="1:20" x14ac:dyDescent="0.3">
      <c r="A603" s="1">
        <v>45522</v>
      </c>
      <c r="B603" s="2" t="s">
        <v>68</v>
      </c>
      <c r="C603" s="2" t="s">
        <v>60</v>
      </c>
      <c r="D603" s="2" t="s">
        <v>53</v>
      </c>
      <c r="E603">
        <v>5427</v>
      </c>
      <c r="F603" t="b">
        <v>0</v>
      </c>
      <c r="G603" s="2" t="s">
        <v>23</v>
      </c>
      <c r="H603" s="2" t="s">
        <v>41</v>
      </c>
      <c r="I603" s="2" t="s">
        <v>25</v>
      </c>
      <c r="J603" s="2" t="s">
        <v>43</v>
      </c>
      <c r="K603">
        <v>0</v>
      </c>
      <c r="L603" s="2" t="s">
        <v>49</v>
      </c>
      <c r="M603" s="2" t="s">
        <v>58</v>
      </c>
      <c r="N603" t="b">
        <v>0</v>
      </c>
      <c r="O603">
        <v>73</v>
      </c>
      <c r="P603" s="2" t="s">
        <v>37</v>
      </c>
      <c r="Q603">
        <v>3</v>
      </c>
      <c r="R603">
        <v>3</v>
      </c>
      <c r="S603">
        <v>2836</v>
      </c>
      <c r="T603" s="2" t="s">
        <v>38</v>
      </c>
    </row>
    <row r="604" spans="1:20" x14ac:dyDescent="0.3">
      <c r="A604" s="1">
        <v>45522</v>
      </c>
      <c r="B604" s="2" t="s">
        <v>72</v>
      </c>
      <c r="C604" s="2" t="s">
        <v>60</v>
      </c>
      <c r="D604" s="2" t="s">
        <v>22</v>
      </c>
      <c r="E604">
        <v>7914</v>
      </c>
      <c r="F604" t="b">
        <v>0</v>
      </c>
      <c r="G604" s="2" t="s">
        <v>40</v>
      </c>
      <c r="H604" s="2" t="s">
        <v>35</v>
      </c>
      <c r="I604" s="2" t="s">
        <v>25</v>
      </c>
      <c r="J604" s="2" t="s">
        <v>43</v>
      </c>
      <c r="K604">
        <v>1</v>
      </c>
      <c r="L604" s="2" t="s">
        <v>36</v>
      </c>
      <c r="M604" s="2" t="s">
        <v>58</v>
      </c>
      <c r="N604" t="b">
        <v>0</v>
      </c>
      <c r="O604">
        <v>49</v>
      </c>
      <c r="P604" s="2" t="s">
        <v>37</v>
      </c>
      <c r="Q604">
        <v>1</v>
      </c>
      <c r="R604">
        <v>3</v>
      </c>
      <c r="S604">
        <v>3971</v>
      </c>
      <c r="T604" s="2" t="s">
        <v>51</v>
      </c>
    </row>
    <row r="605" spans="1:20" x14ac:dyDescent="0.3">
      <c r="A605" s="1">
        <v>45522</v>
      </c>
      <c r="B605" s="2" t="s">
        <v>20</v>
      </c>
      <c r="C605" s="2" t="s">
        <v>60</v>
      </c>
      <c r="D605" s="2" t="s">
        <v>46</v>
      </c>
      <c r="E605">
        <v>3038</v>
      </c>
      <c r="F605" t="b">
        <v>0</v>
      </c>
      <c r="G605" s="2" t="s">
        <v>23</v>
      </c>
      <c r="H605" s="2" t="s">
        <v>35</v>
      </c>
      <c r="I605" s="2" t="s">
        <v>59</v>
      </c>
      <c r="J605" s="2" t="s">
        <v>54</v>
      </c>
      <c r="K605">
        <v>0</v>
      </c>
      <c r="L605" s="2" t="s">
        <v>27</v>
      </c>
      <c r="M605" s="2" t="s">
        <v>28</v>
      </c>
      <c r="N605" t="b">
        <v>0</v>
      </c>
      <c r="O605">
        <v>98</v>
      </c>
      <c r="P605" s="2" t="s">
        <v>63</v>
      </c>
      <c r="Q605">
        <v>9</v>
      </c>
      <c r="R605">
        <v>3</v>
      </c>
      <c r="S605">
        <v>2347</v>
      </c>
      <c r="T605" s="2" t="s">
        <v>51</v>
      </c>
    </row>
    <row r="606" spans="1:20" x14ac:dyDescent="0.3">
      <c r="A606" s="1">
        <v>45523</v>
      </c>
      <c r="B606" s="2" t="s">
        <v>77</v>
      </c>
      <c r="C606" s="2" t="s">
        <v>60</v>
      </c>
      <c r="D606" s="2" t="s">
        <v>53</v>
      </c>
      <c r="E606">
        <v>2310</v>
      </c>
      <c r="F606" t="b">
        <v>1</v>
      </c>
      <c r="G606" s="2" t="s">
        <v>40</v>
      </c>
      <c r="H606" s="2" t="s">
        <v>41</v>
      </c>
      <c r="I606" s="2" t="s">
        <v>42</v>
      </c>
      <c r="J606" s="2" t="s">
        <v>26</v>
      </c>
      <c r="K606">
        <v>1</v>
      </c>
      <c r="L606" s="2" t="s">
        <v>49</v>
      </c>
      <c r="M606" s="2" t="s">
        <v>73</v>
      </c>
      <c r="N606" t="b">
        <v>0</v>
      </c>
      <c r="O606">
        <v>48</v>
      </c>
      <c r="P606" s="2" t="s">
        <v>63</v>
      </c>
      <c r="Q606">
        <v>2</v>
      </c>
      <c r="R606">
        <v>3</v>
      </c>
      <c r="S606">
        <v>2028</v>
      </c>
      <c r="T606" s="2" t="s">
        <v>38</v>
      </c>
    </row>
    <row r="607" spans="1:20" x14ac:dyDescent="0.3">
      <c r="A607" s="1">
        <v>45523</v>
      </c>
      <c r="B607" s="2" t="s">
        <v>44</v>
      </c>
      <c r="C607" s="2" t="s">
        <v>21</v>
      </c>
      <c r="D607" s="2" t="s">
        <v>53</v>
      </c>
      <c r="E607">
        <v>6564</v>
      </c>
      <c r="F607" t="b">
        <v>1</v>
      </c>
      <c r="G607" s="2" t="s">
        <v>64</v>
      </c>
      <c r="H607" s="2" t="s">
        <v>35</v>
      </c>
      <c r="I607" s="2" t="s">
        <v>42</v>
      </c>
      <c r="J607" s="2" t="s">
        <v>48</v>
      </c>
      <c r="K607">
        <v>1</v>
      </c>
      <c r="L607" s="2" t="s">
        <v>49</v>
      </c>
      <c r="M607" s="2" t="s">
        <v>58</v>
      </c>
      <c r="N607" t="b">
        <v>0</v>
      </c>
      <c r="O607">
        <v>73</v>
      </c>
      <c r="P607" s="2" t="s">
        <v>50</v>
      </c>
      <c r="Q607">
        <v>8</v>
      </c>
      <c r="R607">
        <v>2</v>
      </c>
      <c r="S607">
        <v>4688</v>
      </c>
      <c r="T607" s="2" t="s">
        <v>30</v>
      </c>
    </row>
    <row r="608" spans="1:20" x14ac:dyDescent="0.3">
      <c r="A608" s="1">
        <v>45523</v>
      </c>
      <c r="B608" s="2" t="s">
        <v>76</v>
      </c>
      <c r="C608" s="2" t="s">
        <v>56</v>
      </c>
      <c r="D608" s="2" t="s">
        <v>46</v>
      </c>
      <c r="E608">
        <v>2046</v>
      </c>
      <c r="F608" t="b">
        <v>0</v>
      </c>
      <c r="G608" s="2" t="s">
        <v>65</v>
      </c>
      <c r="H608" s="2" t="s">
        <v>24</v>
      </c>
      <c r="I608" s="2" t="s">
        <v>59</v>
      </c>
      <c r="J608" s="2" t="s">
        <v>54</v>
      </c>
      <c r="K608">
        <v>2</v>
      </c>
      <c r="L608" s="2" t="s">
        <v>36</v>
      </c>
      <c r="M608" s="2" t="s">
        <v>28</v>
      </c>
      <c r="N608" t="b">
        <v>0</v>
      </c>
      <c r="O608">
        <v>34</v>
      </c>
      <c r="P608" s="2" t="s">
        <v>29</v>
      </c>
      <c r="Q608">
        <v>5</v>
      </c>
      <c r="R608">
        <v>2</v>
      </c>
      <c r="S608">
        <v>578</v>
      </c>
      <c r="T608" s="2" t="s">
        <v>51</v>
      </c>
    </row>
    <row r="609" spans="1:20" x14ac:dyDescent="0.3">
      <c r="A609" s="1">
        <v>45523</v>
      </c>
      <c r="B609" s="2" t="s">
        <v>75</v>
      </c>
      <c r="C609" s="2" t="s">
        <v>32</v>
      </c>
      <c r="D609" s="2" t="s">
        <v>33</v>
      </c>
      <c r="E609">
        <v>4860</v>
      </c>
      <c r="F609" t="b">
        <v>1</v>
      </c>
      <c r="G609" s="2" t="s">
        <v>65</v>
      </c>
      <c r="H609" s="2" t="s">
        <v>35</v>
      </c>
      <c r="I609" s="2" t="s">
        <v>25</v>
      </c>
      <c r="J609" s="2" t="s">
        <v>26</v>
      </c>
      <c r="K609">
        <v>0</v>
      </c>
      <c r="L609" s="2" t="s">
        <v>49</v>
      </c>
      <c r="M609" s="2" t="s">
        <v>66</v>
      </c>
      <c r="N609" t="b">
        <v>0</v>
      </c>
      <c r="O609">
        <v>99</v>
      </c>
      <c r="P609" s="2" t="s">
        <v>29</v>
      </c>
      <c r="Q609">
        <v>3</v>
      </c>
      <c r="R609">
        <v>1</v>
      </c>
      <c r="S609">
        <v>4296</v>
      </c>
      <c r="T609" s="2" t="s">
        <v>38</v>
      </c>
    </row>
    <row r="610" spans="1:20" x14ac:dyDescent="0.3">
      <c r="A610" s="1">
        <v>45523</v>
      </c>
      <c r="B610" s="2" t="s">
        <v>77</v>
      </c>
      <c r="C610" s="2" t="s">
        <v>56</v>
      </c>
      <c r="D610" s="2" t="s">
        <v>53</v>
      </c>
      <c r="E610">
        <v>3804</v>
      </c>
      <c r="F610" t="b">
        <v>1</v>
      </c>
      <c r="G610" s="2" t="s">
        <v>34</v>
      </c>
      <c r="H610" s="2" t="s">
        <v>24</v>
      </c>
      <c r="I610" s="2" t="s">
        <v>25</v>
      </c>
      <c r="J610" s="2" t="s">
        <v>43</v>
      </c>
      <c r="K610">
        <v>3</v>
      </c>
      <c r="L610" s="2" t="s">
        <v>49</v>
      </c>
      <c r="M610" s="2" t="s">
        <v>28</v>
      </c>
      <c r="N610" t="b">
        <v>0</v>
      </c>
      <c r="O610">
        <v>94</v>
      </c>
      <c r="P610" s="2" t="s">
        <v>37</v>
      </c>
      <c r="Q610">
        <v>8</v>
      </c>
      <c r="R610">
        <v>1</v>
      </c>
      <c r="S610">
        <v>1418</v>
      </c>
      <c r="T610" s="2" t="s">
        <v>38</v>
      </c>
    </row>
    <row r="611" spans="1:20" x14ac:dyDescent="0.3">
      <c r="A611" s="1">
        <v>45524</v>
      </c>
      <c r="B611" s="2" t="s">
        <v>52</v>
      </c>
      <c r="C611" s="2" t="s">
        <v>32</v>
      </c>
      <c r="D611" s="2" t="s">
        <v>33</v>
      </c>
      <c r="E611">
        <v>2787</v>
      </c>
      <c r="F611" t="b">
        <v>0</v>
      </c>
      <c r="G611" s="2" t="s">
        <v>34</v>
      </c>
      <c r="H611" s="2" t="s">
        <v>24</v>
      </c>
      <c r="I611" s="2" t="s">
        <v>42</v>
      </c>
      <c r="J611" s="2" t="s">
        <v>48</v>
      </c>
      <c r="K611">
        <v>3</v>
      </c>
      <c r="L611" s="2" t="s">
        <v>27</v>
      </c>
      <c r="M611" s="2" t="s">
        <v>28</v>
      </c>
      <c r="N611" t="b">
        <v>0</v>
      </c>
      <c r="O611">
        <v>43</v>
      </c>
      <c r="P611" s="2" t="s">
        <v>50</v>
      </c>
      <c r="Q611">
        <v>1</v>
      </c>
      <c r="R611">
        <v>3</v>
      </c>
      <c r="S611">
        <v>3981</v>
      </c>
      <c r="T611" s="2" t="s">
        <v>38</v>
      </c>
    </row>
    <row r="612" spans="1:20" x14ac:dyDescent="0.3">
      <c r="A612" s="1">
        <v>45525</v>
      </c>
      <c r="B612" s="2" t="s">
        <v>71</v>
      </c>
      <c r="C612" s="2" t="s">
        <v>32</v>
      </c>
      <c r="D612" s="2" t="s">
        <v>53</v>
      </c>
      <c r="E612">
        <v>5249</v>
      </c>
      <c r="F612" t="b">
        <v>1</v>
      </c>
      <c r="G612" s="2" t="s">
        <v>34</v>
      </c>
      <c r="H612" s="2" t="s">
        <v>41</v>
      </c>
      <c r="I612" s="2" t="s">
        <v>59</v>
      </c>
      <c r="J612" s="2" t="s">
        <v>43</v>
      </c>
      <c r="K612">
        <v>0</v>
      </c>
      <c r="L612" s="2" t="s">
        <v>27</v>
      </c>
      <c r="M612" s="2" t="s">
        <v>66</v>
      </c>
      <c r="N612" t="b">
        <v>1</v>
      </c>
      <c r="O612">
        <v>15</v>
      </c>
      <c r="P612" s="2" t="s">
        <v>50</v>
      </c>
      <c r="Q612">
        <v>6</v>
      </c>
      <c r="R612">
        <v>2</v>
      </c>
      <c r="S612">
        <v>2071</v>
      </c>
      <c r="T612" s="2" t="s">
        <v>51</v>
      </c>
    </row>
    <row r="613" spans="1:20" x14ac:dyDescent="0.3">
      <c r="A613" s="1">
        <v>45525</v>
      </c>
      <c r="B613" s="2" t="s">
        <v>44</v>
      </c>
      <c r="C613" s="2" t="s">
        <v>56</v>
      </c>
      <c r="D613" s="2" t="s">
        <v>53</v>
      </c>
      <c r="E613">
        <v>7400</v>
      </c>
      <c r="F613" t="b">
        <v>0</v>
      </c>
      <c r="G613" s="2" t="s">
        <v>34</v>
      </c>
      <c r="H613" s="2" t="s">
        <v>24</v>
      </c>
      <c r="I613" s="2" t="s">
        <v>59</v>
      </c>
      <c r="J613" s="2" t="s">
        <v>43</v>
      </c>
      <c r="K613">
        <v>4</v>
      </c>
      <c r="L613" s="2" t="s">
        <v>36</v>
      </c>
      <c r="M613" s="2" t="s">
        <v>28</v>
      </c>
      <c r="N613" t="b">
        <v>0</v>
      </c>
      <c r="O613">
        <v>117</v>
      </c>
      <c r="P613" s="2" t="s">
        <v>29</v>
      </c>
      <c r="Q613">
        <v>7</v>
      </c>
      <c r="R613">
        <v>1</v>
      </c>
      <c r="S613">
        <v>3905</v>
      </c>
      <c r="T613" s="2" t="s">
        <v>30</v>
      </c>
    </row>
    <row r="614" spans="1:20" x14ac:dyDescent="0.3">
      <c r="A614" s="1">
        <v>45526</v>
      </c>
      <c r="B614" s="2" t="s">
        <v>75</v>
      </c>
      <c r="C614" s="2" t="s">
        <v>60</v>
      </c>
      <c r="D614" s="2" t="s">
        <v>22</v>
      </c>
      <c r="E614">
        <v>6310</v>
      </c>
      <c r="F614" t="b">
        <v>0</v>
      </c>
      <c r="G614" s="2" t="s">
        <v>34</v>
      </c>
      <c r="H614" s="2" t="s">
        <v>70</v>
      </c>
      <c r="I614" s="2" t="s">
        <v>47</v>
      </c>
      <c r="J614" s="2" t="s">
        <v>26</v>
      </c>
      <c r="K614">
        <v>3</v>
      </c>
      <c r="L614" s="2" t="s">
        <v>49</v>
      </c>
      <c r="M614" s="2" t="s">
        <v>66</v>
      </c>
      <c r="N614" t="b">
        <v>1</v>
      </c>
      <c r="O614">
        <v>96</v>
      </c>
      <c r="P614" s="2" t="s">
        <v>29</v>
      </c>
      <c r="Q614">
        <v>1</v>
      </c>
      <c r="R614">
        <v>3</v>
      </c>
      <c r="S614">
        <v>1531</v>
      </c>
      <c r="T614" s="2" t="s">
        <v>38</v>
      </c>
    </row>
    <row r="615" spans="1:20" x14ac:dyDescent="0.3">
      <c r="A615" s="1">
        <v>45526</v>
      </c>
      <c r="B615" s="2" t="s">
        <v>69</v>
      </c>
      <c r="C615" s="2" t="s">
        <v>21</v>
      </c>
      <c r="D615" s="2" t="s">
        <v>22</v>
      </c>
      <c r="E615">
        <v>5364</v>
      </c>
      <c r="F615" t="b">
        <v>0</v>
      </c>
      <c r="G615" s="2" t="s">
        <v>40</v>
      </c>
      <c r="H615" s="2" t="s">
        <v>70</v>
      </c>
      <c r="I615" s="2" t="s">
        <v>25</v>
      </c>
      <c r="J615" s="2" t="s">
        <v>54</v>
      </c>
      <c r="K615">
        <v>5</v>
      </c>
      <c r="L615" s="2" t="s">
        <v>27</v>
      </c>
      <c r="M615" s="2" t="s">
        <v>58</v>
      </c>
      <c r="N615" t="b">
        <v>0</v>
      </c>
      <c r="O615">
        <v>117</v>
      </c>
      <c r="P615" s="2" t="s">
        <v>63</v>
      </c>
      <c r="Q615">
        <v>2</v>
      </c>
      <c r="R615">
        <v>3</v>
      </c>
      <c r="S615">
        <v>1275</v>
      </c>
      <c r="T615" s="2" t="s">
        <v>51</v>
      </c>
    </row>
    <row r="616" spans="1:20" x14ac:dyDescent="0.3">
      <c r="A616" s="1">
        <v>45526</v>
      </c>
      <c r="B616" s="2" t="s">
        <v>74</v>
      </c>
      <c r="C616" s="2" t="s">
        <v>60</v>
      </c>
      <c r="D616" s="2" t="s">
        <v>46</v>
      </c>
      <c r="E616">
        <v>2681</v>
      </c>
      <c r="F616" t="b">
        <v>0</v>
      </c>
      <c r="G616" s="2" t="s">
        <v>64</v>
      </c>
      <c r="H616" s="2" t="s">
        <v>41</v>
      </c>
      <c r="I616" s="2" t="s">
        <v>59</v>
      </c>
      <c r="J616" s="2" t="s">
        <v>26</v>
      </c>
      <c r="K616">
        <v>0</v>
      </c>
      <c r="L616" s="2" t="s">
        <v>36</v>
      </c>
      <c r="M616" s="2" t="s">
        <v>28</v>
      </c>
      <c r="N616" t="b">
        <v>0</v>
      </c>
      <c r="O616">
        <v>73</v>
      </c>
      <c r="P616" s="2" t="s">
        <v>37</v>
      </c>
      <c r="Q616">
        <v>7</v>
      </c>
      <c r="R616">
        <v>3</v>
      </c>
      <c r="S616">
        <v>3080</v>
      </c>
      <c r="T616" s="2" t="s">
        <v>30</v>
      </c>
    </row>
    <row r="617" spans="1:20" x14ac:dyDescent="0.3">
      <c r="A617" s="1">
        <v>45526</v>
      </c>
      <c r="B617" s="2" t="s">
        <v>52</v>
      </c>
      <c r="C617" s="2" t="s">
        <v>21</v>
      </c>
      <c r="D617" s="2" t="s">
        <v>33</v>
      </c>
      <c r="E617">
        <v>3835</v>
      </c>
      <c r="F617" t="b">
        <v>0</v>
      </c>
      <c r="G617" s="2" t="s">
        <v>64</v>
      </c>
      <c r="H617" s="2" t="s">
        <v>24</v>
      </c>
      <c r="I617" s="2" t="s">
        <v>42</v>
      </c>
      <c r="J617" s="2" t="s">
        <v>54</v>
      </c>
      <c r="K617">
        <v>2</v>
      </c>
      <c r="L617" s="2" t="s">
        <v>49</v>
      </c>
      <c r="M617" s="2" t="s">
        <v>28</v>
      </c>
      <c r="N617" t="b">
        <v>0</v>
      </c>
      <c r="O617">
        <v>54</v>
      </c>
      <c r="P617" s="2" t="s">
        <v>50</v>
      </c>
      <c r="Q617">
        <v>1</v>
      </c>
      <c r="R617">
        <v>2</v>
      </c>
      <c r="S617">
        <v>4284</v>
      </c>
      <c r="T617" s="2" t="s">
        <v>30</v>
      </c>
    </row>
    <row r="618" spans="1:20" x14ac:dyDescent="0.3">
      <c r="A618" s="1">
        <v>45527</v>
      </c>
      <c r="B618" s="2" t="s">
        <v>20</v>
      </c>
      <c r="C618" s="2" t="s">
        <v>45</v>
      </c>
      <c r="D618" s="2" t="s">
        <v>22</v>
      </c>
      <c r="E618">
        <v>5954</v>
      </c>
      <c r="F618" t="b">
        <v>0</v>
      </c>
      <c r="G618" s="2" t="s">
        <v>65</v>
      </c>
      <c r="H618" s="2" t="s">
        <v>24</v>
      </c>
      <c r="I618" s="2" t="s">
        <v>25</v>
      </c>
      <c r="J618" s="2" t="s">
        <v>48</v>
      </c>
      <c r="K618">
        <v>4</v>
      </c>
      <c r="L618" s="2" t="s">
        <v>49</v>
      </c>
      <c r="M618" s="2" t="s">
        <v>66</v>
      </c>
      <c r="N618" t="b">
        <v>0</v>
      </c>
      <c r="O618">
        <v>53</v>
      </c>
      <c r="P618" s="2" t="s">
        <v>63</v>
      </c>
      <c r="Q618">
        <v>3</v>
      </c>
      <c r="R618">
        <v>2</v>
      </c>
      <c r="S618">
        <v>2679</v>
      </c>
      <c r="T618" s="2" t="s">
        <v>38</v>
      </c>
    </row>
    <row r="619" spans="1:20" x14ac:dyDescent="0.3">
      <c r="A619" s="1">
        <v>45527</v>
      </c>
      <c r="B619" s="2" t="s">
        <v>31</v>
      </c>
      <c r="C619" s="2" t="s">
        <v>32</v>
      </c>
      <c r="D619" s="2" t="s">
        <v>53</v>
      </c>
      <c r="E619">
        <v>4790</v>
      </c>
      <c r="F619" t="b">
        <v>0</v>
      </c>
      <c r="G619" s="2" t="s">
        <v>34</v>
      </c>
      <c r="H619" s="2" t="s">
        <v>24</v>
      </c>
      <c r="I619" s="2" t="s">
        <v>47</v>
      </c>
      <c r="J619" s="2" t="s">
        <v>54</v>
      </c>
      <c r="K619">
        <v>0</v>
      </c>
      <c r="L619" s="2" t="s">
        <v>27</v>
      </c>
      <c r="M619" s="2" t="s">
        <v>58</v>
      </c>
      <c r="N619" t="b">
        <v>1</v>
      </c>
      <c r="O619">
        <v>17</v>
      </c>
      <c r="P619" s="2" t="s">
        <v>50</v>
      </c>
      <c r="Q619">
        <v>10</v>
      </c>
      <c r="R619">
        <v>2</v>
      </c>
      <c r="S619">
        <v>2478</v>
      </c>
      <c r="T619" s="2" t="s">
        <v>30</v>
      </c>
    </row>
    <row r="620" spans="1:20" x14ac:dyDescent="0.3">
      <c r="A620" s="1">
        <v>45527</v>
      </c>
      <c r="B620" s="2" t="s">
        <v>39</v>
      </c>
      <c r="C620" s="2" t="s">
        <v>60</v>
      </c>
      <c r="D620" s="2" t="s">
        <v>61</v>
      </c>
      <c r="E620">
        <v>1000</v>
      </c>
      <c r="F620" t="b">
        <v>1</v>
      </c>
      <c r="G620" s="2" t="s">
        <v>23</v>
      </c>
      <c r="H620" s="2" t="s">
        <v>35</v>
      </c>
      <c r="I620" s="2" t="s">
        <v>47</v>
      </c>
      <c r="J620" s="2" t="s">
        <v>54</v>
      </c>
      <c r="K620">
        <v>2</v>
      </c>
      <c r="L620" s="2" t="s">
        <v>27</v>
      </c>
      <c r="M620" s="2" t="s">
        <v>28</v>
      </c>
      <c r="N620" t="b">
        <v>1</v>
      </c>
      <c r="O620">
        <v>56</v>
      </c>
      <c r="P620" s="2" t="s">
        <v>63</v>
      </c>
      <c r="Q620">
        <v>3</v>
      </c>
      <c r="R620">
        <v>1</v>
      </c>
      <c r="S620">
        <v>4960</v>
      </c>
      <c r="T620" s="2" t="s">
        <v>51</v>
      </c>
    </row>
    <row r="621" spans="1:20" x14ac:dyDescent="0.3">
      <c r="A621" s="1">
        <v>45528</v>
      </c>
      <c r="B621" s="2" t="s">
        <v>44</v>
      </c>
      <c r="C621" s="2" t="s">
        <v>32</v>
      </c>
      <c r="D621" s="2" t="s">
        <v>57</v>
      </c>
      <c r="E621">
        <v>1000</v>
      </c>
      <c r="F621" t="b">
        <v>1</v>
      </c>
      <c r="G621" s="2" t="s">
        <v>65</v>
      </c>
      <c r="H621" s="2" t="s">
        <v>24</v>
      </c>
      <c r="I621" s="2" t="s">
        <v>47</v>
      </c>
      <c r="J621" s="2" t="s">
        <v>48</v>
      </c>
      <c r="K621">
        <v>4</v>
      </c>
      <c r="L621" s="2" t="s">
        <v>36</v>
      </c>
      <c r="M621" s="2" t="s">
        <v>66</v>
      </c>
      <c r="N621" t="b">
        <v>1</v>
      </c>
      <c r="O621">
        <v>28</v>
      </c>
      <c r="P621" s="2" t="s">
        <v>63</v>
      </c>
      <c r="Q621">
        <v>7</v>
      </c>
      <c r="R621">
        <v>2</v>
      </c>
      <c r="S621">
        <v>4805</v>
      </c>
      <c r="T621" s="2" t="s">
        <v>51</v>
      </c>
    </row>
    <row r="622" spans="1:20" x14ac:dyDescent="0.3">
      <c r="A622" s="1">
        <v>45528</v>
      </c>
      <c r="B622" s="2" t="s">
        <v>55</v>
      </c>
      <c r="C622" s="2" t="s">
        <v>56</v>
      </c>
      <c r="D622" s="2" t="s">
        <v>22</v>
      </c>
      <c r="E622">
        <v>9709</v>
      </c>
      <c r="F622" t="b">
        <v>0</v>
      </c>
      <c r="G622" s="2" t="s">
        <v>23</v>
      </c>
      <c r="H622" s="2" t="s">
        <v>35</v>
      </c>
      <c r="I622" s="2" t="s">
        <v>25</v>
      </c>
      <c r="J622" s="2" t="s">
        <v>26</v>
      </c>
      <c r="K622">
        <v>4</v>
      </c>
      <c r="L622" s="2" t="s">
        <v>27</v>
      </c>
      <c r="M622" s="2" t="s">
        <v>58</v>
      </c>
      <c r="N622" t="b">
        <v>1</v>
      </c>
      <c r="O622">
        <v>37</v>
      </c>
      <c r="P622" s="2" t="s">
        <v>29</v>
      </c>
      <c r="Q622">
        <v>5</v>
      </c>
      <c r="R622">
        <v>1</v>
      </c>
      <c r="S622">
        <v>2401</v>
      </c>
      <c r="T622" s="2" t="s">
        <v>51</v>
      </c>
    </row>
    <row r="623" spans="1:20" x14ac:dyDescent="0.3">
      <c r="A623" s="1">
        <v>45528</v>
      </c>
      <c r="B623" s="2" t="s">
        <v>52</v>
      </c>
      <c r="C623" s="2" t="s">
        <v>21</v>
      </c>
      <c r="D623" s="2" t="s">
        <v>33</v>
      </c>
      <c r="E623">
        <v>3421</v>
      </c>
      <c r="F623" t="b">
        <v>0</v>
      </c>
      <c r="G623" s="2" t="s">
        <v>23</v>
      </c>
      <c r="H623" s="2" t="s">
        <v>70</v>
      </c>
      <c r="I623" s="2" t="s">
        <v>25</v>
      </c>
      <c r="J623" s="2" t="s">
        <v>43</v>
      </c>
      <c r="K623">
        <v>0</v>
      </c>
      <c r="L623" s="2" t="s">
        <v>27</v>
      </c>
      <c r="M623" s="2" t="s">
        <v>66</v>
      </c>
      <c r="N623" t="b">
        <v>0</v>
      </c>
      <c r="O623">
        <v>76</v>
      </c>
      <c r="P623" s="2" t="s">
        <v>63</v>
      </c>
      <c r="Q623">
        <v>3</v>
      </c>
      <c r="R623">
        <v>1</v>
      </c>
      <c r="S623">
        <v>1525</v>
      </c>
      <c r="T623" s="2" t="s">
        <v>38</v>
      </c>
    </row>
    <row r="624" spans="1:20" x14ac:dyDescent="0.3">
      <c r="A624" s="1">
        <v>45529</v>
      </c>
      <c r="B624" s="2" t="s">
        <v>69</v>
      </c>
      <c r="C624" s="2" t="s">
        <v>56</v>
      </c>
      <c r="D624" s="2" t="s">
        <v>46</v>
      </c>
      <c r="E624">
        <v>2829</v>
      </c>
      <c r="F624" t="b">
        <v>1</v>
      </c>
      <c r="G624" s="2" t="s">
        <v>34</v>
      </c>
      <c r="H624" s="2" t="s">
        <v>24</v>
      </c>
      <c r="I624" s="2" t="s">
        <v>47</v>
      </c>
      <c r="J624" s="2" t="s">
        <v>48</v>
      </c>
      <c r="K624">
        <v>1</v>
      </c>
      <c r="L624" s="2" t="s">
        <v>49</v>
      </c>
      <c r="M624" s="2" t="s">
        <v>58</v>
      </c>
      <c r="N624" t="b">
        <v>1</v>
      </c>
      <c r="O624">
        <v>80</v>
      </c>
      <c r="P624" s="2" t="s">
        <v>67</v>
      </c>
      <c r="Q624">
        <v>10</v>
      </c>
      <c r="R624">
        <v>3</v>
      </c>
      <c r="S624">
        <v>1847</v>
      </c>
      <c r="T624" s="2" t="s">
        <v>30</v>
      </c>
    </row>
    <row r="625" spans="1:20" x14ac:dyDescent="0.3">
      <c r="A625" s="1">
        <v>45529</v>
      </c>
      <c r="B625" s="2" t="s">
        <v>52</v>
      </c>
      <c r="C625" s="2" t="s">
        <v>56</v>
      </c>
      <c r="D625" s="2" t="s">
        <v>53</v>
      </c>
      <c r="E625">
        <v>6029</v>
      </c>
      <c r="F625" t="b">
        <v>1</v>
      </c>
      <c r="G625" s="2" t="s">
        <v>40</v>
      </c>
      <c r="H625" s="2" t="s">
        <v>24</v>
      </c>
      <c r="I625" s="2" t="s">
        <v>59</v>
      </c>
      <c r="J625" s="2" t="s">
        <v>43</v>
      </c>
      <c r="K625">
        <v>0</v>
      </c>
      <c r="L625" s="2" t="s">
        <v>49</v>
      </c>
      <c r="M625" s="2" t="s">
        <v>58</v>
      </c>
      <c r="N625" t="b">
        <v>0</v>
      </c>
      <c r="O625">
        <v>79</v>
      </c>
      <c r="P625" s="2" t="s">
        <v>67</v>
      </c>
      <c r="Q625">
        <v>9</v>
      </c>
      <c r="R625">
        <v>2</v>
      </c>
      <c r="S625">
        <v>2066</v>
      </c>
      <c r="T625" s="2" t="s">
        <v>51</v>
      </c>
    </row>
    <row r="626" spans="1:20" x14ac:dyDescent="0.3">
      <c r="A626" s="1">
        <v>45529</v>
      </c>
      <c r="B626" s="2" t="s">
        <v>71</v>
      </c>
      <c r="C626" s="2" t="s">
        <v>45</v>
      </c>
      <c r="D626" s="2" t="s">
        <v>33</v>
      </c>
      <c r="E626">
        <v>2782</v>
      </c>
      <c r="F626" t="b">
        <v>0</v>
      </c>
      <c r="G626" s="2" t="s">
        <v>40</v>
      </c>
      <c r="H626" s="2" t="s">
        <v>70</v>
      </c>
      <c r="I626" s="2" t="s">
        <v>59</v>
      </c>
      <c r="J626" s="2" t="s">
        <v>54</v>
      </c>
      <c r="K626">
        <v>3</v>
      </c>
      <c r="L626" s="2" t="s">
        <v>36</v>
      </c>
      <c r="M626" s="2" t="s">
        <v>73</v>
      </c>
      <c r="N626" t="b">
        <v>1</v>
      </c>
      <c r="O626">
        <v>120</v>
      </c>
      <c r="P626" s="2" t="s">
        <v>29</v>
      </c>
      <c r="Q626">
        <v>6</v>
      </c>
      <c r="R626">
        <v>2</v>
      </c>
      <c r="S626">
        <v>3927</v>
      </c>
      <c r="T626" s="2" t="s">
        <v>51</v>
      </c>
    </row>
    <row r="627" spans="1:20" x14ac:dyDescent="0.3">
      <c r="A627" s="1">
        <v>45529</v>
      </c>
      <c r="B627" s="2" t="s">
        <v>39</v>
      </c>
      <c r="C627" s="2" t="s">
        <v>45</v>
      </c>
      <c r="D627" s="2" t="s">
        <v>57</v>
      </c>
      <c r="E627">
        <v>1000</v>
      </c>
      <c r="F627" t="b">
        <v>1</v>
      </c>
      <c r="G627" s="2" t="s">
        <v>65</v>
      </c>
      <c r="H627" s="2" t="s">
        <v>70</v>
      </c>
      <c r="I627" s="2" t="s">
        <v>59</v>
      </c>
      <c r="J627" s="2" t="s">
        <v>54</v>
      </c>
      <c r="K627">
        <v>4</v>
      </c>
      <c r="L627" s="2" t="s">
        <v>36</v>
      </c>
      <c r="M627" s="2" t="s">
        <v>73</v>
      </c>
      <c r="N627" t="b">
        <v>1</v>
      </c>
      <c r="O627">
        <v>56</v>
      </c>
      <c r="P627" s="2" t="s">
        <v>37</v>
      </c>
      <c r="Q627">
        <v>7</v>
      </c>
      <c r="R627">
        <v>1</v>
      </c>
      <c r="S627">
        <v>3804</v>
      </c>
      <c r="T627" s="2" t="s">
        <v>30</v>
      </c>
    </row>
    <row r="628" spans="1:20" x14ac:dyDescent="0.3">
      <c r="A628" s="1">
        <v>45530</v>
      </c>
      <c r="B628" s="2" t="s">
        <v>20</v>
      </c>
      <c r="C628" s="2" t="s">
        <v>45</v>
      </c>
      <c r="D628" s="2" t="s">
        <v>22</v>
      </c>
      <c r="E628">
        <v>5725</v>
      </c>
      <c r="F628" t="b">
        <v>0</v>
      </c>
      <c r="G628" s="2" t="s">
        <v>65</v>
      </c>
      <c r="H628" s="2" t="s">
        <v>24</v>
      </c>
      <c r="I628" s="2" t="s">
        <v>42</v>
      </c>
      <c r="J628" s="2" t="s">
        <v>54</v>
      </c>
      <c r="K628">
        <v>5</v>
      </c>
      <c r="L628" s="2" t="s">
        <v>36</v>
      </c>
      <c r="M628" s="2" t="s">
        <v>66</v>
      </c>
      <c r="N628" t="b">
        <v>0</v>
      </c>
      <c r="O628">
        <v>37</v>
      </c>
      <c r="P628" s="2" t="s">
        <v>63</v>
      </c>
      <c r="Q628">
        <v>7</v>
      </c>
      <c r="R628">
        <v>2</v>
      </c>
      <c r="S628">
        <v>2482</v>
      </c>
      <c r="T628" s="2" t="s">
        <v>38</v>
      </c>
    </row>
    <row r="629" spans="1:20" x14ac:dyDescent="0.3">
      <c r="A629" s="1">
        <v>45530</v>
      </c>
      <c r="B629" s="2" t="s">
        <v>68</v>
      </c>
      <c r="C629" s="2" t="s">
        <v>56</v>
      </c>
      <c r="D629" s="2" t="s">
        <v>22</v>
      </c>
      <c r="E629">
        <v>8706</v>
      </c>
      <c r="F629" t="b">
        <v>1</v>
      </c>
      <c r="G629" s="2" t="s">
        <v>40</v>
      </c>
      <c r="H629" s="2" t="s">
        <v>35</v>
      </c>
      <c r="I629" s="2" t="s">
        <v>59</v>
      </c>
      <c r="J629" s="2" t="s">
        <v>54</v>
      </c>
      <c r="K629">
        <v>6</v>
      </c>
      <c r="L629" s="2" t="s">
        <v>36</v>
      </c>
      <c r="M629" s="2" t="s">
        <v>28</v>
      </c>
      <c r="N629" t="b">
        <v>0</v>
      </c>
      <c r="O629">
        <v>117</v>
      </c>
      <c r="P629" s="2" t="s">
        <v>37</v>
      </c>
      <c r="Q629">
        <v>6</v>
      </c>
      <c r="R629">
        <v>3</v>
      </c>
      <c r="S629">
        <v>3613</v>
      </c>
      <c r="T629" s="2" t="s">
        <v>51</v>
      </c>
    </row>
    <row r="630" spans="1:20" x14ac:dyDescent="0.3">
      <c r="A630" s="1">
        <v>45530</v>
      </c>
      <c r="B630" s="2" t="s">
        <v>72</v>
      </c>
      <c r="C630" s="2" t="s">
        <v>32</v>
      </c>
      <c r="D630" s="2" t="s">
        <v>33</v>
      </c>
      <c r="E630">
        <v>3811</v>
      </c>
      <c r="F630" t="b">
        <v>0</v>
      </c>
      <c r="G630" s="2" t="s">
        <v>64</v>
      </c>
      <c r="H630" s="2" t="s">
        <v>41</v>
      </c>
      <c r="I630" s="2" t="s">
        <v>47</v>
      </c>
      <c r="J630" s="2" t="s">
        <v>26</v>
      </c>
      <c r="K630">
        <v>1</v>
      </c>
      <c r="L630" s="2" t="s">
        <v>36</v>
      </c>
      <c r="M630" s="2" t="s">
        <v>58</v>
      </c>
      <c r="N630" t="b">
        <v>1</v>
      </c>
      <c r="O630">
        <v>9</v>
      </c>
      <c r="P630" s="2" t="s">
        <v>63</v>
      </c>
      <c r="Q630">
        <v>8</v>
      </c>
      <c r="R630">
        <v>1</v>
      </c>
      <c r="S630">
        <v>2593</v>
      </c>
      <c r="T630" s="2" t="s">
        <v>38</v>
      </c>
    </row>
    <row r="631" spans="1:20" x14ac:dyDescent="0.3">
      <c r="A631" s="1">
        <v>45531</v>
      </c>
      <c r="B631" s="2" t="s">
        <v>69</v>
      </c>
      <c r="C631" s="2" t="s">
        <v>21</v>
      </c>
      <c r="D631" s="2" t="s">
        <v>22</v>
      </c>
      <c r="E631">
        <v>8878</v>
      </c>
      <c r="F631" t="b">
        <v>0</v>
      </c>
      <c r="G631" s="2" t="s">
        <v>34</v>
      </c>
      <c r="H631" s="2" t="s">
        <v>24</v>
      </c>
      <c r="I631" s="2" t="s">
        <v>42</v>
      </c>
      <c r="J631" s="2" t="s">
        <v>43</v>
      </c>
      <c r="K631">
        <v>1</v>
      </c>
      <c r="L631" s="2" t="s">
        <v>27</v>
      </c>
      <c r="M631" s="2" t="s">
        <v>66</v>
      </c>
      <c r="N631" t="b">
        <v>0</v>
      </c>
      <c r="O631">
        <v>36</v>
      </c>
      <c r="P631" s="2" t="s">
        <v>50</v>
      </c>
      <c r="Q631">
        <v>3</v>
      </c>
      <c r="R631">
        <v>3</v>
      </c>
      <c r="S631">
        <v>3456</v>
      </c>
      <c r="T631" s="2" t="s">
        <v>51</v>
      </c>
    </row>
    <row r="632" spans="1:20" x14ac:dyDescent="0.3">
      <c r="A632" s="1">
        <v>45531</v>
      </c>
      <c r="B632" s="2" t="s">
        <v>71</v>
      </c>
      <c r="C632" s="2" t="s">
        <v>32</v>
      </c>
      <c r="D632" s="2" t="s">
        <v>22</v>
      </c>
      <c r="E632">
        <v>9535</v>
      </c>
      <c r="F632" t="b">
        <v>1</v>
      </c>
      <c r="G632" s="2" t="s">
        <v>40</v>
      </c>
      <c r="H632" s="2" t="s">
        <v>70</v>
      </c>
      <c r="I632" s="2" t="s">
        <v>59</v>
      </c>
      <c r="J632" s="2" t="s">
        <v>26</v>
      </c>
      <c r="K632">
        <v>3</v>
      </c>
      <c r="L632" s="2" t="s">
        <v>27</v>
      </c>
      <c r="M632" s="2" t="s">
        <v>58</v>
      </c>
      <c r="N632" t="b">
        <v>1</v>
      </c>
      <c r="O632">
        <v>2</v>
      </c>
      <c r="P632" s="2" t="s">
        <v>63</v>
      </c>
      <c r="Q632">
        <v>10</v>
      </c>
      <c r="R632">
        <v>2</v>
      </c>
      <c r="S632">
        <v>1265</v>
      </c>
      <c r="T632" s="2" t="s">
        <v>51</v>
      </c>
    </row>
    <row r="633" spans="1:20" x14ac:dyDescent="0.3">
      <c r="A633" s="1">
        <v>45531</v>
      </c>
      <c r="B633" s="2" t="s">
        <v>44</v>
      </c>
      <c r="C633" s="2" t="s">
        <v>60</v>
      </c>
      <c r="D633" s="2" t="s">
        <v>46</v>
      </c>
      <c r="E633">
        <v>1442</v>
      </c>
      <c r="F633" t="b">
        <v>0</v>
      </c>
      <c r="G633" s="2" t="s">
        <v>65</v>
      </c>
      <c r="H633" s="2" t="s">
        <v>70</v>
      </c>
      <c r="I633" s="2" t="s">
        <v>25</v>
      </c>
      <c r="J633" s="2" t="s">
        <v>54</v>
      </c>
      <c r="K633">
        <v>1</v>
      </c>
      <c r="L633" s="2" t="s">
        <v>36</v>
      </c>
      <c r="M633" s="2" t="s">
        <v>28</v>
      </c>
      <c r="N633" t="b">
        <v>0</v>
      </c>
      <c r="O633">
        <v>44</v>
      </c>
      <c r="P633" s="2" t="s">
        <v>63</v>
      </c>
      <c r="Q633">
        <v>6</v>
      </c>
      <c r="R633">
        <v>2</v>
      </c>
      <c r="S633">
        <v>2889</v>
      </c>
      <c r="T633" s="2" t="s">
        <v>51</v>
      </c>
    </row>
    <row r="634" spans="1:20" x14ac:dyDescent="0.3">
      <c r="A634" s="1">
        <v>45531</v>
      </c>
      <c r="B634" s="2" t="s">
        <v>75</v>
      </c>
      <c r="C634" s="2" t="s">
        <v>60</v>
      </c>
      <c r="D634" s="2" t="s">
        <v>61</v>
      </c>
      <c r="E634">
        <v>1000</v>
      </c>
      <c r="F634" t="b">
        <v>0</v>
      </c>
      <c r="G634" s="2" t="s">
        <v>65</v>
      </c>
      <c r="H634" s="2" t="s">
        <v>35</v>
      </c>
      <c r="I634" s="2" t="s">
        <v>59</v>
      </c>
      <c r="J634" s="2" t="s">
        <v>48</v>
      </c>
      <c r="K634">
        <v>2</v>
      </c>
      <c r="L634" s="2" t="s">
        <v>49</v>
      </c>
      <c r="M634" s="2" t="s">
        <v>73</v>
      </c>
      <c r="N634" t="b">
        <v>0</v>
      </c>
      <c r="O634">
        <v>15</v>
      </c>
      <c r="P634" s="2" t="s">
        <v>50</v>
      </c>
      <c r="Q634">
        <v>6</v>
      </c>
      <c r="R634">
        <v>1</v>
      </c>
      <c r="S634">
        <v>1136</v>
      </c>
      <c r="T634" s="2" t="s">
        <v>38</v>
      </c>
    </row>
    <row r="635" spans="1:20" x14ac:dyDescent="0.3">
      <c r="A635" s="1">
        <v>45532</v>
      </c>
      <c r="B635" s="2" t="s">
        <v>69</v>
      </c>
      <c r="C635" s="2" t="s">
        <v>45</v>
      </c>
      <c r="D635" s="2" t="s">
        <v>33</v>
      </c>
      <c r="E635">
        <v>2668</v>
      </c>
      <c r="F635" t="b">
        <v>1</v>
      </c>
      <c r="G635" s="2" t="s">
        <v>65</v>
      </c>
      <c r="H635" s="2" t="s">
        <v>35</v>
      </c>
      <c r="I635" s="2" t="s">
        <v>59</v>
      </c>
      <c r="J635" s="2" t="s">
        <v>43</v>
      </c>
      <c r="K635">
        <v>1</v>
      </c>
      <c r="L635" s="2" t="s">
        <v>27</v>
      </c>
      <c r="M635" s="2" t="s">
        <v>58</v>
      </c>
      <c r="N635" t="b">
        <v>0</v>
      </c>
      <c r="O635">
        <v>65</v>
      </c>
      <c r="P635" s="2" t="s">
        <v>29</v>
      </c>
      <c r="Q635">
        <v>7</v>
      </c>
      <c r="R635">
        <v>1</v>
      </c>
      <c r="S635">
        <v>4002</v>
      </c>
      <c r="T635" s="2" t="s">
        <v>30</v>
      </c>
    </row>
    <row r="636" spans="1:20" x14ac:dyDescent="0.3">
      <c r="A636" s="1">
        <v>45532</v>
      </c>
      <c r="B636" s="2" t="s">
        <v>55</v>
      </c>
      <c r="C636" s="2" t="s">
        <v>56</v>
      </c>
      <c r="D636" s="2" t="s">
        <v>57</v>
      </c>
      <c r="E636">
        <v>1000</v>
      </c>
      <c r="F636" t="b">
        <v>0</v>
      </c>
      <c r="G636" s="2" t="s">
        <v>65</v>
      </c>
      <c r="H636" s="2" t="s">
        <v>24</v>
      </c>
      <c r="I636" s="2" t="s">
        <v>42</v>
      </c>
      <c r="J636" s="2" t="s">
        <v>54</v>
      </c>
      <c r="K636">
        <v>1</v>
      </c>
      <c r="L636" s="2" t="s">
        <v>49</v>
      </c>
      <c r="M636" s="2" t="s">
        <v>58</v>
      </c>
      <c r="N636" t="b">
        <v>1</v>
      </c>
      <c r="O636">
        <v>97</v>
      </c>
      <c r="P636" s="2" t="s">
        <v>50</v>
      </c>
      <c r="Q636">
        <v>7</v>
      </c>
      <c r="R636">
        <v>3</v>
      </c>
      <c r="S636">
        <v>2259</v>
      </c>
      <c r="T636" s="2" t="s">
        <v>38</v>
      </c>
    </row>
    <row r="637" spans="1:20" x14ac:dyDescent="0.3">
      <c r="A637" s="1">
        <v>45536</v>
      </c>
      <c r="B637" s="2" t="s">
        <v>72</v>
      </c>
      <c r="C637" s="2" t="s">
        <v>60</v>
      </c>
      <c r="D637" s="2" t="s">
        <v>61</v>
      </c>
      <c r="E637">
        <v>1000</v>
      </c>
      <c r="F637" t="b">
        <v>1</v>
      </c>
      <c r="G637" s="2" t="s">
        <v>64</v>
      </c>
      <c r="H637" s="2" t="s">
        <v>41</v>
      </c>
      <c r="I637" s="2" t="s">
        <v>42</v>
      </c>
      <c r="J637" s="2" t="s">
        <v>43</v>
      </c>
      <c r="K637">
        <v>1</v>
      </c>
      <c r="L637" s="2" t="s">
        <v>36</v>
      </c>
      <c r="M637" s="2" t="s">
        <v>28</v>
      </c>
      <c r="N637" t="b">
        <v>1</v>
      </c>
      <c r="O637">
        <v>47</v>
      </c>
      <c r="P637" s="2" t="s">
        <v>29</v>
      </c>
      <c r="Q637">
        <v>3</v>
      </c>
      <c r="R637">
        <v>1</v>
      </c>
      <c r="S637">
        <v>3215</v>
      </c>
      <c r="T637" s="2" t="s">
        <v>38</v>
      </c>
    </row>
    <row r="638" spans="1:20" x14ac:dyDescent="0.3">
      <c r="A638" s="1">
        <v>45536</v>
      </c>
      <c r="B638" s="2" t="s">
        <v>77</v>
      </c>
      <c r="C638" s="2" t="s">
        <v>21</v>
      </c>
      <c r="D638" s="2" t="s">
        <v>33</v>
      </c>
      <c r="E638">
        <v>2271</v>
      </c>
      <c r="F638" t="b">
        <v>0</v>
      </c>
      <c r="G638" s="2" t="s">
        <v>40</v>
      </c>
      <c r="H638" s="2" t="s">
        <v>24</v>
      </c>
      <c r="I638" s="2" t="s">
        <v>42</v>
      </c>
      <c r="J638" s="2" t="s">
        <v>43</v>
      </c>
      <c r="K638">
        <v>0</v>
      </c>
      <c r="L638" s="2" t="s">
        <v>36</v>
      </c>
      <c r="M638" s="2" t="s">
        <v>73</v>
      </c>
      <c r="N638" t="b">
        <v>0</v>
      </c>
      <c r="O638">
        <v>103</v>
      </c>
      <c r="P638" s="2" t="s">
        <v>37</v>
      </c>
      <c r="Q638">
        <v>7</v>
      </c>
      <c r="R638">
        <v>2</v>
      </c>
      <c r="S638">
        <v>1459</v>
      </c>
      <c r="T638" s="2" t="s">
        <v>30</v>
      </c>
    </row>
    <row r="639" spans="1:20" x14ac:dyDescent="0.3">
      <c r="A639" s="1">
        <v>45536</v>
      </c>
      <c r="B639" s="2" t="s">
        <v>52</v>
      </c>
      <c r="C639" s="2" t="s">
        <v>60</v>
      </c>
      <c r="D639" s="2" t="s">
        <v>61</v>
      </c>
      <c r="E639">
        <v>1000</v>
      </c>
      <c r="F639" t="b">
        <v>1</v>
      </c>
      <c r="G639" s="2" t="s">
        <v>23</v>
      </c>
      <c r="H639" s="2" t="s">
        <v>41</v>
      </c>
      <c r="I639" s="2" t="s">
        <v>42</v>
      </c>
      <c r="J639" s="2" t="s">
        <v>43</v>
      </c>
      <c r="K639">
        <v>2</v>
      </c>
      <c r="L639" s="2" t="s">
        <v>49</v>
      </c>
      <c r="M639" s="2" t="s">
        <v>66</v>
      </c>
      <c r="N639" t="b">
        <v>1</v>
      </c>
      <c r="O639">
        <v>101</v>
      </c>
      <c r="P639" s="2" t="s">
        <v>29</v>
      </c>
      <c r="Q639">
        <v>7</v>
      </c>
      <c r="R639">
        <v>1</v>
      </c>
      <c r="S639">
        <v>704</v>
      </c>
      <c r="T639" s="2" t="s">
        <v>51</v>
      </c>
    </row>
    <row r="640" spans="1:20" x14ac:dyDescent="0.3">
      <c r="A640" s="1">
        <v>45537</v>
      </c>
      <c r="B640" s="2" t="s">
        <v>68</v>
      </c>
      <c r="C640" s="2" t="s">
        <v>32</v>
      </c>
      <c r="D640" s="2" t="s">
        <v>46</v>
      </c>
      <c r="E640">
        <v>4677</v>
      </c>
      <c r="F640" t="b">
        <v>0</v>
      </c>
      <c r="G640" s="2" t="s">
        <v>65</v>
      </c>
      <c r="H640" s="2" t="s">
        <v>35</v>
      </c>
      <c r="I640" s="2" t="s">
        <v>59</v>
      </c>
      <c r="J640" s="2" t="s">
        <v>26</v>
      </c>
      <c r="K640">
        <v>4</v>
      </c>
      <c r="L640" s="2" t="s">
        <v>49</v>
      </c>
      <c r="M640" s="2" t="s">
        <v>58</v>
      </c>
      <c r="N640" t="b">
        <v>0</v>
      </c>
      <c r="O640">
        <v>65</v>
      </c>
      <c r="P640" s="2" t="s">
        <v>50</v>
      </c>
      <c r="Q640">
        <v>4</v>
      </c>
      <c r="R640">
        <v>2</v>
      </c>
      <c r="S640">
        <v>4249</v>
      </c>
      <c r="T640" s="2" t="s">
        <v>38</v>
      </c>
    </row>
    <row r="641" spans="1:20" x14ac:dyDescent="0.3">
      <c r="A641" s="1">
        <v>45538</v>
      </c>
      <c r="B641" s="2" t="s">
        <v>75</v>
      </c>
      <c r="C641" s="2" t="s">
        <v>21</v>
      </c>
      <c r="D641" s="2" t="s">
        <v>22</v>
      </c>
      <c r="E641">
        <v>5501</v>
      </c>
      <c r="F641" t="b">
        <v>0</v>
      </c>
      <c r="G641" s="2" t="s">
        <v>65</v>
      </c>
      <c r="H641" s="2" t="s">
        <v>70</v>
      </c>
      <c r="I641" s="2" t="s">
        <v>59</v>
      </c>
      <c r="J641" s="2" t="s">
        <v>43</v>
      </c>
      <c r="K641">
        <v>0</v>
      </c>
      <c r="L641" s="2" t="s">
        <v>49</v>
      </c>
      <c r="M641" s="2" t="s">
        <v>73</v>
      </c>
      <c r="N641" t="b">
        <v>1</v>
      </c>
      <c r="O641">
        <v>98</v>
      </c>
      <c r="P641" s="2" t="s">
        <v>29</v>
      </c>
      <c r="Q641">
        <v>4</v>
      </c>
      <c r="R641">
        <v>2</v>
      </c>
      <c r="S641">
        <v>3634</v>
      </c>
      <c r="T641" s="2" t="s">
        <v>51</v>
      </c>
    </row>
    <row r="642" spans="1:20" x14ac:dyDescent="0.3">
      <c r="A642" s="1">
        <v>45540</v>
      </c>
      <c r="B642" s="2" t="s">
        <v>71</v>
      </c>
      <c r="C642" s="2" t="s">
        <v>56</v>
      </c>
      <c r="D642" s="2" t="s">
        <v>57</v>
      </c>
      <c r="E642">
        <v>1000</v>
      </c>
      <c r="F642" t="b">
        <v>0</v>
      </c>
      <c r="G642" s="2" t="s">
        <v>23</v>
      </c>
      <c r="H642" s="2" t="s">
        <v>24</v>
      </c>
      <c r="I642" s="2" t="s">
        <v>47</v>
      </c>
      <c r="J642" s="2" t="s">
        <v>43</v>
      </c>
      <c r="K642">
        <v>5</v>
      </c>
      <c r="L642" s="2" t="s">
        <v>49</v>
      </c>
      <c r="M642" s="2" t="s">
        <v>66</v>
      </c>
      <c r="N642" t="b">
        <v>1</v>
      </c>
      <c r="O642">
        <v>60</v>
      </c>
      <c r="P642" s="2" t="s">
        <v>50</v>
      </c>
      <c r="Q642">
        <v>4</v>
      </c>
      <c r="R642">
        <v>2</v>
      </c>
      <c r="S642">
        <v>2841</v>
      </c>
      <c r="T642" s="2" t="s">
        <v>51</v>
      </c>
    </row>
    <row r="643" spans="1:20" x14ac:dyDescent="0.3">
      <c r="A643" s="1">
        <v>45540</v>
      </c>
      <c r="B643" s="2" t="s">
        <v>52</v>
      </c>
      <c r="C643" s="2" t="s">
        <v>32</v>
      </c>
      <c r="D643" s="2" t="s">
        <v>57</v>
      </c>
      <c r="E643">
        <v>1000</v>
      </c>
      <c r="F643" t="b">
        <v>0</v>
      </c>
      <c r="G643" s="2" t="s">
        <v>65</v>
      </c>
      <c r="H643" s="2" t="s">
        <v>24</v>
      </c>
      <c r="I643" s="2" t="s">
        <v>42</v>
      </c>
      <c r="J643" s="2" t="s">
        <v>48</v>
      </c>
      <c r="K643">
        <v>2</v>
      </c>
      <c r="L643" s="2" t="s">
        <v>36</v>
      </c>
      <c r="M643" s="2" t="s">
        <v>28</v>
      </c>
      <c r="N643" t="b">
        <v>1</v>
      </c>
      <c r="O643">
        <v>50</v>
      </c>
      <c r="P643" s="2" t="s">
        <v>63</v>
      </c>
      <c r="Q643">
        <v>5</v>
      </c>
      <c r="R643">
        <v>3</v>
      </c>
      <c r="S643">
        <v>576</v>
      </c>
      <c r="T643" s="2" t="s">
        <v>30</v>
      </c>
    </row>
    <row r="644" spans="1:20" x14ac:dyDescent="0.3">
      <c r="A644" s="1">
        <v>45541</v>
      </c>
      <c r="B644" s="2" t="s">
        <v>62</v>
      </c>
      <c r="C644" s="2" t="s">
        <v>56</v>
      </c>
      <c r="D644" s="2" t="s">
        <v>57</v>
      </c>
      <c r="E644">
        <v>1000</v>
      </c>
      <c r="F644" t="b">
        <v>0</v>
      </c>
      <c r="G644" s="2" t="s">
        <v>65</v>
      </c>
      <c r="H644" s="2" t="s">
        <v>70</v>
      </c>
      <c r="I644" s="2" t="s">
        <v>42</v>
      </c>
      <c r="J644" s="2" t="s">
        <v>48</v>
      </c>
      <c r="K644">
        <v>5</v>
      </c>
      <c r="L644" s="2" t="s">
        <v>36</v>
      </c>
      <c r="M644" s="2" t="s">
        <v>28</v>
      </c>
      <c r="N644" t="b">
        <v>0</v>
      </c>
      <c r="O644">
        <v>23</v>
      </c>
      <c r="P644" s="2" t="s">
        <v>50</v>
      </c>
      <c r="Q644">
        <v>5</v>
      </c>
      <c r="R644">
        <v>2</v>
      </c>
      <c r="S644">
        <v>4578</v>
      </c>
      <c r="T644" s="2" t="s">
        <v>51</v>
      </c>
    </row>
    <row r="645" spans="1:20" x14ac:dyDescent="0.3">
      <c r="A645" s="1">
        <v>45541</v>
      </c>
      <c r="B645" s="2" t="s">
        <v>74</v>
      </c>
      <c r="C645" s="2" t="s">
        <v>45</v>
      </c>
      <c r="D645" s="2" t="s">
        <v>46</v>
      </c>
      <c r="E645">
        <v>1863</v>
      </c>
      <c r="F645" t="b">
        <v>0</v>
      </c>
      <c r="G645" s="2" t="s">
        <v>40</v>
      </c>
      <c r="H645" s="2" t="s">
        <v>24</v>
      </c>
      <c r="I645" s="2" t="s">
        <v>59</v>
      </c>
      <c r="J645" s="2" t="s">
        <v>26</v>
      </c>
      <c r="K645">
        <v>3</v>
      </c>
      <c r="L645" s="2" t="s">
        <v>27</v>
      </c>
      <c r="M645" s="2" t="s">
        <v>66</v>
      </c>
      <c r="N645" t="b">
        <v>0</v>
      </c>
      <c r="O645">
        <v>94</v>
      </c>
      <c r="P645" s="2" t="s">
        <v>63</v>
      </c>
      <c r="Q645">
        <v>3</v>
      </c>
      <c r="R645">
        <v>1</v>
      </c>
      <c r="S645">
        <v>675</v>
      </c>
      <c r="T645" s="2" t="s">
        <v>38</v>
      </c>
    </row>
    <row r="646" spans="1:20" x14ac:dyDescent="0.3">
      <c r="A646" s="1">
        <v>45541</v>
      </c>
      <c r="B646" s="2" t="s">
        <v>39</v>
      </c>
      <c r="C646" s="2" t="s">
        <v>56</v>
      </c>
      <c r="D646" s="2" t="s">
        <v>53</v>
      </c>
      <c r="E646">
        <v>6988</v>
      </c>
      <c r="F646" t="b">
        <v>0</v>
      </c>
      <c r="G646" s="2" t="s">
        <v>64</v>
      </c>
      <c r="H646" s="2" t="s">
        <v>70</v>
      </c>
      <c r="I646" s="2" t="s">
        <v>47</v>
      </c>
      <c r="J646" s="2" t="s">
        <v>48</v>
      </c>
      <c r="K646">
        <v>5</v>
      </c>
      <c r="L646" s="2" t="s">
        <v>36</v>
      </c>
      <c r="M646" s="2" t="s">
        <v>58</v>
      </c>
      <c r="N646" t="b">
        <v>1</v>
      </c>
      <c r="O646">
        <v>32</v>
      </c>
      <c r="P646" s="2" t="s">
        <v>63</v>
      </c>
      <c r="Q646">
        <v>9</v>
      </c>
      <c r="R646">
        <v>2</v>
      </c>
      <c r="S646">
        <v>3279</v>
      </c>
      <c r="T646" s="2" t="s">
        <v>51</v>
      </c>
    </row>
    <row r="647" spans="1:20" x14ac:dyDescent="0.3">
      <c r="A647" s="1">
        <v>45542</v>
      </c>
      <c r="B647" s="2" t="s">
        <v>76</v>
      </c>
      <c r="C647" s="2" t="s">
        <v>60</v>
      </c>
      <c r="D647" s="2" t="s">
        <v>61</v>
      </c>
      <c r="E647">
        <v>1000</v>
      </c>
      <c r="F647" t="b">
        <v>0</v>
      </c>
      <c r="G647" s="2" t="s">
        <v>23</v>
      </c>
      <c r="H647" s="2" t="s">
        <v>24</v>
      </c>
      <c r="I647" s="2" t="s">
        <v>25</v>
      </c>
      <c r="J647" s="2" t="s">
        <v>43</v>
      </c>
      <c r="K647">
        <v>3</v>
      </c>
      <c r="L647" s="2" t="s">
        <v>49</v>
      </c>
      <c r="M647" s="2" t="s">
        <v>73</v>
      </c>
      <c r="N647" t="b">
        <v>1</v>
      </c>
      <c r="O647">
        <v>31</v>
      </c>
      <c r="P647" s="2" t="s">
        <v>29</v>
      </c>
      <c r="Q647">
        <v>10</v>
      </c>
      <c r="R647">
        <v>1</v>
      </c>
      <c r="S647">
        <v>1223</v>
      </c>
      <c r="T647" s="2" t="s">
        <v>51</v>
      </c>
    </row>
    <row r="648" spans="1:20" x14ac:dyDescent="0.3">
      <c r="A648" s="1">
        <v>45542</v>
      </c>
      <c r="B648" s="2" t="s">
        <v>44</v>
      </c>
      <c r="C648" s="2" t="s">
        <v>32</v>
      </c>
      <c r="D648" s="2" t="s">
        <v>57</v>
      </c>
      <c r="E648">
        <v>1000</v>
      </c>
      <c r="F648" t="b">
        <v>0</v>
      </c>
      <c r="G648" s="2" t="s">
        <v>23</v>
      </c>
      <c r="H648" s="2" t="s">
        <v>24</v>
      </c>
      <c r="I648" s="2" t="s">
        <v>25</v>
      </c>
      <c r="J648" s="2" t="s">
        <v>48</v>
      </c>
      <c r="K648">
        <v>3</v>
      </c>
      <c r="L648" s="2" t="s">
        <v>36</v>
      </c>
      <c r="M648" s="2" t="s">
        <v>58</v>
      </c>
      <c r="N648" t="b">
        <v>1</v>
      </c>
      <c r="O648">
        <v>101</v>
      </c>
      <c r="P648" s="2" t="s">
        <v>63</v>
      </c>
      <c r="Q648">
        <v>7</v>
      </c>
      <c r="R648">
        <v>2</v>
      </c>
      <c r="S648">
        <v>4506</v>
      </c>
      <c r="T648" s="2" t="s">
        <v>38</v>
      </c>
    </row>
    <row r="649" spans="1:20" x14ac:dyDescent="0.3">
      <c r="A649" s="1">
        <v>45542</v>
      </c>
      <c r="B649" s="2" t="s">
        <v>71</v>
      </c>
      <c r="C649" s="2" t="s">
        <v>21</v>
      </c>
      <c r="D649" s="2" t="s">
        <v>46</v>
      </c>
      <c r="E649">
        <v>2177</v>
      </c>
      <c r="F649" t="b">
        <v>0</v>
      </c>
      <c r="G649" s="2" t="s">
        <v>40</v>
      </c>
      <c r="H649" s="2" t="s">
        <v>70</v>
      </c>
      <c r="I649" s="2" t="s">
        <v>59</v>
      </c>
      <c r="J649" s="2" t="s">
        <v>54</v>
      </c>
      <c r="K649">
        <v>4</v>
      </c>
      <c r="L649" s="2" t="s">
        <v>27</v>
      </c>
      <c r="M649" s="2" t="s">
        <v>73</v>
      </c>
      <c r="N649" t="b">
        <v>0</v>
      </c>
      <c r="O649">
        <v>70</v>
      </c>
      <c r="P649" s="2" t="s">
        <v>50</v>
      </c>
      <c r="Q649">
        <v>6</v>
      </c>
      <c r="R649">
        <v>1</v>
      </c>
      <c r="S649">
        <v>3295</v>
      </c>
      <c r="T649" s="2" t="s">
        <v>38</v>
      </c>
    </row>
    <row r="650" spans="1:20" x14ac:dyDescent="0.3">
      <c r="A650" s="1">
        <v>45542</v>
      </c>
      <c r="B650" s="2" t="s">
        <v>44</v>
      </c>
      <c r="C650" s="2" t="s">
        <v>45</v>
      </c>
      <c r="D650" s="2" t="s">
        <v>22</v>
      </c>
      <c r="E650">
        <v>6186</v>
      </c>
      <c r="F650" t="b">
        <v>1</v>
      </c>
      <c r="G650" s="2" t="s">
        <v>40</v>
      </c>
      <c r="H650" s="2" t="s">
        <v>70</v>
      </c>
      <c r="I650" s="2" t="s">
        <v>42</v>
      </c>
      <c r="J650" s="2" t="s">
        <v>54</v>
      </c>
      <c r="K650">
        <v>4</v>
      </c>
      <c r="L650" s="2" t="s">
        <v>49</v>
      </c>
      <c r="M650" s="2" t="s">
        <v>66</v>
      </c>
      <c r="N650" t="b">
        <v>0</v>
      </c>
      <c r="O650">
        <v>91</v>
      </c>
      <c r="P650" s="2" t="s">
        <v>37</v>
      </c>
      <c r="Q650">
        <v>1</v>
      </c>
      <c r="R650">
        <v>1</v>
      </c>
      <c r="S650">
        <v>1230</v>
      </c>
      <c r="T650" s="2" t="s">
        <v>30</v>
      </c>
    </row>
    <row r="651" spans="1:20" x14ac:dyDescent="0.3">
      <c r="A651" s="1">
        <v>45542</v>
      </c>
      <c r="B651" s="2" t="s">
        <v>55</v>
      </c>
      <c r="C651" s="2" t="s">
        <v>56</v>
      </c>
      <c r="D651" s="2" t="s">
        <v>57</v>
      </c>
      <c r="E651">
        <v>1000</v>
      </c>
      <c r="F651" t="b">
        <v>0</v>
      </c>
      <c r="G651" s="2" t="s">
        <v>64</v>
      </c>
      <c r="H651" s="2" t="s">
        <v>70</v>
      </c>
      <c r="I651" s="2" t="s">
        <v>47</v>
      </c>
      <c r="J651" s="2" t="s">
        <v>54</v>
      </c>
      <c r="K651">
        <v>1</v>
      </c>
      <c r="L651" s="2" t="s">
        <v>27</v>
      </c>
      <c r="M651" s="2" t="s">
        <v>73</v>
      </c>
      <c r="N651" t="b">
        <v>0</v>
      </c>
      <c r="O651">
        <v>104</v>
      </c>
      <c r="P651" s="2" t="s">
        <v>63</v>
      </c>
      <c r="Q651">
        <v>5</v>
      </c>
      <c r="R651">
        <v>1</v>
      </c>
      <c r="S651">
        <v>4767</v>
      </c>
      <c r="T651" s="2" t="s">
        <v>30</v>
      </c>
    </row>
    <row r="652" spans="1:20" x14ac:dyDescent="0.3">
      <c r="A652" s="1">
        <v>45542</v>
      </c>
      <c r="B652" s="2" t="s">
        <v>44</v>
      </c>
      <c r="C652" s="2" t="s">
        <v>21</v>
      </c>
      <c r="D652" s="2" t="s">
        <v>33</v>
      </c>
      <c r="E652">
        <v>3215</v>
      </c>
      <c r="F652" t="b">
        <v>0</v>
      </c>
      <c r="G652" s="2" t="s">
        <v>65</v>
      </c>
      <c r="H652" s="2" t="s">
        <v>35</v>
      </c>
      <c r="I652" s="2" t="s">
        <v>47</v>
      </c>
      <c r="J652" s="2" t="s">
        <v>26</v>
      </c>
      <c r="K652">
        <v>0</v>
      </c>
      <c r="L652" s="2" t="s">
        <v>27</v>
      </c>
      <c r="M652" s="2" t="s">
        <v>73</v>
      </c>
      <c r="N652" t="b">
        <v>0</v>
      </c>
      <c r="O652">
        <v>89</v>
      </c>
      <c r="P652" s="2" t="s">
        <v>37</v>
      </c>
      <c r="Q652">
        <v>6</v>
      </c>
      <c r="R652">
        <v>2</v>
      </c>
      <c r="S652">
        <v>4129</v>
      </c>
      <c r="T652" s="2" t="s">
        <v>38</v>
      </c>
    </row>
    <row r="653" spans="1:20" x14ac:dyDescent="0.3">
      <c r="A653" s="1">
        <v>45542</v>
      </c>
      <c r="B653" s="2" t="s">
        <v>71</v>
      </c>
      <c r="C653" s="2" t="s">
        <v>56</v>
      </c>
      <c r="D653" s="2" t="s">
        <v>33</v>
      </c>
      <c r="E653">
        <v>2201</v>
      </c>
      <c r="F653" t="b">
        <v>0</v>
      </c>
      <c r="G653" s="2" t="s">
        <v>65</v>
      </c>
      <c r="H653" s="2" t="s">
        <v>70</v>
      </c>
      <c r="I653" s="2" t="s">
        <v>25</v>
      </c>
      <c r="J653" s="2" t="s">
        <v>26</v>
      </c>
      <c r="K653">
        <v>4</v>
      </c>
      <c r="L653" s="2" t="s">
        <v>27</v>
      </c>
      <c r="M653" s="2" t="s">
        <v>58</v>
      </c>
      <c r="N653" t="b">
        <v>0</v>
      </c>
      <c r="O653">
        <v>42</v>
      </c>
      <c r="P653" s="2" t="s">
        <v>67</v>
      </c>
      <c r="Q653">
        <v>10</v>
      </c>
      <c r="R653">
        <v>1</v>
      </c>
      <c r="S653">
        <v>1154</v>
      </c>
      <c r="T653" s="2" t="s">
        <v>38</v>
      </c>
    </row>
    <row r="654" spans="1:20" x14ac:dyDescent="0.3">
      <c r="A654" s="1">
        <v>45542</v>
      </c>
      <c r="B654" s="2" t="s">
        <v>20</v>
      </c>
      <c r="C654" s="2" t="s">
        <v>60</v>
      </c>
      <c r="D654" s="2" t="s">
        <v>46</v>
      </c>
      <c r="E654">
        <v>4337</v>
      </c>
      <c r="F654" t="b">
        <v>0</v>
      </c>
      <c r="G654" s="2" t="s">
        <v>65</v>
      </c>
      <c r="H654" s="2" t="s">
        <v>24</v>
      </c>
      <c r="I654" s="2" t="s">
        <v>59</v>
      </c>
      <c r="J654" s="2" t="s">
        <v>26</v>
      </c>
      <c r="K654">
        <v>4</v>
      </c>
      <c r="L654" s="2" t="s">
        <v>36</v>
      </c>
      <c r="M654" s="2" t="s">
        <v>73</v>
      </c>
      <c r="N654" t="b">
        <v>1</v>
      </c>
      <c r="O654">
        <v>57</v>
      </c>
      <c r="P654" s="2" t="s">
        <v>50</v>
      </c>
      <c r="Q654">
        <v>8</v>
      </c>
      <c r="R654">
        <v>1</v>
      </c>
      <c r="S654">
        <v>4162</v>
      </c>
      <c r="T654" s="2" t="s">
        <v>30</v>
      </c>
    </row>
    <row r="655" spans="1:20" x14ac:dyDescent="0.3">
      <c r="A655" s="1">
        <v>45543</v>
      </c>
      <c r="B655" s="2" t="s">
        <v>52</v>
      </c>
      <c r="C655" s="2" t="s">
        <v>21</v>
      </c>
      <c r="D655" s="2" t="s">
        <v>57</v>
      </c>
      <c r="E655">
        <v>1000</v>
      </c>
      <c r="F655" t="b">
        <v>1</v>
      </c>
      <c r="G655" s="2" t="s">
        <v>65</v>
      </c>
      <c r="H655" s="2" t="s">
        <v>24</v>
      </c>
      <c r="I655" s="2" t="s">
        <v>25</v>
      </c>
      <c r="J655" s="2" t="s">
        <v>54</v>
      </c>
      <c r="K655">
        <v>4</v>
      </c>
      <c r="L655" s="2" t="s">
        <v>49</v>
      </c>
      <c r="M655" s="2" t="s">
        <v>66</v>
      </c>
      <c r="N655" t="b">
        <v>1</v>
      </c>
      <c r="O655">
        <v>101</v>
      </c>
      <c r="P655" s="2" t="s">
        <v>37</v>
      </c>
      <c r="Q655">
        <v>1</v>
      </c>
      <c r="R655">
        <v>3</v>
      </c>
      <c r="S655">
        <v>2076</v>
      </c>
      <c r="T655" s="2" t="s">
        <v>30</v>
      </c>
    </row>
    <row r="656" spans="1:20" x14ac:dyDescent="0.3">
      <c r="A656" s="1">
        <v>45543</v>
      </c>
      <c r="B656" s="2" t="s">
        <v>20</v>
      </c>
      <c r="C656" s="2" t="s">
        <v>21</v>
      </c>
      <c r="D656" s="2" t="s">
        <v>57</v>
      </c>
      <c r="E656">
        <v>1000</v>
      </c>
      <c r="F656" t="b">
        <v>0</v>
      </c>
      <c r="G656" s="2" t="s">
        <v>65</v>
      </c>
      <c r="H656" s="2" t="s">
        <v>70</v>
      </c>
      <c r="I656" s="2" t="s">
        <v>42</v>
      </c>
      <c r="J656" s="2" t="s">
        <v>26</v>
      </c>
      <c r="K656">
        <v>1</v>
      </c>
      <c r="L656" s="2" t="s">
        <v>36</v>
      </c>
      <c r="M656" s="2" t="s">
        <v>58</v>
      </c>
      <c r="N656" t="b">
        <v>0</v>
      </c>
      <c r="O656">
        <v>103</v>
      </c>
      <c r="P656" s="2" t="s">
        <v>67</v>
      </c>
      <c r="Q656">
        <v>4</v>
      </c>
      <c r="R656">
        <v>2</v>
      </c>
      <c r="S656">
        <v>2884</v>
      </c>
      <c r="T656" s="2" t="s">
        <v>38</v>
      </c>
    </row>
    <row r="657" spans="1:20" x14ac:dyDescent="0.3">
      <c r="A657" s="1">
        <v>45543</v>
      </c>
      <c r="B657" s="2" t="s">
        <v>44</v>
      </c>
      <c r="C657" s="2" t="s">
        <v>21</v>
      </c>
      <c r="D657" s="2" t="s">
        <v>53</v>
      </c>
      <c r="E657">
        <v>2907</v>
      </c>
      <c r="F657" t="b">
        <v>0</v>
      </c>
      <c r="G657" s="2" t="s">
        <v>34</v>
      </c>
      <c r="H657" s="2" t="s">
        <v>41</v>
      </c>
      <c r="I657" s="2" t="s">
        <v>42</v>
      </c>
      <c r="J657" s="2" t="s">
        <v>43</v>
      </c>
      <c r="K657">
        <v>0</v>
      </c>
      <c r="L657" s="2" t="s">
        <v>27</v>
      </c>
      <c r="M657" s="2" t="s">
        <v>73</v>
      </c>
      <c r="N657" t="b">
        <v>1</v>
      </c>
      <c r="O657">
        <v>6</v>
      </c>
      <c r="P657" s="2" t="s">
        <v>37</v>
      </c>
      <c r="Q657">
        <v>9</v>
      </c>
      <c r="R657">
        <v>1</v>
      </c>
      <c r="S657">
        <v>4702</v>
      </c>
      <c r="T657" s="2" t="s">
        <v>30</v>
      </c>
    </row>
    <row r="658" spans="1:20" x14ac:dyDescent="0.3">
      <c r="A658" s="1">
        <v>45544</v>
      </c>
      <c r="B658" s="2" t="s">
        <v>76</v>
      </c>
      <c r="C658" s="2" t="s">
        <v>32</v>
      </c>
      <c r="D658" s="2" t="s">
        <v>57</v>
      </c>
      <c r="E658">
        <v>1000</v>
      </c>
      <c r="F658" t="b">
        <v>0</v>
      </c>
      <c r="G658" s="2" t="s">
        <v>40</v>
      </c>
      <c r="H658" s="2" t="s">
        <v>70</v>
      </c>
      <c r="I658" s="2" t="s">
        <v>25</v>
      </c>
      <c r="J658" s="2" t="s">
        <v>48</v>
      </c>
      <c r="K658">
        <v>1</v>
      </c>
      <c r="L658" s="2" t="s">
        <v>49</v>
      </c>
      <c r="M658" s="2" t="s">
        <v>66</v>
      </c>
      <c r="N658" t="b">
        <v>0</v>
      </c>
      <c r="O658">
        <v>1</v>
      </c>
      <c r="P658" s="2" t="s">
        <v>37</v>
      </c>
      <c r="Q658">
        <v>1</v>
      </c>
      <c r="R658">
        <v>3</v>
      </c>
      <c r="S658">
        <v>1203</v>
      </c>
      <c r="T658" s="2" t="s">
        <v>38</v>
      </c>
    </row>
    <row r="659" spans="1:20" x14ac:dyDescent="0.3">
      <c r="A659" s="1">
        <v>45545</v>
      </c>
      <c r="B659" s="2" t="s">
        <v>77</v>
      </c>
      <c r="C659" s="2" t="s">
        <v>21</v>
      </c>
      <c r="D659" s="2" t="s">
        <v>57</v>
      </c>
      <c r="E659">
        <v>1000</v>
      </c>
      <c r="F659" t="b">
        <v>0</v>
      </c>
      <c r="G659" s="2" t="s">
        <v>65</v>
      </c>
      <c r="H659" s="2" t="s">
        <v>35</v>
      </c>
      <c r="I659" s="2" t="s">
        <v>42</v>
      </c>
      <c r="J659" s="2" t="s">
        <v>48</v>
      </c>
      <c r="K659">
        <v>3</v>
      </c>
      <c r="L659" s="2" t="s">
        <v>27</v>
      </c>
      <c r="M659" s="2" t="s">
        <v>28</v>
      </c>
      <c r="N659" t="b">
        <v>0</v>
      </c>
      <c r="O659">
        <v>86</v>
      </c>
      <c r="P659" s="2" t="s">
        <v>50</v>
      </c>
      <c r="Q659">
        <v>8</v>
      </c>
      <c r="R659">
        <v>2</v>
      </c>
      <c r="S659">
        <v>768</v>
      </c>
      <c r="T659" s="2" t="s">
        <v>38</v>
      </c>
    </row>
    <row r="660" spans="1:20" x14ac:dyDescent="0.3">
      <c r="A660" s="1">
        <v>45545</v>
      </c>
      <c r="B660" s="2" t="s">
        <v>68</v>
      </c>
      <c r="C660" s="2" t="s">
        <v>45</v>
      </c>
      <c r="D660" s="2" t="s">
        <v>33</v>
      </c>
      <c r="E660">
        <v>4765</v>
      </c>
      <c r="F660" t="b">
        <v>0</v>
      </c>
      <c r="G660" s="2" t="s">
        <v>34</v>
      </c>
      <c r="H660" s="2" t="s">
        <v>24</v>
      </c>
      <c r="I660" s="2" t="s">
        <v>25</v>
      </c>
      <c r="J660" s="2" t="s">
        <v>48</v>
      </c>
      <c r="K660">
        <v>0</v>
      </c>
      <c r="L660" s="2" t="s">
        <v>49</v>
      </c>
      <c r="M660" s="2" t="s">
        <v>73</v>
      </c>
      <c r="N660" t="b">
        <v>1</v>
      </c>
      <c r="O660">
        <v>97</v>
      </c>
      <c r="P660" s="2" t="s">
        <v>29</v>
      </c>
      <c r="Q660">
        <v>9</v>
      </c>
      <c r="R660">
        <v>2</v>
      </c>
      <c r="S660">
        <v>2067</v>
      </c>
      <c r="T660" s="2" t="s">
        <v>30</v>
      </c>
    </row>
    <row r="661" spans="1:20" x14ac:dyDescent="0.3">
      <c r="A661" s="1">
        <v>45545</v>
      </c>
      <c r="B661" s="2" t="s">
        <v>71</v>
      </c>
      <c r="C661" s="2" t="s">
        <v>32</v>
      </c>
      <c r="D661" s="2" t="s">
        <v>53</v>
      </c>
      <c r="E661">
        <v>2417</v>
      </c>
      <c r="F661" t="b">
        <v>1</v>
      </c>
      <c r="G661" s="2" t="s">
        <v>34</v>
      </c>
      <c r="H661" s="2" t="s">
        <v>35</v>
      </c>
      <c r="I661" s="2" t="s">
        <v>47</v>
      </c>
      <c r="J661" s="2" t="s">
        <v>26</v>
      </c>
      <c r="K661">
        <v>2</v>
      </c>
      <c r="L661" s="2" t="s">
        <v>27</v>
      </c>
      <c r="M661" s="2" t="s">
        <v>58</v>
      </c>
      <c r="N661" t="b">
        <v>0</v>
      </c>
      <c r="O661">
        <v>49</v>
      </c>
      <c r="P661" s="2" t="s">
        <v>67</v>
      </c>
      <c r="Q661">
        <v>3</v>
      </c>
      <c r="R661">
        <v>2</v>
      </c>
      <c r="S661">
        <v>3996</v>
      </c>
      <c r="T661" s="2" t="s">
        <v>38</v>
      </c>
    </row>
    <row r="662" spans="1:20" x14ac:dyDescent="0.3">
      <c r="A662" s="1">
        <v>45545</v>
      </c>
      <c r="B662" s="2" t="s">
        <v>52</v>
      </c>
      <c r="C662" s="2" t="s">
        <v>32</v>
      </c>
      <c r="D662" s="2" t="s">
        <v>33</v>
      </c>
      <c r="E662">
        <v>4283</v>
      </c>
      <c r="F662" t="b">
        <v>0</v>
      </c>
      <c r="G662" s="2" t="s">
        <v>34</v>
      </c>
      <c r="H662" s="2" t="s">
        <v>70</v>
      </c>
      <c r="I662" s="2" t="s">
        <v>47</v>
      </c>
      <c r="J662" s="2" t="s">
        <v>43</v>
      </c>
      <c r="K662">
        <v>1</v>
      </c>
      <c r="L662" s="2" t="s">
        <v>27</v>
      </c>
      <c r="M662" s="2" t="s">
        <v>73</v>
      </c>
      <c r="N662" t="b">
        <v>1</v>
      </c>
      <c r="O662">
        <v>31</v>
      </c>
      <c r="P662" s="2" t="s">
        <v>37</v>
      </c>
      <c r="Q662">
        <v>1</v>
      </c>
      <c r="R662">
        <v>1</v>
      </c>
      <c r="S662">
        <v>2591</v>
      </c>
      <c r="T662" s="2" t="s">
        <v>38</v>
      </c>
    </row>
    <row r="663" spans="1:20" x14ac:dyDescent="0.3">
      <c r="A663" s="1">
        <v>45546</v>
      </c>
      <c r="B663" s="2" t="s">
        <v>52</v>
      </c>
      <c r="C663" s="2" t="s">
        <v>45</v>
      </c>
      <c r="D663" s="2" t="s">
        <v>53</v>
      </c>
      <c r="E663">
        <v>4414</v>
      </c>
      <c r="F663" t="b">
        <v>1</v>
      </c>
      <c r="G663" s="2" t="s">
        <v>23</v>
      </c>
      <c r="H663" s="2" t="s">
        <v>24</v>
      </c>
      <c r="I663" s="2" t="s">
        <v>59</v>
      </c>
      <c r="J663" s="2" t="s">
        <v>26</v>
      </c>
      <c r="K663">
        <v>1</v>
      </c>
      <c r="L663" s="2" t="s">
        <v>27</v>
      </c>
      <c r="M663" s="2" t="s">
        <v>73</v>
      </c>
      <c r="N663" t="b">
        <v>0</v>
      </c>
      <c r="O663">
        <v>95</v>
      </c>
      <c r="P663" s="2" t="s">
        <v>29</v>
      </c>
      <c r="Q663">
        <v>2</v>
      </c>
      <c r="R663">
        <v>3</v>
      </c>
      <c r="S663">
        <v>2160</v>
      </c>
      <c r="T663" s="2" t="s">
        <v>38</v>
      </c>
    </row>
    <row r="664" spans="1:20" x14ac:dyDescent="0.3">
      <c r="A664" s="1">
        <v>45546</v>
      </c>
      <c r="B664" s="2" t="s">
        <v>76</v>
      </c>
      <c r="C664" s="2" t="s">
        <v>21</v>
      </c>
      <c r="D664" s="2" t="s">
        <v>53</v>
      </c>
      <c r="E664">
        <v>5187</v>
      </c>
      <c r="F664" t="b">
        <v>1</v>
      </c>
      <c r="G664" s="2" t="s">
        <v>65</v>
      </c>
      <c r="H664" s="2" t="s">
        <v>41</v>
      </c>
      <c r="I664" s="2" t="s">
        <v>42</v>
      </c>
      <c r="J664" s="2" t="s">
        <v>43</v>
      </c>
      <c r="K664">
        <v>1</v>
      </c>
      <c r="L664" s="2" t="s">
        <v>27</v>
      </c>
      <c r="M664" s="2" t="s">
        <v>73</v>
      </c>
      <c r="N664" t="b">
        <v>0</v>
      </c>
      <c r="O664">
        <v>16</v>
      </c>
      <c r="P664" s="2" t="s">
        <v>63</v>
      </c>
      <c r="Q664">
        <v>10</v>
      </c>
      <c r="R664">
        <v>2</v>
      </c>
      <c r="S664">
        <v>2997</v>
      </c>
      <c r="T664" s="2" t="s">
        <v>30</v>
      </c>
    </row>
    <row r="665" spans="1:20" x14ac:dyDescent="0.3">
      <c r="A665" s="1">
        <v>45546</v>
      </c>
      <c r="B665" s="2" t="s">
        <v>31</v>
      </c>
      <c r="C665" s="2" t="s">
        <v>45</v>
      </c>
      <c r="D665" s="2" t="s">
        <v>57</v>
      </c>
      <c r="E665">
        <v>1000</v>
      </c>
      <c r="F665" t="b">
        <v>0</v>
      </c>
      <c r="G665" s="2" t="s">
        <v>65</v>
      </c>
      <c r="H665" s="2" t="s">
        <v>35</v>
      </c>
      <c r="I665" s="2" t="s">
        <v>59</v>
      </c>
      <c r="J665" s="2" t="s">
        <v>43</v>
      </c>
      <c r="K665">
        <v>2</v>
      </c>
      <c r="L665" s="2" t="s">
        <v>27</v>
      </c>
      <c r="M665" s="2" t="s">
        <v>66</v>
      </c>
      <c r="N665" t="b">
        <v>0</v>
      </c>
      <c r="O665">
        <v>90</v>
      </c>
      <c r="P665" s="2" t="s">
        <v>50</v>
      </c>
      <c r="Q665">
        <v>2</v>
      </c>
      <c r="R665">
        <v>3</v>
      </c>
      <c r="S665">
        <v>2885</v>
      </c>
      <c r="T665" s="2" t="s">
        <v>38</v>
      </c>
    </row>
    <row r="666" spans="1:20" x14ac:dyDescent="0.3">
      <c r="A666" s="1">
        <v>45546</v>
      </c>
      <c r="B666" s="2" t="s">
        <v>77</v>
      </c>
      <c r="C666" s="2" t="s">
        <v>21</v>
      </c>
      <c r="D666" s="2" t="s">
        <v>46</v>
      </c>
      <c r="E666">
        <v>4807</v>
      </c>
      <c r="F666" t="b">
        <v>0</v>
      </c>
      <c r="G666" s="2" t="s">
        <v>65</v>
      </c>
      <c r="H666" s="2" t="s">
        <v>24</v>
      </c>
      <c r="I666" s="2" t="s">
        <v>59</v>
      </c>
      <c r="J666" s="2" t="s">
        <v>26</v>
      </c>
      <c r="K666">
        <v>0</v>
      </c>
      <c r="L666" s="2" t="s">
        <v>36</v>
      </c>
      <c r="M666" s="2" t="s">
        <v>66</v>
      </c>
      <c r="N666" t="b">
        <v>0</v>
      </c>
      <c r="O666">
        <v>18</v>
      </c>
      <c r="P666" s="2" t="s">
        <v>67</v>
      </c>
      <c r="Q666">
        <v>8</v>
      </c>
      <c r="R666">
        <v>1</v>
      </c>
      <c r="S666">
        <v>2140</v>
      </c>
      <c r="T666" s="2" t="s">
        <v>51</v>
      </c>
    </row>
    <row r="667" spans="1:20" x14ac:dyDescent="0.3">
      <c r="A667" s="1">
        <v>45547</v>
      </c>
      <c r="B667" s="2" t="s">
        <v>72</v>
      </c>
      <c r="C667" s="2" t="s">
        <v>32</v>
      </c>
      <c r="D667" s="2" t="s">
        <v>57</v>
      </c>
      <c r="E667">
        <v>1000</v>
      </c>
      <c r="F667" t="b">
        <v>0</v>
      </c>
      <c r="G667" s="2" t="s">
        <v>40</v>
      </c>
      <c r="H667" s="2" t="s">
        <v>24</v>
      </c>
      <c r="I667" s="2" t="s">
        <v>25</v>
      </c>
      <c r="J667" s="2" t="s">
        <v>43</v>
      </c>
      <c r="K667">
        <v>1</v>
      </c>
      <c r="L667" s="2" t="s">
        <v>49</v>
      </c>
      <c r="M667" s="2" t="s">
        <v>66</v>
      </c>
      <c r="N667" t="b">
        <v>1</v>
      </c>
      <c r="O667">
        <v>114</v>
      </c>
      <c r="P667" s="2" t="s">
        <v>50</v>
      </c>
      <c r="Q667">
        <v>6</v>
      </c>
      <c r="R667">
        <v>3</v>
      </c>
      <c r="S667">
        <v>1618</v>
      </c>
      <c r="T667" s="2" t="s">
        <v>30</v>
      </c>
    </row>
    <row r="668" spans="1:20" x14ac:dyDescent="0.3">
      <c r="A668" s="1">
        <v>45548</v>
      </c>
      <c r="B668" s="2" t="s">
        <v>74</v>
      </c>
      <c r="C668" s="2" t="s">
        <v>56</v>
      </c>
      <c r="D668" s="2" t="s">
        <v>22</v>
      </c>
      <c r="E668">
        <v>8530</v>
      </c>
      <c r="F668" t="b">
        <v>0</v>
      </c>
      <c r="G668" s="2" t="s">
        <v>64</v>
      </c>
      <c r="H668" s="2" t="s">
        <v>24</v>
      </c>
      <c r="I668" s="2" t="s">
        <v>59</v>
      </c>
      <c r="J668" s="2" t="s">
        <v>54</v>
      </c>
      <c r="K668">
        <v>1</v>
      </c>
      <c r="L668" s="2" t="s">
        <v>36</v>
      </c>
      <c r="M668" s="2" t="s">
        <v>73</v>
      </c>
      <c r="N668" t="b">
        <v>1</v>
      </c>
      <c r="O668">
        <v>28</v>
      </c>
      <c r="P668" s="2" t="s">
        <v>37</v>
      </c>
      <c r="Q668">
        <v>9</v>
      </c>
      <c r="R668">
        <v>2</v>
      </c>
      <c r="S668">
        <v>4643</v>
      </c>
      <c r="T668" s="2" t="s">
        <v>30</v>
      </c>
    </row>
    <row r="669" spans="1:20" x14ac:dyDescent="0.3">
      <c r="A669" s="1">
        <v>45549</v>
      </c>
      <c r="B669" s="2" t="s">
        <v>69</v>
      </c>
      <c r="C669" s="2" t="s">
        <v>60</v>
      </c>
      <c r="D669" s="2" t="s">
        <v>46</v>
      </c>
      <c r="E669">
        <v>4089</v>
      </c>
      <c r="F669" t="b">
        <v>0</v>
      </c>
      <c r="G669" s="2" t="s">
        <v>40</v>
      </c>
      <c r="H669" s="2" t="s">
        <v>24</v>
      </c>
      <c r="I669" s="2" t="s">
        <v>47</v>
      </c>
      <c r="J669" s="2" t="s">
        <v>48</v>
      </c>
      <c r="K669">
        <v>3</v>
      </c>
      <c r="L669" s="2" t="s">
        <v>36</v>
      </c>
      <c r="M669" s="2" t="s">
        <v>28</v>
      </c>
      <c r="N669" t="b">
        <v>1</v>
      </c>
      <c r="O669">
        <v>52</v>
      </c>
      <c r="P669" s="2" t="s">
        <v>37</v>
      </c>
      <c r="Q669">
        <v>10</v>
      </c>
      <c r="R669">
        <v>3</v>
      </c>
      <c r="S669">
        <v>2843</v>
      </c>
      <c r="T669" s="2" t="s">
        <v>38</v>
      </c>
    </row>
    <row r="670" spans="1:20" x14ac:dyDescent="0.3">
      <c r="A670" s="1">
        <v>45549</v>
      </c>
      <c r="B670" s="2" t="s">
        <v>55</v>
      </c>
      <c r="C670" s="2" t="s">
        <v>56</v>
      </c>
      <c r="D670" s="2" t="s">
        <v>22</v>
      </c>
      <c r="E670">
        <v>7762</v>
      </c>
      <c r="F670" t="b">
        <v>0</v>
      </c>
      <c r="G670" s="2" t="s">
        <v>23</v>
      </c>
      <c r="H670" s="2" t="s">
        <v>24</v>
      </c>
      <c r="I670" s="2" t="s">
        <v>47</v>
      </c>
      <c r="J670" s="2" t="s">
        <v>26</v>
      </c>
      <c r="K670">
        <v>2</v>
      </c>
      <c r="L670" s="2" t="s">
        <v>27</v>
      </c>
      <c r="M670" s="2" t="s">
        <v>73</v>
      </c>
      <c r="N670" t="b">
        <v>0</v>
      </c>
      <c r="O670">
        <v>34</v>
      </c>
      <c r="P670" s="2" t="s">
        <v>50</v>
      </c>
      <c r="Q670">
        <v>5</v>
      </c>
      <c r="R670">
        <v>2</v>
      </c>
      <c r="S670">
        <v>2581</v>
      </c>
      <c r="T670" s="2" t="s">
        <v>30</v>
      </c>
    </row>
    <row r="671" spans="1:20" x14ac:dyDescent="0.3">
      <c r="A671" s="1">
        <v>45549</v>
      </c>
      <c r="B671" s="2" t="s">
        <v>69</v>
      </c>
      <c r="C671" s="2" t="s">
        <v>21</v>
      </c>
      <c r="D671" s="2" t="s">
        <v>22</v>
      </c>
      <c r="E671">
        <v>9017</v>
      </c>
      <c r="F671" t="b">
        <v>1</v>
      </c>
      <c r="G671" s="2" t="s">
        <v>65</v>
      </c>
      <c r="H671" s="2" t="s">
        <v>70</v>
      </c>
      <c r="I671" s="2" t="s">
        <v>42</v>
      </c>
      <c r="J671" s="2" t="s">
        <v>43</v>
      </c>
      <c r="K671">
        <v>4</v>
      </c>
      <c r="L671" s="2" t="s">
        <v>36</v>
      </c>
      <c r="M671" s="2" t="s">
        <v>73</v>
      </c>
      <c r="N671" t="b">
        <v>1</v>
      </c>
      <c r="O671">
        <v>66</v>
      </c>
      <c r="P671" s="2" t="s">
        <v>29</v>
      </c>
      <c r="Q671">
        <v>1</v>
      </c>
      <c r="R671">
        <v>2</v>
      </c>
      <c r="S671">
        <v>3410</v>
      </c>
      <c r="T671" s="2" t="s">
        <v>38</v>
      </c>
    </row>
    <row r="672" spans="1:20" x14ac:dyDescent="0.3">
      <c r="A672" s="1">
        <v>45549</v>
      </c>
      <c r="B672" s="2" t="s">
        <v>72</v>
      </c>
      <c r="C672" s="2" t="s">
        <v>45</v>
      </c>
      <c r="D672" s="2" t="s">
        <v>53</v>
      </c>
      <c r="E672">
        <v>6926</v>
      </c>
      <c r="F672" t="b">
        <v>0</v>
      </c>
      <c r="G672" s="2" t="s">
        <v>23</v>
      </c>
      <c r="H672" s="2" t="s">
        <v>35</v>
      </c>
      <c r="I672" s="2" t="s">
        <v>59</v>
      </c>
      <c r="J672" s="2" t="s">
        <v>54</v>
      </c>
      <c r="K672">
        <v>3</v>
      </c>
      <c r="L672" s="2" t="s">
        <v>27</v>
      </c>
      <c r="M672" s="2" t="s">
        <v>58</v>
      </c>
      <c r="N672" t="b">
        <v>0</v>
      </c>
      <c r="O672">
        <v>9</v>
      </c>
      <c r="P672" s="2" t="s">
        <v>37</v>
      </c>
      <c r="Q672">
        <v>5</v>
      </c>
      <c r="R672">
        <v>1</v>
      </c>
      <c r="S672">
        <v>4008</v>
      </c>
      <c r="T672" s="2" t="s">
        <v>30</v>
      </c>
    </row>
    <row r="673" spans="1:20" x14ac:dyDescent="0.3">
      <c r="A673" s="1">
        <v>45549</v>
      </c>
      <c r="B673" s="2" t="s">
        <v>55</v>
      </c>
      <c r="C673" s="2" t="s">
        <v>32</v>
      </c>
      <c r="D673" s="2" t="s">
        <v>57</v>
      </c>
      <c r="E673">
        <v>1000</v>
      </c>
      <c r="F673" t="b">
        <v>0</v>
      </c>
      <c r="G673" s="2" t="s">
        <v>64</v>
      </c>
      <c r="H673" s="2" t="s">
        <v>24</v>
      </c>
      <c r="I673" s="2" t="s">
        <v>25</v>
      </c>
      <c r="J673" s="2" t="s">
        <v>26</v>
      </c>
      <c r="K673">
        <v>1</v>
      </c>
      <c r="L673" s="2" t="s">
        <v>49</v>
      </c>
      <c r="M673" s="2" t="s">
        <v>28</v>
      </c>
      <c r="N673" t="b">
        <v>0</v>
      </c>
      <c r="O673">
        <v>120</v>
      </c>
      <c r="P673" s="2" t="s">
        <v>37</v>
      </c>
      <c r="Q673">
        <v>1</v>
      </c>
      <c r="R673">
        <v>3</v>
      </c>
      <c r="S673">
        <v>1797</v>
      </c>
      <c r="T673" s="2" t="s">
        <v>30</v>
      </c>
    </row>
    <row r="674" spans="1:20" x14ac:dyDescent="0.3">
      <c r="A674" s="1">
        <v>45549</v>
      </c>
      <c r="B674" s="2" t="s">
        <v>77</v>
      </c>
      <c r="C674" s="2" t="s">
        <v>45</v>
      </c>
      <c r="D674" s="2" t="s">
        <v>33</v>
      </c>
      <c r="E674">
        <v>3477</v>
      </c>
      <c r="F674" t="b">
        <v>0</v>
      </c>
      <c r="G674" s="2" t="s">
        <v>40</v>
      </c>
      <c r="H674" s="2" t="s">
        <v>35</v>
      </c>
      <c r="I674" s="2" t="s">
        <v>59</v>
      </c>
      <c r="J674" s="2" t="s">
        <v>54</v>
      </c>
      <c r="K674">
        <v>4</v>
      </c>
      <c r="L674" s="2" t="s">
        <v>49</v>
      </c>
      <c r="M674" s="2" t="s">
        <v>58</v>
      </c>
      <c r="N674" t="b">
        <v>1</v>
      </c>
      <c r="O674">
        <v>43</v>
      </c>
      <c r="P674" s="2" t="s">
        <v>63</v>
      </c>
      <c r="Q674">
        <v>8</v>
      </c>
      <c r="R674">
        <v>1</v>
      </c>
      <c r="S674">
        <v>2887</v>
      </c>
      <c r="T674" s="2" t="s">
        <v>51</v>
      </c>
    </row>
    <row r="675" spans="1:20" x14ac:dyDescent="0.3">
      <c r="A675" s="1">
        <v>45550</v>
      </c>
      <c r="B675" s="2" t="s">
        <v>76</v>
      </c>
      <c r="C675" s="2" t="s">
        <v>60</v>
      </c>
      <c r="D675" s="2" t="s">
        <v>33</v>
      </c>
      <c r="E675">
        <v>4298</v>
      </c>
      <c r="F675" t="b">
        <v>0</v>
      </c>
      <c r="G675" s="2" t="s">
        <v>40</v>
      </c>
      <c r="H675" s="2" t="s">
        <v>35</v>
      </c>
      <c r="I675" s="2" t="s">
        <v>25</v>
      </c>
      <c r="J675" s="2" t="s">
        <v>54</v>
      </c>
      <c r="K675">
        <v>1</v>
      </c>
      <c r="L675" s="2" t="s">
        <v>36</v>
      </c>
      <c r="M675" s="2" t="s">
        <v>66</v>
      </c>
      <c r="N675" t="b">
        <v>1</v>
      </c>
      <c r="O675">
        <v>55</v>
      </c>
      <c r="P675" s="2" t="s">
        <v>29</v>
      </c>
      <c r="Q675">
        <v>10</v>
      </c>
      <c r="R675">
        <v>3</v>
      </c>
      <c r="S675">
        <v>2028</v>
      </c>
      <c r="T675" s="2" t="s">
        <v>51</v>
      </c>
    </row>
    <row r="676" spans="1:20" x14ac:dyDescent="0.3">
      <c r="A676" s="1">
        <v>45550</v>
      </c>
      <c r="B676" s="2" t="s">
        <v>68</v>
      </c>
      <c r="C676" s="2" t="s">
        <v>21</v>
      </c>
      <c r="D676" s="2" t="s">
        <v>57</v>
      </c>
      <c r="E676">
        <v>1000</v>
      </c>
      <c r="F676" t="b">
        <v>0</v>
      </c>
      <c r="G676" s="2" t="s">
        <v>34</v>
      </c>
      <c r="H676" s="2" t="s">
        <v>70</v>
      </c>
      <c r="I676" s="2" t="s">
        <v>47</v>
      </c>
      <c r="J676" s="2" t="s">
        <v>48</v>
      </c>
      <c r="K676">
        <v>5</v>
      </c>
      <c r="L676" s="2" t="s">
        <v>49</v>
      </c>
      <c r="M676" s="2" t="s">
        <v>28</v>
      </c>
      <c r="N676" t="b">
        <v>0</v>
      </c>
      <c r="O676">
        <v>77</v>
      </c>
      <c r="P676" s="2" t="s">
        <v>37</v>
      </c>
      <c r="Q676">
        <v>8</v>
      </c>
      <c r="R676">
        <v>3</v>
      </c>
      <c r="S676">
        <v>886</v>
      </c>
      <c r="T676" s="2" t="s">
        <v>30</v>
      </c>
    </row>
    <row r="677" spans="1:20" x14ac:dyDescent="0.3">
      <c r="A677" s="1">
        <v>45550</v>
      </c>
      <c r="B677" s="2" t="s">
        <v>44</v>
      </c>
      <c r="C677" s="2" t="s">
        <v>60</v>
      </c>
      <c r="D677" s="2" t="s">
        <v>61</v>
      </c>
      <c r="E677">
        <v>1000</v>
      </c>
      <c r="F677" t="b">
        <v>0</v>
      </c>
      <c r="G677" s="2" t="s">
        <v>65</v>
      </c>
      <c r="H677" s="2" t="s">
        <v>35</v>
      </c>
      <c r="I677" s="2" t="s">
        <v>25</v>
      </c>
      <c r="J677" s="2" t="s">
        <v>43</v>
      </c>
      <c r="K677">
        <v>2</v>
      </c>
      <c r="L677" s="2" t="s">
        <v>27</v>
      </c>
      <c r="M677" s="2" t="s">
        <v>73</v>
      </c>
      <c r="N677" t="b">
        <v>0</v>
      </c>
      <c r="O677">
        <v>14</v>
      </c>
      <c r="P677" s="2" t="s">
        <v>50</v>
      </c>
      <c r="Q677">
        <v>6</v>
      </c>
      <c r="R677">
        <v>3</v>
      </c>
      <c r="S677">
        <v>4150</v>
      </c>
      <c r="T677" s="2" t="s">
        <v>30</v>
      </c>
    </row>
    <row r="678" spans="1:20" x14ac:dyDescent="0.3">
      <c r="A678" s="1">
        <v>45550</v>
      </c>
      <c r="B678" s="2" t="s">
        <v>62</v>
      </c>
      <c r="C678" s="2" t="s">
        <v>60</v>
      </c>
      <c r="D678" s="2" t="s">
        <v>61</v>
      </c>
      <c r="E678">
        <v>1000</v>
      </c>
      <c r="F678" t="b">
        <v>1</v>
      </c>
      <c r="G678" s="2" t="s">
        <v>40</v>
      </c>
      <c r="H678" s="2" t="s">
        <v>70</v>
      </c>
      <c r="I678" s="2" t="s">
        <v>25</v>
      </c>
      <c r="J678" s="2" t="s">
        <v>26</v>
      </c>
      <c r="K678">
        <v>1</v>
      </c>
      <c r="L678" s="2" t="s">
        <v>27</v>
      </c>
      <c r="M678" s="2" t="s">
        <v>58</v>
      </c>
      <c r="N678" t="b">
        <v>1</v>
      </c>
      <c r="O678">
        <v>26</v>
      </c>
      <c r="P678" s="2" t="s">
        <v>67</v>
      </c>
      <c r="Q678">
        <v>5</v>
      </c>
      <c r="R678">
        <v>2</v>
      </c>
      <c r="S678">
        <v>2807</v>
      </c>
      <c r="T678" s="2" t="s">
        <v>38</v>
      </c>
    </row>
    <row r="679" spans="1:20" x14ac:dyDescent="0.3">
      <c r="A679" s="1">
        <v>45551</v>
      </c>
      <c r="B679" s="2" t="s">
        <v>55</v>
      </c>
      <c r="C679" s="2" t="s">
        <v>32</v>
      </c>
      <c r="D679" s="2" t="s">
        <v>46</v>
      </c>
      <c r="E679">
        <v>3556</v>
      </c>
      <c r="F679" t="b">
        <v>0</v>
      </c>
      <c r="G679" s="2" t="s">
        <v>65</v>
      </c>
      <c r="H679" s="2" t="s">
        <v>41</v>
      </c>
      <c r="I679" s="2" t="s">
        <v>47</v>
      </c>
      <c r="J679" s="2" t="s">
        <v>48</v>
      </c>
      <c r="K679">
        <v>1</v>
      </c>
      <c r="L679" s="2" t="s">
        <v>36</v>
      </c>
      <c r="M679" s="2" t="s">
        <v>28</v>
      </c>
      <c r="N679" t="b">
        <v>1</v>
      </c>
      <c r="O679">
        <v>27</v>
      </c>
      <c r="P679" s="2" t="s">
        <v>37</v>
      </c>
      <c r="Q679">
        <v>1</v>
      </c>
      <c r="R679">
        <v>3</v>
      </c>
      <c r="S679">
        <v>1123</v>
      </c>
      <c r="T679" s="2" t="s">
        <v>38</v>
      </c>
    </row>
    <row r="680" spans="1:20" x14ac:dyDescent="0.3">
      <c r="A680" s="1">
        <v>45552</v>
      </c>
      <c r="B680" s="2" t="s">
        <v>72</v>
      </c>
      <c r="C680" s="2" t="s">
        <v>45</v>
      </c>
      <c r="D680" s="2" t="s">
        <v>22</v>
      </c>
      <c r="E680">
        <v>7930</v>
      </c>
      <c r="F680" t="b">
        <v>1</v>
      </c>
      <c r="G680" s="2" t="s">
        <v>64</v>
      </c>
      <c r="H680" s="2" t="s">
        <v>35</v>
      </c>
      <c r="I680" s="2" t="s">
        <v>42</v>
      </c>
      <c r="J680" s="2" t="s">
        <v>48</v>
      </c>
      <c r="K680">
        <v>2</v>
      </c>
      <c r="L680" s="2" t="s">
        <v>36</v>
      </c>
      <c r="M680" s="2" t="s">
        <v>66</v>
      </c>
      <c r="N680" t="b">
        <v>0</v>
      </c>
      <c r="O680">
        <v>72</v>
      </c>
      <c r="P680" s="2" t="s">
        <v>50</v>
      </c>
      <c r="Q680">
        <v>5</v>
      </c>
      <c r="R680">
        <v>1</v>
      </c>
      <c r="S680">
        <v>3870</v>
      </c>
      <c r="T680" s="2" t="s">
        <v>38</v>
      </c>
    </row>
    <row r="681" spans="1:20" x14ac:dyDescent="0.3">
      <c r="A681" s="1">
        <v>45552</v>
      </c>
      <c r="B681" s="2" t="s">
        <v>75</v>
      </c>
      <c r="C681" s="2" t="s">
        <v>45</v>
      </c>
      <c r="D681" s="2" t="s">
        <v>53</v>
      </c>
      <c r="E681">
        <v>6029</v>
      </c>
      <c r="F681" t="b">
        <v>0</v>
      </c>
      <c r="G681" s="2" t="s">
        <v>23</v>
      </c>
      <c r="H681" s="2" t="s">
        <v>24</v>
      </c>
      <c r="I681" s="2" t="s">
        <v>25</v>
      </c>
      <c r="J681" s="2" t="s">
        <v>48</v>
      </c>
      <c r="K681">
        <v>5</v>
      </c>
      <c r="L681" s="2" t="s">
        <v>49</v>
      </c>
      <c r="M681" s="2" t="s">
        <v>73</v>
      </c>
      <c r="N681" t="b">
        <v>1</v>
      </c>
      <c r="O681">
        <v>3</v>
      </c>
      <c r="P681" s="2" t="s">
        <v>37</v>
      </c>
      <c r="Q681">
        <v>8</v>
      </c>
      <c r="R681">
        <v>3</v>
      </c>
      <c r="S681">
        <v>4799</v>
      </c>
      <c r="T681" s="2" t="s">
        <v>30</v>
      </c>
    </row>
    <row r="682" spans="1:20" x14ac:dyDescent="0.3">
      <c r="A682" s="1">
        <v>45553</v>
      </c>
      <c r="B682" s="2" t="s">
        <v>52</v>
      </c>
      <c r="C682" s="2" t="s">
        <v>56</v>
      </c>
      <c r="D682" s="2" t="s">
        <v>57</v>
      </c>
      <c r="E682">
        <v>1000</v>
      </c>
      <c r="F682" t="b">
        <v>1</v>
      </c>
      <c r="G682" s="2" t="s">
        <v>23</v>
      </c>
      <c r="H682" s="2" t="s">
        <v>70</v>
      </c>
      <c r="I682" s="2" t="s">
        <v>59</v>
      </c>
      <c r="J682" s="2" t="s">
        <v>26</v>
      </c>
      <c r="K682">
        <v>5</v>
      </c>
      <c r="L682" s="2" t="s">
        <v>36</v>
      </c>
      <c r="M682" s="2" t="s">
        <v>28</v>
      </c>
      <c r="N682" t="b">
        <v>0</v>
      </c>
      <c r="O682">
        <v>72</v>
      </c>
      <c r="P682" s="2" t="s">
        <v>29</v>
      </c>
      <c r="Q682">
        <v>7</v>
      </c>
      <c r="R682">
        <v>1</v>
      </c>
      <c r="S682">
        <v>3378</v>
      </c>
      <c r="T682" s="2" t="s">
        <v>51</v>
      </c>
    </row>
    <row r="683" spans="1:20" x14ac:dyDescent="0.3">
      <c r="A683" s="1">
        <v>45553</v>
      </c>
      <c r="B683" s="2" t="s">
        <v>69</v>
      </c>
      <c r="C683" s="2" t="s">
        <v>21</v>
      </c>
      <c r="D683" s="2" t="s">
        <v>53</v>
      </c>
      <c r="E683">
        <v>2234</v>
      </c>
      <c r="F683" t="b">
        <v>0</v>
      </c>
      <c r="G683" s="2" t="s">
        <v>40</v>
      </c>
      <c r="H683" s="2" t="s">
        <v>35</v>
      </c>
      <c r="I683" s="2" t="s">
        <v>25</v>
      </c>
      <c r="J683" s="2" t="s">
        <v>48</v>
      </c>
      <c r="K683">
        <v>5</v>
      </c>
      <c r="L683" s="2" t="s">
        <v>36</v>
      </c>
      <c r="M683" s="2" t="s">
        <v>66</v>
      </c>
      <c r="N683" t="b">
        <v>1</v>
      </c>
      <c r="O683">
        <v>110</v>
      </c>
      <c r="P683" s="2" t="s">
        <v>29</v>
      </c>
      <c r="Q683">
        <v>1</v>
      </c>
      <c r="R683">
        <v>2</v>
      </c>
      <c r="S683">
        <v>3984</v>
      </c>
      <c r="T683" s="2" t="s">
        <v>51</v>
      </c>
    </row>
    <row r="684" spans="1:20" x14ac:dyDescent="0.3">
      <c r="A684" s="1">
        <v>45553</v>
      </c>
      <c r="B684" s="2" t="s">
        <v>68</v>
      </c>
      <c r="C684" s="2" t="s">
        <v>60</v>
      </c>
      <c r="D684" s="2" t="s">
        <v>61</v>
      </c>
      <c r="E684">
        <v>1000</v>
      </c>
      <c r="F684" t="b">
        <v>0</v>
      </c>
      <c r="G684" s="2" t="s">
        <v>34</v>
      </c>
      <c r="H684" s="2" t="s">
        <v>24</v>
      </c>
      <c r="I684" s="2" t="s">
        <v>42</v>
      </c>
      <c r="J684" s="2" t="s">
        <v>26</v>
      </c>
      <c r="K684">
        <v>1</v>
      </c>
      <c r="L684" s="2" t="s">
        <v>49</v>
      </c>
      <c r="M684" s="2" t="s">
        <v>28</v>
      </c>
      <c r="N684" t="b">
        <v>0</v>
      </c>
      <c r="O684">
        <v>73</v>
      </c>
      <c r="P684" s="2" t="s">
        <v>29</v>
      </c>
      <c r="Q684">
        <v>1</v>
      </c>
      <c r="R684">
        <v>3</v>
      </c>
      <c r="S684">
        <v>912</v>
      </c>
      <c r="T684" s="2" t="s">
        <v>38</v>
      </c>
    </row>
    <row r="685" spans="1:20" x14ac:dyDescent="0.3">
      <c r="A685" s="1">
        <v>45555</v>
      </c>
      <c r="B685" s="2" t="s">
        <v>74</v>
      </c>
      <c r="C685" s="2" t="s">
        <v>60</v>
      </c>
      <c r="D685" s="2" t="s">
        <v>53</v>
      </c>
      <c r="E685">
        <v>4983</v>
      </c>
      <c r="F685" t="b">
        <v>1</v>
      </c>
      <c r="G685" s="2" t="s">
        <v>64</v>
      </c>
      <c r="H685" s="2" t="s">
        <v>70</v>
      </c>
      <c r="I685" s="2" t="s">
        <v>42</v>
      </c>
      <c r="J685" s="2" t="s">
        <v>43</v>
      </c>
      <c r="K685">
        <v>1</v>
      </c>
      <c r="L685" s="2" t="s">
        <v>27</v>
      </c>
      <c r="M685" s="2" t="s">
        <v>28</v>
      </c>
      <c r="N685" t="b">
        <v>0</v>
      </c>
      <c r="O685">
        <v>34</v>
      </c>
      <c r="P685" s="2" t="s">
        <v>50</v>
      </c>
      <c r="Q685">
        <v>10</v>
      </c>
      <c r="R685">
        <v>3</v>
      </c>
      <c r="S685">
        <v>1021</v>
      </c>
      <c r="T685" s="2" t="s">
        <v>51</v>
      </c>
    </row>
    <row r="686" spans="1:20" x14ac:dyDescent="0.3">
      <c r="A686" s="1">
        <v>45555</v>
      </c>
      <c r="B686" s="2" t="s">
        <v>55</v>
      </c>
      <c r="C686" s="2" t="s">
        <v>56</v>
      </c>
      <c r="D686" s="2" t="s">
        <v>33</v>
      </c>
      <c r="E686">
        <v>4873</v>
      </c>
      <c r="F686" t="b">
        <v>0</v>
      </c>
      <c r="G686" s="2" t="s">
        <v>64</v>
      </c>
      <c r="H686" s="2" t="s">
        <v>70</v>
      </c>
      <c r="I686" s="2" t="s">
        <v>47</v>
      </c>
      <c r="J686" s="2" t="s">
        <v>48</v>
      </c>
      <c r="K686">
        <v>12</v>
      </c>
      <c r="L686" s="2" t="s">
        <v>27</v>
      </c>
      <c r="M686" s="2" t="s">
        <v>28</v>
      </c>
      <c r="N686" t="b">
        <v>1</v>
      </c>
      <c r="O686">
        <v>42</v>
      </c>
      <c r="P686" s="2" t="s">
        <v>63</v>
      </c>
      <c r="Q686">
        <v>2</v>
      </c>
      <c r="R686">
        <v>2</v>
      </c>
      <c r="S686">
        <v>3044</v>
      </c>
      <c r="T686" s="2" t="s">
        <v>51</v>
      </c>
    </row>
    <row r="687" spans="1:20" x14ac:dyDescent="0.3">
      <c r="A687" s="1">
        <v>45555</v>
      </c>
      <c r="B687" s="2" t="s">
        <v>68</v>
      </c>
      <c r="C687" s="2" t="s">
        <v>56</v>
      </c>
      <c r="D687" s="2" t="s">
        <v>57</v>
      </c>
      <c r="E687">
        <v>1000</v>
      </c>
      <c r="F687" t="b">
        <v>0</v>
      </c>
      <c r="G687" s="2" t="s">
        <v>34</v>
      </c>
      <c r="H687" s="2" t="s">
        <v>41</v>
      </c>
      <c r="I687" s="2" t="s">
        <v>47</v>
      </c>
      <c r="J687" s="2" t="s">
        <v>43</v>
      </c>
      <c r="K687">
        <v>5</v>
      </c>
      <c r="L687" s="2" t="s">
        <v>36</v>
      </c>
      <c r="M687" s="2" t="s">
        <v>66</v>
      </c>
      <c r="N687" t="b">
        <v>1</v>
      </c>
      <c r="O687">
        <v>43</v>
      </c>
      <c r="P687" s="2" t="s">
        <v>63</v>
      </c>
      <c r="Q687">
        <v>5</v>
      </c>
      <c r="R687">
        <v>1</v>
      </c>
      <c r="S687">
        <v>1659</v>
      </c>
      <c r="T687" s="2" t="s">
        <v>30</v>
      </c>
    </row>
    <row r="688" spans="1:20" x14ac:dyDescent="0.3">
      <c r="A688" s="1">
        <v>45555</v>
      </c>
      <c r="B688" s="2" t="s">
        <v>39</v>
      </c>
      <c r="C688" s="2" t="s">
        <v>56</v>
      </c>
      <c r="D688" s="2" t="s">
        <v>22</v>
      </c>
      <c r="E688">
        <v>29000</v>
      </c>
      <c r="F688" t="b">
        <v>1</v>
      </c>
      <c r="G688" s="2" t="s">
        <v>34</v>
      </c>
      <c r="H688" s="2" t="s">
        <v>35</v>
      </c>
      <c r="I688" s="2" t="s">
        <v>42</v>
      </c>
      <c r="J688" s="2" t="s">
        <v>26</v>
      </c>
      <c r="K688">
        <v>3</v>
      </c>
      <c r="L688" s="2" t="s">
        <v>36</v>
      </c>
      <c r="M688" s="2" t="s">
        <v>58</v>
      </c>
      <c r="N688" t="b">
        <v>0</v>
      </c>
      <c r="O688">
        <v>10</v>
      </c>
      <c r="P688" s="2" t="s">
        <v>67</v>
      </c>
      <c r="Q688">
        <v>3</v>
      </c>
      <c r="R688">
        <v>3</v>
      </c>
      <c r="S688">
        <v>3491</v>
      </c>
      <c r="T688" s="2" t="s">
        <v>30</v>
      </c>
    </row>
    <row r="689" spans="1:20" x14ac:dyDescent="0.3">
      <c r="A689" s="1">
        <v>45556</v>
      </c>
      <c r="B689" s="2" t="s">
        <v>62</v>
      </c>
      <c r="C689" s="2" t="s">
        <v>45</v>
      </c>
      <c r="D689" s="2" t="s">
        <v>57</v>
      </c>
      <c r="E689">
        <v>1000</v>
      </c>
      <c r="F689" t="b">
        <v>0</v>
      </c>
      <c r="G689" s="2" t="s">
        <v>40</v>
      </c>
      <c r="H689" s="2" t="s">
        <v>41</v>
      </c>
      <c r="I689" s="2" t="s">
        <v>25</v>
      </c>
      <c r="J689" s="2" t="s">
        <v>26</v>
      </c>
      <c r="K689">
        <v>3</v>
      </c>
      <c r="L689" s="2" t="s">
        <v>49</v>
      </c>
      <c r="M689" s="2" t="s">
        <v>58</v>
      </c>
      <c r="N689" t="b">
        <v>1</v>
      </c>
      <c r="O689">
        <v>48</v>
      </c>
      <c r="P689" s="2" t="s">
        <v>63</v>
      </c>
      <c r="Q689">
        <v>3</v>
      </c>
      <c r="R689">
        <v>1</v>
      </c>
      <c r="S689">
        <v>4468</v>
      </c>
      <c r="T689" s="2" t="s">
        <v>51</v>
      </c>
    </row>
    <row r="690" spans="1:20" x14ac:dyDescent="0.3">
      <c r="A690" s="1">
        <v>45556</v>
      </c>
      <c r="B690" s="2" t="s">
        <v>74</v>
      </c>
      <c r="C690" s="2" t="s">
        <v>56</v>
      </c>
      <c r="D690" s="2" t="s">
        <v>46</v>
      </c>
      <c r="E690">
        <v>2284</v>
      </c>
      <c r="F690" t="b">
        <v>1</v>
      </c>
      <c r="G690" s="2" t="s">
        <v>64</v>
      </c>
      <c r="H690" s="2" t="s">
        <v>35</v>
      </c>
      <c r="I690" s="2" t="s">
        <v>42</v>
      </c>
      <c r="J690" s="2" t="s">
        <v>54</v>
      </c>
      <c r="K690">
        <v>2</v>
      </c>
      <c r="L690" s="2" t="s">
        <v>27</v>
      </c>
      <c r="M690" s="2" t="s">
        <v>73</v>
      </c>
      <c r="N690" t="b">
        <v>1</v>
      </c>
      <c r="O690">
        <v>100</v>
      </c>
      <c r="P690" s="2" t="s">
        <v>63</v>
      </c>
      <c r="Q690">
        <v>3</v>
      </c>
      <c r="R690">
        <v>3</v>
      </c>
      <c r="S690">
        <v>2157</v>
      </c>
      <c r="T690" s="2" t="s">
        <v>51</v>
      </c>
    </row>
    <row r="691" spans="1:20" x14ac:dyDescent="0.3">
      <c r="A691" s="1">
        <v>45556</v>
      </c>
      <c r="B691" s="2" t="s">
        <v>52</v>
      </c>
      <c r="C691" s="2" t="s">
        <v>60</v>
      </c>
      <c r="D691" s="2" t="s">
        <v>33</v>
      </c>
      <c r="E691">
        <v>3490</v>
      </c>
      <c r="F691" t="b">
        <v>0</v>
      </c>
      <c r="G691" s="2" t="s">
        <v>64</v>
      </c>
      <c r="H691" s="2" t="s">
        <v>24</v>
      </c>
      <c r="I691" s="2" t="s">
        <v>25</v>
      </c>
      <c r="J691" s="2" t="s">
        <v>43</v>
      </c>
      <c r="K691">
        <v>1</v>
      </c>
      <c r="L691" s="2" t="s">
        <v>36</v>
      </c>
      <c r="M691" s="2" t="s">
        <v>73</v>
      </c>
      <c r="N691" t="b">
        <v>0</v>
      </c>
      <c r="O691">
        <v>89</v>
      </c>
      <c r="P691" s="2" t="s">
        <v>63</v>
      </c>
      <c r="Q691">
        <v>8</v>
      </c>
      <c r="R691">
        <v>1</v>
      </c>
      <c r="S691">
        <v>2396</v>
      </c>
      <c r="T691" s="2" t="s">
        <v>30</v>
      </c>
    </row>
    <row r="692" spans="1:20" x14ac:dyDescent="0.3">
      <c r="A692" s="1">
        <v>45556</v>
      </c>
      <c r="B692" s="2" t="s">
        <v>44</v>
      </c>
      <c r="C692" s="2" t="s">
        <v>60</v>
      </c>
      <c r="D692" s="2" t="s">
        <v>61</v>
      </c>
      <c r="E692">
        <v>1000</v>
      </c>
      <c r="F692" t="b">
        <v>0</v>
      </c>
      <c r="G692" s="2" t="s">
        <v>64</v>
      </c>
      <c r="H692" s="2" t="s">
        <v>41</v>
      </c>
      <c r="I692" s="2" t="s">
        <v>59</v>
      </c>
      <c r="J692" s="2" t="s">
        <v>43</v>
      </c>
      <c r="K692">
        <v>2</v>
      </c>
      <c r="L692" s="2" t="s">
        <v>27</v>
      </c>
      <c r="M692" s="2" t="s">
        <v>28</v>
      </c>
      <c r="N692" t="b">
        <v>1</v>
      </c>
      <c r="O692">
        <v>0</v>
      </c>
      <c r="P692" s="2" t="s">
        <v>67</v>
      </c>
      <c r="Q692">
        <v>4</v>
      </c>
      <c r="R692">
        <v>3</v>
      </c>
      <c r="S692">
        <v>2647</v>
      </c>
      <c r="T692" s="2" t="s">
        <v>51</v>
      </c>
    </row>
    <row r="693" spans="1:20" x14ac:dyDescent="0.3">
      <c r="A693" s="1">
        <v>45556</v>
      </c>
      <c r="B693" s="2" t="s">
        <v>75</v>
      </c>
      <c r="C693" s="2" t="s">
        <v>60</v>
      </c>
      <c r="D693" s="2" t="s">
        <v>61</v>
      </c>
      <c r="E693">
        <v>1000</v>
      </c>
      <c r="F693" t="b">
        <v>0</v>
      </c>
      <c r="G693" s="2" t="s">
        <v>34</v>
      </c>
      <c r="H693" s="2" t="s">
        <v>70</v>
      </c>
      <c r="I693" s="2" t="s">
        <v>59</v>
      </c>
      <c r="J693" s="2" t="s">
        <v>43</v>
      </c>
      <c r="K693">
        <v>1</v>
      </c>
      <c r="L693" s="2" t="s">
        <v>49</v>
      </c>
      <c r="M693" s="2" t="s">
        <v>73</v>
      </c>
      <c r="N693" t="b">
        <v>0</v>
      </c>
      <c r="O693">
        <v>30</v>
      </c>
      <c r="P693" s="2" t="s">
        <v>63</v>
      </c>
      <c r="Q693">
        <v>2</v>
      </c>
      <c r="R693">
        <v>2</v>
      </c>
      <c r="S693">
        <v>3588</v>
      </c>
      <c r="T693" s="2" t="s">
        <v>38</v>
      </c>
    </row>
    <row r="694" spans="1:20" x14ac:dyDescent="0.3">
      <c r="A694" s="1">
        <v>45556</v>
      </c>
      <c r="B694" s="2" t="s">
        <v>39</v>
      </c>
      <c r="C694" s="2" t="s">
        <v>56</v>
      </c>
      <c r="D694" s="2" t="s">
        <v>57</v>
      </c>
      <c r="E694">
        <v>1000</v>
      </c>
      <c r="F694" t="b">
        <v>0</v>
      </c>
      <c r="G694" s="2" t="s">
        <v>34</v>
      </c>
      <c r="H694" s="2" t="s">
        <v>24</v>
      </c>
      <c r="I694" s="2" t="s">
        <v>59</v>
      </c>
      <c r="J694" s="2" t="s">
        <v>43</v>
      </c>
      <c r="K694">
        <v>1</v>
      </c>
      <c r="L694" s="2" t="s">
        <v>27</v>
      </c>
      <c r="M694" s="2" t="s">
        <v>28</v>
      </c>
      <c r="N694" t="b">
        <v>0</v>
      </c>
      <c r="O694">
        <v>28</v>
      </c>
      <c r="P694" s="2" t="s">
        <v>63</v>
      </c>
      <c r="Q694">
        <v>7</v>
      </c>
      <c r="R694">
        <v>1</v>
      </c>
      <c r="S694">
        <v>3341</v>
      </c>
      <c r="T694" s="2" t="s">
        <v>30</v>
      </c>
    </row>
    <row r="695" spans="1:20" x14ac:dyDescent="0.3">
      <c r="A695" s="1">
        <v>45557</v>
      </c>
      <c r="B695" s="2" t="s">
        <v>69</v>
      </c>
      <c r="C695" s="2" t="s">
        <v>21</v>
      </c>
      <c r="D695" s="2" t="s">
        <v>53</v>
      </c>
      <c r="E695">
        <v>6322</v>
      </c>
      <c r="F695" t="b">
        <v>1</v>
      </c>
      <c r="G695" s="2" t="s">
        <v>34</v>
      </c>
      <c r="H695" s="2" t="s">
        <v>70</v>
      </c>
      <c r="I695" s="2" t="s">
        <v>25</v>
      </c>
      <c r="J695" s="2" t="s">
        <v>48</v>
      </c>
      <c r="K695">
        <v>2</v>
      </c>
      <c r="L695" s="2" t="s">
        <v>27</v>
      </c>
      <c r="M695" s="2" t="s">
        <v>58</v>
      </c>
      <c r="N695" t="b">
        <v>0</v>
      </c>
      <c r="O695">
        <v>86</v>
      </c>
      <c r="P695" s="2" t="s">
        <v>67</v>
      </c>
      <c r="Q695">
        <v>9</v>
      </c>
      <c r="R695">
        <v>3</v>
      </c>
      <c r="S695">
        <v>680</v>
      </c>
      <c r="T695" s="2" t="s">
        <v>51</v>
      </c>
    </row>
    <row r="696" spans="1:20" x14ac:dyDescent="0.3">
      <c r="A696" s="1">
        <v>45557</v>
      </c>
      <c r="B696" s="2" t="s">
        <v>44</v>
      </c>
      <c r="C696" s="2" t="s">
        <v>45</v>
      </c>
      <c r="D696" s="2" t="s">
        <v>33</v>
      </c>
      <c r="E696">
        <v>2362</v>
      </c>
      <c r="F696" t="b">
        <v>0</v>
      </c>
      <c r="G696" s="2" t="s">
        <v>23</v>
      </c>
      <c r="H696" s="2" t="s">
        <v>35</v>
      </c>
      <c r="I696" s="2" t="s">
        <v>42</v>
      </c>
      <c r="J696" s="2" t="s">
        <v>26</v>
      </c>
      <c r="K696">
        <v>2</v>
      </c>
      <c r="L696" s="2" t="s">
        <v>27</v>
      </c>
      <c r="M696" s="2" t="s">
        <v>66</v>
      </c>
      <c r="N696" t="b">
        <v>1</v>
      </c>
      <c r="O696">
        <v>102</v>
      </c>
      <c r="P696" s="2" t="s">
        <v>63</v>
      </c>
      <c r="Q696">
        <v>8</v>
      </c>
      <c r="R696">
        <v>2</v>
      </c>
      <c r="S696">
        <v>3975</v>
      </c>
      <c r="T696" s="2" t="s">
        <v>30</v>
      </c>
    </row>
    <row r="697" spans="1:20" x14ac:dyDescent="0.3">
      <c r="A697" s="1">
        <v>45557</v>
      </c>
      <c r="B697" s="2" t="s">
        <v>52</v>
      </c>
      <c r="C697" s="2" t="s">
        <v>56</v>
      </c>
      <c r="D697" s="2" t="s">
        <v>33</v>
      </c>
      <c r="E697">
        <v>2131</v>
      </c>
      <c r="F697" t="b">
        <v>1</v>
      </c>
      <c r="G697" s="2" t="s">
        <v>64</v>
      </c>
      <c r="H697" s="2" t="s">
        <v>41</v>
      </c>
      <c r="I697" s="2" t="s">
        <v>47</v>
      </c>
      <c r="J697" s="2" t="s">
        <v>43</v>
      </c>
      <c r="K697">
        <v>4</v>
      </c>
      <c r="L697" s="2" t="s">
        <v>49</v>
      </c>
      <c r="M697" s="2" t="s">
        <v>73</v>
      </c>
      <c r="N697" t="b">
        <v>1</v>
      </c>
      <c r="O697">
        <v>51</v>
      </c>
      <c r="P697" s="2" t="s">
        <v>50</v>
      </c>
      <c r="Q697">
        <v>6</v>
      </c>
      <c r="R697">
        <v>2</v>
      </c>
      <c r="S697">
        <v>1169</v>
      </c>
      <c r="T697" s="2" t="s">
        <v>38</v>
      </c>
    </row>
    <row r="698" spans="1:20" x14ac:dyDescent="0.3">
      <c r="A698" s="1">
        <v>45558</v>
      </c>
      <c r="B698" s="2" t="s">
        <v>72</v>
      </c>
      <c r="C698" s="2" t="s">
        <v>60</v>
      </c>
      <c r="D698" s="2" t="s">
        <v>53</v>
      </c>
      <c r="E698">
        <v>6324</v>
      </c>
      <c r="F698" t="b">
        <v>1</v>
      </c>
      <c r="G698" s="2" t="s">
        <v>23</v>
      </c>
      <c r="H698" s="2" t="s">
        <v>24</v>
      </c>
      <c r="I698" s="2" t="s">
        <v>47</v>
      </c>
      <c r="J698" s="2" t="s">
        <v>26</v>
      </c>
      <c r="K698">
        <v>3</v>
      </c>
      <c r="L698" s="2" t="s">
        <v>27</v>
      </c>
      <c r="M698" s="2" t="s">
        <v>58</v>
      </c>
      <c r="N698" t="b">
        <v>1</v>
      </c>
      <c r="O698">
        <v>41</v>
      </c>
      <c r="P698" s="2" t="s">
        <v>50</v>
      </c>
      <c r="Q698">
        <v>6</v>
      </c>
      <c r="R698">
        <v>2</v>
      </c>
      <c r="S698">
        <v>995</v>
      </c>
      <c r="T698" s="2" t="s">
        <v>51</v>
      </c>
    </row>
    <row r="699" spans="1:20" x14ac:dyDescent="0.3">
      <c r="A699" s="1">
        <v>45560</v>
      </c>
      <c r="B699" s="2" t="s">
        <v>55</v>
      </c>
      <c r="C699" s="2" t="s">
        <v>60</v>
      </c>
      <c r="D699" s="2" t="s">
        <v>61</v>
      </c>
      <c r="E699">
        <v>1000</v>
      </c>
      <c r="F699" t="b">
        <v>1</v>
      </c>
      <c r="G699" s="2" t="s">
        <v>23</v>
      </c>
      <c r="H699" s="2" t="s">
        <v>70</v>
      </c>
      <c r="I699" s="2" t="s">
        <v>47</v>
      </c>
      <c r="J699" s="2" t="s">
        <v>48</v>
      </c>
      <c r="K699">
        <v>2</v>
      </c>
      <c r="L699" s="2" t="s">
        <v>36</v>
      </c>
      <c r="M699" s="2" t="s">
        <v>28</v>
      </c>
      <c r="N699" t="b">
        <v>0</v>
      </c>
      <c r="O699">
        <v>28</v>
      </c>
      <c r="P699" s="2" t="s">
        <v>37</v>
      </c>
      <c r="Q699">
        <v>8</v>
      </c>
      <c r="R699">
        <v>1</v>
      </c>
      <c r="S699">
        <v>1978</v>
      </c>
      <c r="T699" s="2" t="s">
        <v>38</v>
      </c>
    </row>
    <row r="700" spans="1:20" x14ac:dyDescent="0.3">
      <c r="A700" s="1">
        <v>45560</v>
      </c>
      <c r="B700" s="2" t="s">
        <v>74</v>
      </c>
      <c r="C700" s="2" t="s">
        <v>60</v>
      </c>
      <c r="D700" s="2" t="s">
        <v>61</v>
      </c>
      <c r="E700">
        <v>1000</v>
      </c>
      <c r="F700" t="b">
        <v>1</v>
      </c>
      <c r="G700" s="2" t="s">
        <v>40</v>
      </c>
      <c r="H700" s="2" t="s">
        <v>24</v>
      </c>
      <c r="I700" s="2" t="s">
        <v>42</v>
      </c>
      <c r="J700" s="2" t="s">
        <v>26</v>
      </c>
      <c r="K700">
        <v>2</v>
      </c>
      <c r="L700" s="2" t="s">
        <v>49</v>
      </c>
      <c r="M700" s="2" t="s">
        <v>73</v>
      </c>
      <c r="N700" t="b">
        <v>1</v>
      </c>
      <c r="O700">
        <v>76</v>
      </c>
      <c r="P700" s="2" t="s">
        <v>50</v>
      </c>
      <c r="Q700">
        <v>4</v>
      </c>
      <c r="R700">
        <v>1</v>
      </c>
      <c r="S700">
        <v>1269</v>
      </c>
      <c r="T700" s="2" t="s">
        <v>30</v>
      </c>
    </row>
    <row r="701" spans="1:20" x14ac:dyDescent="0.3">
      <c r="A701" s="1">
        <v>45561</v>
      </c>
      <c r="B701" s="2" t="s">
        <v>44</v>
      </c>
      <c r="C701" s="2" t="s">
        <v>21</v>
      </c>
      <c r="D701" s="2" t="s">
        <v>22</v>
      </c>
      <c r="E701">
        <v>9449</v>
      </c>
      <c r="F701" t="b">
        <v>0</v>
      </c>
      <c r="G701" s="2" t="s">
        <v>23</v>
      </c>
      <c r="H701" s="2" t="s">
        <v>35</v>
      </c>
      <c r="I701" s="2" t="s">
        <v>25</v>
      </c>
      <c r="J701" s="2" t="s">
        <v>43</v>
      </c>
      <c r="K701">
        <v>3</v>
      </c>
      <c r="L701" s="2" t="s">
        <v>27</v>
      </c>
      <c r="M701" s="2" t="s">
        <v>73</v>
      </c>
      <c r="N701" t="b">
        <v>1</v>
      </c>
      <c r="O701">
        <v>73</v>
      </c>
      <c r="P701" s="2" t="s">
        <v>37</v>
      </c>
      <c r="Q701">
        <v>6</v>
      </c>
      <c r="R701">
        <v>3</v>
      </c>
      <c r="S701">
        <v>2100</v>
      </c>
      <c r="T701" s="2" t="s">
        <v>30</v>
      </c>
    </row>
    <row r="702" spans="1:20" x14ac:dyDescent="0.3">
      <c r="A702" s="1">
        <v>45561</v>
      </c>
      <c r="B702" s="2" t="s">
        <v>69</v>
      </c>
      <c r="C702" s="2" t="s">
        <v>56</v>
      </c>
      <c r="D702" s="2" t="s">
        <v>46</v>
      </c>
      <c r="E702">
        <v>4758</v>
      </c>
      <c r="F702" t="b">
        <v>1</v>
      </c>
      <c r="G702" s="2" t="s">
        <v>65</v>
      </c>
      <c r="H702" s="2" t="s">
        <v>35</v>
      </c>
      <c r="I702" s="2" t="s">
        <v>47</v>
      </c>
      <c r="J702" s="2" t="s">
        <v>48</v>
      </c>
      <c r="K702">
        <v>2</v>
      </c>
      <c r="L702" s="2" t="s">
        <v>49</v>
      </c>
      <c r="M702" s="2" t="s">
        <v>73</v>
      </c>
      <c r="N702" t="b">
        <v>1</v>
      </c>
      <c r="O702">
        <v>90</v>
      </c>
      <c r="P702" s="2" t="s">
        <v>63</v>
      </c>
      <c r="Q702">
        <v>2</v>
      </c>
      <c r="R702">
        <v>2</v>
      </c>
      <c r="S702">
        <v>3450</v>
      </c>
      <c r="T702" s="2" t="s">
        <v>30</v>
      </c>
    </row>
    <row r="703" spans="1:20" x14ac:dyDescent="0.3">
      <c r="A703" s="1">
        <v>45561</v>
      </c>
      <c r="B703" s="2" t="s">
        <v>74</v>
      </c>
      <c r="C703" s="2" t="s">
        <v>45</v>
      </c>
      <c r="D703" s="2" t="s">
        <v>33</v>
      </c>
      <c r="E703">
        <v>3024</v>
      </c>
      <c r="F703" t="b">
        <v>0</v>
      </c>
      <c r="G703" s="2" t="s">
        <v>64</v>
      </c>
      <c r="H703" s="2" t="s">
        <v>70</v>
      </c>
      <c r="I703" s="2" t="s">
        <v>47</v>
      </c>
      <c r="J703" s="2" t="s">
        <v>26</v>
      </c>
      <c r="K703">
        <v>0</v>
      </c>
      <c r="L703" s="2" t="s">
        <v>27</v>
      </c>
      <c r="M703" s="2" t="s">
        <v>28</v>
      </c>
      <c r="N703" t="b">
        <v>1</v>
      </c>
      <c r="O703">
        <v>32</v>
      </c>
      <c r="P703" s="2" t="s">
        <v>67</v>
      </c>
      <c r="Q703">
        <v>4</v>
      </c>
      <c r="R703">
        <v>2</v>
      </c>
      <c r="S703">
        <v>3209</v>
      </c>
      <c r="T703" s="2" t="s">
        <v>51</v>
      </c>
    </row>
    <row r="704" spans="1:20" x14ac:dyDescent="0.3">
      <c r="A704" s="1">
        <v>45561</v>
      </c>
      <c r="B704" s="2" t="s">
        <v>39</v>
      </c>
      <c r="C704" s="2" t="s">
        <v>56</v>
      </c>
      <c r="D704" s="2" t="s">
        <v>46</v>
      </c>
      <c r="E704">
        <v>1488</v>
      </c>
      <c r="F704" t="b">
        <v>0</v>
      </c>
      <c r="G704" s="2" t="s">
        <v>65</v>
      </c>
      <c r="H704" s="2" t="s">
        <v>41</v>
      </c>
      <c r="I704" s="2" t="s">
        <v>59</v>
      </c>
      <c r="J704" s="2" t="s">
        <v>26</v>
      </c>
      <c r="K704">
        <v>4</v>
      </c>
      <c r="L704" s="2" t="s">
        <v>27</v>
      </c>
      <c r="M704" s="2" t="s">
        <v>73</v>
      </c>
      <c r="N704" t="b">
        <v>1</v>
      </c>
      <c r="O704">
        <v>21</v>
      </c>
      <c r="P704" s="2" t="s">
        <v>67</v>
      </c>
      <c r="Q704">
        <v>4</v>
      </c>
      <c r="R704">
        <v>1</v>
      </c>
      <c r="S704">
        <v>2749</v>
      </c>
      <c r="T704" s="2" t="s">
        <v>38</v>
      </c>
    </row>
    <row r="705" spans="1:20" x14ac:dyDescent="0.3">
      <c r="A705" s="1">
        <v>45561</v>
      </c>
      <c r="B705" s="2" t="s">
        <v>71</v>
      </c>
      <c r="C705" s="2" t="s">
        <v>56</v>
      </c>
      <c r="D705" s="2" t="s">
        <v>57</v>
      </c>
      <c r="E705">
        <v>1000</v>
      </c>
      <c r="F705" t="b">
        <v>1</v>
      </c>
      <c r="G705" s="2" t="s">
        <v>40</v>
      </c>
      <c r="H705" s="2" t="s">
        <v>70</v>
      </c>
      <c r="I705" s="2" t="s">
        <v>25</v>
      </c>
      <c r="J705" s="2" t="s">
        <v>43</v>
      </c>
      <c r="K705">
        <v>4</v>
      </c>
      <c r="L705" s="2" t="s">
        <v>36</v>
      </c>
      <c r="M705" s="2" t="s">
        <v>66</v>
      </c>
      <c r="N705" t="b">
        <v>1</v>
      </c>
      <c r="O705">
        <v>113</v>
      </c>
      <c r="P705" s="2" t="s">
        <v>37</v>
      </c>
      <c r="Q705">
        <v>4</v>
      </c>
      <c r="R705">
        <v>1</v>
      </c>
      <c r="S705">
        <v>1925</v>
      </c>
      <c r="T705" s="2" t="s">
        <v>51</v>
      </c>
    </row>
    <row r="706" spans="1:20" x14ac:dyDescent="0.3">
      <c r="A706" s="1">
        <v>45562</v>
      </c>
      <c r="B706" s="2" t="s">
        <v>71</v>
      </c>
      <c r="C706" s="2" t="s">
        <v>21</v>
      </c>
      <c r="D706" s="2" t="s">
        <v>46</v>
      </c>
      <c r="E706">
        <v>4641</v>
      </c>
      <c r="F706" t="b">
        <v>0</v>
      </c>
      <c r="G706" s="2" t="s">
        <v>34</v>
      </c>
      <c r="H706" s="2" t="s">
        <v>24</v>
      </c>
      <c r="I706" s="2" t="s">
        <v>47</v>
      </c>
      <c r="J706" s="2" t="s">
        <v>48</v>
      </c>
      <c r="K706">
        <v>0</v>
      </c>
      <c r="L706" s="2" t="s">
        <v>27</v>
      </c>
      <c r="M706" s="2" t="s">
        <v>66</v>
      </c>
      <c r="N706" t="b">
        <v>1</v>
      </c>
      <c r="O706">
        <v>96</v>
      </c>
      <c r="P706" s="2" t="s">
        <v>37</v>
      </c>
      <c r="Q706">
        <v>9</v>
      </c>
      <c r="R706">
        <v>3</v>
      </c>
      <c r="S706">
        <v>2121</v>
      </c>
      <c r="T706" s="2" t="s">
        <v>38</v>
      </c>
    </row>
    <row r="707" spans="1:20" x14ac:dyDescent="0.3">
      <c r="A707" s="1">
        <v>45562</v>
      </c>
      <c r="B707" s="2" t="s">
        <v>44</v>
      </c>
      <c r="C707" s="2" t="s">
        <v>60</v>
      </c>
      <c r="D707" s="2" t="s">
        <v>46</v>
      </c>
      <c r="E707">
        <v>3177</v>
      </c>
      <c r="F707" t="b">
        <v>0</v>
      </c>
      <c r="G707" s="2" t="s">
        <v>23</v>
      </c>
      <c r="H707" s="2" t="s">
        <v>41</v>
      </c>
      <c r="I707" s="2" t="s">
        <v>59</v>
      </c>
      <c r="J707" s="2" t="s">
        <v>54</v>
      </c>
      <c r="K707">
        <v>2</v>
      </c>
      <c r="L707" s="2" t="s">
        <v>27</v>
      </c>
      <c r="M707" s="2" t="s">
        <v>66</v>
      </c>
      <c r="N707" t="b">
        <v>0</v>
      </c>
      <c r="O707">
        <v>103</v>
      </c>
      <c r="P707" s="2" t="s">
        <v>37</v>
      </c>
      <c r="Q707">
        <v>4</v>
      </c>
      <c r="R707">
        <v>2</v>
      </c>
      <c r="S707">
        <v>1385</v>
      </c>
      <c r="T707" s="2" t="s">
        <v>30</v>
      </c>
    </row>
    <row r="708" spans="1:20" x14ac:dyDescent="0.3">
      <c r="A708" s="1">
        <v>45562</v>
      </c>
      <c r="B708" s="2" t="s">
        <v>75</v>
      </c>
      <c r="C708" s="2" t="s">
        <v>32</v>
      </c>
      <c r="D708" s="2" t="s">
        <v>57</v>
      </c>
      <c r="E708">
        <v>1000</v>
      </c>
      <c r="F708" t="b">
        <v>0</v>
      </c>
      <c r="G708" s="2" t="s">
        <v>65</v>
      </c>
      <c r="H708" s="2" t="s">
        <v>70</v>
      </c>
      <c r="I708" s="2" t="s">
        <v>42</v>
      </c>
      <c r="J708" s="2" t="s">
        <v>26</v>
      </c>
      <c r="K708">
        <v>2</v>
      </c>
      <c r="L708" s="2" t="s">
        <v>27</v>
      </c>
      <c r="M708" s="2" t="s">
        <v>73</v>
      </c>
      <c r="N708" t="b">
        <v>0</v>
      </c>
      <c r="O708">
        <v>18</v>
      </c>
      <c r="P708" s="2" t="s">
        <v>37</v>
      </c>
      <c r="Q708">
        <v>10</v>
      </c>
      <c r="R708">
        <v>3</v>
      </c>
      <c r="S708">
        <v>1755</v>
      </c>
      <c r="T708" s="2" t="s">
        <v>51</v>
      </c>
    </row>
    <row r="709" spans="1:20" x14ac:dyDescent="0.3">
      <c r="A709" s="1">
        <v>45563</v>
      </c>
      <c r="B709" s="2" t="s">
        <v>69</v>
      </c>
      <c r="C709" s="2" t="s">
        <v>56</v>
      </c>
      <c r="D709" s="2" t="s">
        <v>33</v>
      </c>
      <c r="E709">
        <v>2395</v>
      </c>
      <c r="F709" t="b">
        <v>1</v>
      </c>
      <c r="G709" s="2" t="s">
        <v>34</v>
      </c>
      <c r="H709" s="2" t="s">
        <v>24</v>
      </c>
      <c r="I709" s="2" t="s">
        <v>59</v>
      </c>
      <c r="J709" s="2" t="s">
        <v>43</v>
      </c>
      <c r="K709">
        <v>3</v>
      </c>
      <c r="L709" s="2" t="s">
        <v>36</v>
      </c>
      <c r="M709" s="2" t="s">
        <v>73</v>
      </c>
      <c r="N709" t="b">
        <v>1</v>
      </c>
      <c r="O709">
        <v>52</v>
      </c>
      <c r="P709" s="2" t="s">
        <v>29</v>
      </c>
      <c r="Q709">
        <v>5</v>
      </c>
      <c r="R709">
        <v>3</v>
      </c>
      <c r="S709">
        <v>2541</v>
      </c>
      <c r="T709" s="2" t="s">
        <v>30</v>
      </c>
    </row>
    <row r="710" spans="1:20" x14ac:dyDescent="0.3">
      <c r="A710" s="1">
        <v>45566</v>
      </c>
      <c r="B710" s="2" t="s">
        <v>20</v>
      </c>
      <c r="C710" s="2" t="s">
        <v>21</v>
      </c>
      <c r="D710" s="2" t="s">
        <v>53</v>
      </c>
      <c r="E710">
        <v>4594</v>
      </c>
      <c r="F710" t="b">
        <v>0</v>
      </c>
      <c r="G710" s="2" t="s">
        <v>40</v>
      </c>
      <c r="H710" s="2" t="s">
        <v>24</v>
      </c>
      <c r="I710" s="2" t="s">
        <v>42</v>
      </c>
      <c r="J710" s="2" t="s">
        <v>54</v>
      </c>
      <c r="K710">
        <v>5</v>
      </c>
      <c r="L710" s="2" t="s">
        <v>36</v>
      </c>
      <c r="M710" s="2" t="s">
        <v>58</v>
      </c>
      <c r="N710" t="b">
        <v>0</v>
      </c>
      <c r="O710">
        <v>117</v>
      </c>
      <c r="P710" s="2" t="s">
        <v>50</v>
      </c>
      <c r="Q710">
        <v>1</v>
      </c>
      <c r="R710">
        <v>2</v>
      </c>
      <c r="S710">
        <v>4672</v>
      </c>
      <c r="T710" s="2" t="s">
        <v>51</v>
      </c>
    </row>
    <row r="711" spans="1:20" x14ac:dyDescent="0.3">
      <c r="A711" s="1">
        <v>45566</v>
      </c>
      <c r="B711" s="2" t="s">
        <v>44</v>
      </c>
      <c r="C711" s="2" t="s">
        <v>21</v>
      </c>
      <c r="D711" s="2" t="s">
        <v>46</v>
      </c>
      <c r="E711">
        <v>2855</v>
      </c>
      <c r="F711" t="b">
        <v>0</v>
      </c>
      <c r="G711" s="2" t="s">
        <v>64</v>
      </c>
      <c r="H711" s="2" t="s">
        <v>35</v>
      </c>
      <c r="I711" s="2" t="s">
        <v>47</v>
      </c>
      <c r="J711" s="2" t="s">
        <v>26</v>
      </c>
      <c r="K711">
        <v>5</v>
      </c>
      <c r="L711" s="2" t="s">
        <v>36</v>
      </c>
      <c r="M711" s="2" t="s">
        <v>58</v>
      </c>
      <c r="N711" t="b">
        <v>1</v>
      </c>
      <c r="O711">
        <v>76</v>
      </c>
      <c r="P711" s="2" t="s">
        <v>63</v>
      </c>
      <c r="Q711">
        <v>6</v>
      </c>
      <c r="R711">
        <v>1</v>
      </c>
      <c r="S711">
        <v>1088</v>
      </c>
      <c r="T711" s="2" t="s">
        <v>51</v>
      </c>
    </row>
    <row r="712" spans="1:20" x14ac:dyDescent="0.3">
      <c r="A712" s="1">
        <v>45566</v>
      </c>
      <c r="B712" s="2" t="s">
        <v>31</v>
      </c>
      <c r="C712" s="2" t="s">
        <v>45</v>
      </c>
      <c r="D712" s="2" t="s">
        <v>53</v>
      </c>
      <c r="E712">
        <v>2570</v>
      </c>
      <c r="F712" t="b">
        <v>0</v>
      </c>
      <c r="G712" s="2" t="s">
        <v>65</v>
      </c>
      <c r="H712" s="2" t="s">
        <v>41</v>
      </c>
      <c r="I712" s="2" t="s">
        <v>59</v>
      </c>
      <c r="J712" s="2" t="s">
        <v>26</v>
      </c>
      <c r="K712">
        <v>2</v>
      </c>
      <c r="L712" s="2" t="s">
        <v>36</v>
      </c>
      <c r="M712" s="2" t="s">
        <v>58</v>
      </c>
      <c r="N712" t="b">
        <v>0</v>
      </c>
      <c r="O712">
        <v>114</v>
      </c>
      <c r="P712" s="2" t="s">
        <v>29</v>
      </c>
      <c r="Q712">
        <v>3</v>
      </c>
      <c r="R712">
        <v>2</v>
      </c>
      <c r="S712">
        <v>4169</v>
      </c>
      <c r="T712" s="2" t="s">
        <v>38</v>
      </c>
    </row>
    <row r="713" spans="1:20" x14ac:dyDescent="0.3">
      <c r="A713" s="1">
        <v>45567</v>
      </c>
      <c r="B713" s="2" t="s">
        <v>68</v>
      </c>
      <c r="C713" s="2" t="s">
        <v>21</v>
      </c>
      <c r="D713" s="2" t="s">
        <v>33</v>
      </c>
      <c r="E713">
        <v>1536</v>
      </c>
      <c r="F713" t="b">
        <v>1</v>
      </c>
      <c r="G713" s="2" t="s">
        <v>64</v>
      </c>
      <c r="H713" s="2" t="s">
        <v>24</v>
      </c>
      <c r="I713" s="2" t="s">
        <v>59</v>
      </c>
      <c r="J713" s="2" t="s">
        <v>43</v>
      </c>
      <c r="K713">
        <v>1</v>
      </c>
      <c r="L713" s="2" t="s">
        <v>36</v>
      </c>
      <c r="M713" s="2" t="s">
        <v>28</v>
      </c>
      <c r="N713" t="b">
        <v>0</v>
      </c>
      <c r="O713">
        <v>46</v>
      </c>
      <c r="P713" s="2" t="s">
        <v>67</v>
      </c>
      <c r="Q713">
        <v>2</v>
      </c>
      <c r="R713">
        <v>2</v>
      </c>
      <c r="S713">
        <v>3610</v>
      </c>
      <c r="T713" s="2" t="s">
        <v>51</v>
      </c>
    </row>
    <row r="714" spans="1:20" x14ac:dyDescent="0.3">
      <c r="A714" s="1">
        <v>45568</v>
      </c>
      <c r="B714" s="2" t="s">
        <v>55</v>
      </c>
      <c r="C714" s="2" t="s">
        <v>45</v>
      </c>
      <c r="D714" s="2" t="s">
        <v>46</v>
      </c>
      <c r="E714">
        <v>1017</v>
      </c>
      <c r="F714" t="b">
        <v>0</v>
      </c>
      <c r="G714" s="2" t="s">
        <v>64</v>
      </c>
      <c r="H714" s="2" t="s">
        <v>24</v>
      </c>
      <c r="I714" s="2" t="s">
        <v>47</v>
      </c>
      <c r="J714" s="2" t="s">
        <v>26</v>
      </c>
      <c r="K714">
        <v>1</v>
      </c>
      <c r="L714" s="2" t="s">
        <v>49</v>
      </c>
      <c r="M714" s="2" t="s">
        <v>66</v>
      </c>
      <c r="N714" t="b">
        <v>0</v>
      </c>
      <c r="O714">
        <v>35</v>
      </c>
      <c r="P714" s="2" t="s">
        <v>63</v>
      </c>
      <c r="Q714">
        <v>2</v>
      </c>
      <c r="R714">
        <v>1</v>
      </c>
      <c r="S714">
        <v>4876</v>
      </c>
      <c r="T714" s="2" t="s">
        <v>30</v>
      </c>
    </row>
    <row r="715" spans="1:20" x14ac:dyDescent="0.3">
      <c r="A715" s="1">
        <v>45568</v>
      </c>
      <c r="B715" s="2" t="s">
        <v>77</v>
      </c>
      <c r="C715" s="2" t="s">
        <v>21</v>
      </c>
      <c r="D715" s="2" t="s">
        <v>53</v>
      </c>
      <c r="E715">
        <v>4358</v>
      </c>
      <c r="F715" t="b">
        <v>0</v>
      </c>
      <c r="G715" s="2" t="s">
        <v>65</v>
      </c>
      <c r="H715" s="2" t="s">
        <v>24</v>
      </c>
      <c r="I715" s="2" t="s">
        <v>47</v>
      </c>
      <c r="J715" s="2" t="s">
        <v>54</v>
      </c>
      <c r="K715">
        <v>3</v>
      </c>
      <c r="L715" s="2" t="s">
        <v>27</v>
      </c>
      <c r="M715" s="2" t="s">
        <v>58</v>
      </c>
      <c r="N715" t="b">
        <v>1</v>
      </c>
      <c r="O715">
        <v>89</v>
      </c>
      <c r="P715" s="2" t="s">
        <v>29</v>
      </c>
      <c r="Q715">
        <v>2</v>
      </c>
      <c r="R715">
        <v>2</v>
      </c>
      <c r="S715">
        <v>1719</v>
      </c>
      <c r="T715" s="2" t="s">
        <v>51</v>
      </c>
    </row>
    <row r="716" spans="1:20" x14ac:dyDescent="0.3">
      <c r="A716" s="1">
        <v>45568</v>
      </c>
      <c r="B716" s="2" t="s">
        <v>76</v>
      </c>
      <c r="C716" s="2" t="s">
        <v>45</v>
      </c>
      <c r="D716" s="2" t="s">
        <v>57</v>
      </c>
      <c r="E716">
        <v>1000</v>
      </c>
      <c r="F716" t="b">
        <v>0</v>
      </c>
      <c r="G716" s="2" t="s">
        <v>40</v>
      </c>
      <c r="H716" s="2" t="s">
        <v>24</v>
      </c>
      <c r="I716" s="2" t="s">
        <v>25</v>
      </c>
      <c r="J716" s="2" t="s">
        <v>54</v>
      </c>
      <c r="K716">
        <v>4</v>
      </c>
      <c r="L716" s="2" t="s">
        <v>27</v>
      </c>
      <c r="M716" s="2" t="s">
        <v>73</v>
      </c>
      <c r="N716" t="b">
        <v>0</v>
      </c>
      <c r="O716">
        <v>82</v>
      </c>
      <c r="P716" s="2" t="s">
        <v>37</v>
      </c>
      <c r="Q716">
        <v>7</v>
      </c>
      <c r="R716">
        <v>1</v>
      </c>
      <c r="S716">
        <v>3918</v>
      </c>
      <c r="T716" s="2" t="s">
        <v>30</v>
      </c>
    </row>
    <row r="717" spans="1:20" x14ac:dyDescent="0.3">
      <c r="A717" s="1">
        <v>45569</v>
      </c>
      <c r="B717" s="2" t="s">
        <v>71</v>
      </c>
      <c r="C717" s="2" t="s">
        <v>45</v>
      </c>
      <c r="D717" s="2" t="s">
        <v>46</v>
      </c>
      <c r="E717">
        <v>3141</v>
      </c>
      <c r="F717" t="b">
        <v>1</v>
      </c>
      <c r="G717" s="2" t="s">
        <v>65</v>
      </c>
      <c r="H717" s="2" t="s">
        <v>41</v>
      </c>
      <c r="I717" s="2" t="s">
        <v>59</v>
      </c>
      <c r="J717" s="2" t="s">
        <v>43</v>
      </c>
      <c r="K717">
        <v>3</v>
      </c>
      <c r="L717" s="2" t="s">
        <v>36</v>
      </c>
      <c r="M717" s="2" t="s">
        <v>28</v>
      </c>
      <c r="N717" t="b">
        <v>0</v>
      </c>
      <c r="O717">
        <v>20</v>
      </c>
      <c r="P717" s="2" t="s">
        <v>37</v>
      </c>
      <c r="Q717">
        <v>6</v>
      </c>
      <c r="R717">
        <v>2</v>
      </c>
      <c r="S717">
        <v>3072</v>
      </c>
      <c r="T717" s="2" t="s">
        <v>51</v>
      </c>
    </row>
    <row r="718" spans="1:20" x14ac:dyDescent="0.3">
      <c r="A718" s="1">
        <v>45569</v>
      </c>
      <c r="B718" s="2" t="s">
        <v>31</v>
      </c>
      <c r="C718" s="2" t="s">
        <v>56</v>
      </c>
      <c r="D718" s="2" t="s">
        <v>53</v>
      </c>
      <c r="E718">
        <v>6780</v>
      </c>
      <c r="F718" t="b">
        <v>0</v>
      </c>
      <c r="G718" s="2" t="s">
        <v>23</v>
      </c>
      <c r="H718" s="2" t="s">
        <v>35</v>
      </c>
      <c r="I718" s="2" t="s">
        <v>42</v>
      </c>
      <c r="J718" s="2" t="s">
        <v>54</v>
      </c>
      <c r="K718">
        <v>3</v>
      </c>
      <c r="L718" s="2" t="s">
        <v>36</v>
      </c>
      <c r="M718" s="2" t="s">
        <v>73</v>
      </c>
      <c r="N718" t="b">
        <v>0</v>
      </c>
      <c r="O718">
        <v>14</v>
      </c>
      <c r="P718" s="2" t="s">
        <v>37</v>
      </c>
      <c r="Q718">
        <v>1</v>
      </c>
      <c r="R718">
        <v>2</v>
      </c>
      <c r="S718">
        <v>3988</v>
      </c>
      <c r="T718" s="2" t="s">
        <v>38</v>
      </c>
    </row>
    <row r="719" spans="1:20" x14ac:dyDescent="0.3">
      <c r="A719" s="1">
        <v>45569</v>
      </c>
      <c r="B719" s="2" t="s">
        <v>44</v>
      </c>
      <c r="C719" s="2" t="s">
        <v>21</v>
      </c>
      <c r="D719" s="2" t="s">
        <v>46</v>
      </c>
      <c r="E719">
        <v>2014</v>
      </c>
      <c r="F719" t="b">
        <v>0</v>
      </c>
      <c r="G719" s="2" t="s">
        <v>64</v>
      </c>
      <c r="H719" s="2" t="s">
        <v>41</v>
      </c>
      <c r="I719" s="2" t="s">
        <v>47</v>
      </c>
      <c r="J719" s="2" t="s">
        <v>43</v>
      </c>
      <c r="K719">
        <v>1</v>
      </c>
      <c r="L719" s="2" t="s">
        <v>49</v>
      </c>
      <c r="M719" s="2" t="s">
        <v>73</v>
      </c>
      <c r="N719" t="b">
        <v>0</v>
      </c>
      <c r="O719">
        <v>90</v>
      </c>
      <c r="P719" s="2" t="s">
        <v>63</v>
      </c>
      <c r="Q719">
        <v>6</v>
      </c>
      <c r="R719">
        <v>2</v>
      </c>
      <c r="S719">
        <v>3989</v>
      </c>
      <c r="T719" s="2" t="s">
        <v>30</v>
      </c>
    </row>
    <row r="720" spans="1:20" x14ac:dyDescent="0.3">
      <c r="A720" s="1">
        <v>45569</v>
      </c>
      <c r="B720" s="2" t="s">
        <v>39</v>
      </c>
      <c r="C720" s="2" t="s">
        <v>45</v>
      </c>
      <c r="D720" s="2" t="s">
        <v>57</v>
      </c>
      <c r="E720">
        <v>1000</v>
      </c>
      <c r="F720" t="b">
        <v>0</v>
      </c>
      <c r="G720" s="2" t="s">
        <v>64</v>
      </c>
      <c r="H720" s="2" t="s">
        <v>35</v>
      </c>
      <c r="I720" s="2" t="s">
        <v>25</v>
      </c>
      <c r="J720" s="2" t="s">
        <v>26</v>
      </c>
      <c r="K720">
        <v>2</v>
      </c>
      <c r="L720" s="2" t="s">
        <v>27</v>
      </c>
      <c r="M720" s="2" t="s">
        <v>28</v>
      </c>
      <c r="N720" t="b">
        <v>1</v>
      </c>
      <c r="O720">
        <v>61</v>
      </c>
      <c r="P720" s="2" t="s">
        <v>67</v>
      </c>
      <c r="Q720">
        <v>5</v>
      </c>
      <c r="R720">
        <v>1</v>
      </c>
      <c r="S720">
        <v>1604</v>
      </c>
      <c r="T720" s="2" t="s">
        <v>30</v>
      </c>
    </row>
    <row r="721" spans="1:20" x14ac:dyDescent="0.3">
      <c r="A721" s="1">
        <v>45570</v>
      </c>
      <c r="B721" s="2" t="s">
        <v>74</v>
      </c>
      <c r="C721" s="2" t="s">
        <v>21</v>
      </c>
      <c r="D721" s="2" t="s">
        <v>46</v>
      </c>
      <c r="E721">
        <v>2247</v>
      </c>
      <c r="F721" t="b">
        <v>1</v>
      </c>
      <c r="G721" s="2" t="s">
        <v>23</v>
      </c>
      <c r="H721" s="2" t="s">
        <v>35</v>
      </c>
      <c r="I721" s="2" t="s">
        <v>25</v>
      </c>
      <c r="J721" s="2" t="s">
        <v>43</v>
      </c>
      <c r="K721">
        <v>2</v>
      </c>
      <c r="L721" s="2" t="s">
        <v>27</v>
      </c>
      <c r="M721" s="2" t="s">
        <v>73</v>
      </c>
      <c r="N721" t="b">
        <v>0</v>
      </c>
      <c r="O721">
        <v>55</v>
      </c>
      <c r="P721" s="2" t="s">
        <v>67</v>
      </c>
      <c r="Q721">
        <v>10</v>
      </c>
      <c r="R721">
        <v>3</v>
      </c>
      <c r="S721">
        <v>2422</v>
      </c>
      <c r="T721" s="2" t="s">
        <v>51</v>
      </c>
    </row>
    <row r="722" spans="1:20" x14ac:dyDescent="0.3">
      <c r="A722" s="1">
        <v>45570</v>
      </c>
      <c r="B722" s="2" t="s">
        <v>68</v>
      </c>
      <c r="C722" s="2" t="s">
        <v>45</v>
      </c>
      <c r="D722" s="2" t="s">
        <v>53</v>
      </c>
      <c r="E722">
        <v>3922</v>
      </c>
      <c r="F722" t="b">
        <v>0</v>
      </c>
      <c r="G722" s="2" t="s">
        <v>40</v>
      </c>
      <c r="H722" s="2" t="s">
        <v>24</v>
      </c>
      <c r="I722" s="2" t="s">
        <v>47</v>
      </c>
      <c r="J722" s="2" t="s">
        <v>48</v>
      </c>
      <c r="K722">
        <v>5</v>
      </c>
      <c r="L722" s="2" t="s">
        <v>49</v>
      </c>
      <c r="M722" s="2" t="s">
        <v>73</v>
      </c>
      <c r="N722" t="b">
        <v>1</v>
      </c>
      <c r="O722">
        <v>42</v>
      </c>
      <c r="P722" s="2" t="s">
        <v>29</v>
      </c>
      <c r="Q722">
        <v>2</v>
      </c>
      <c r="R722">
        <v>1</v>
      </c>
      <c r="S722">
        <v>3077</v>
      </c>
      <c r="T722" s="2" t="s">
        <v>51</v>
      </c>
    </row>
    <row r="723" spans="1:20" x14ac:dyDescent="0.3">
      <c r="A723" s="1">
        <v>45570</v>
      </c>
      <c r="B723" s="2" t="s">
        <v>74</v>
      </c>
      <c r="C723" s="2" t="s">
        <v>21</v>
      </c>
      <c r="D723" s="2" t="s">
        <v>53</v>
      </c>
      <c r="E723">
        <v>4678</v>
      </c>
      <c r="F723" t="b">
        <v>1</v>
      </c>
      <c r="G723" s="2" t="s">
        <v>34</v>
      </c>
      <c r="H723" s="2" t="s">
        <v>24</v>
      </c>
      <c r="I723" s="2" t="s">
        <v>47</v>
      </c>
      <c r="J723" s="2" t="s">
        <v>43</v>
      </c>
      <c r="K723">
        <v>2</v>
      </c>
      <c r="L723" s="2" t="s">
        <v>27</v>
      </c>
      <c r="M723" s="2" t="s">
        <v>58</v>
      </c>
      <c r="N723" t="b">
        <v>1</v>
      </c>
      <c r="O723">
        <v>86</v>
      </c>
      <c r="P723" s="2" t="s">
        <v>29</v>
      </c>
      <c r="Q723">
        <v>4</v>
      </c>
      <c r="R723">
        <v>1</v>
      </c>
      <c r="S723">
        <v>1750</v>
      </c>
      <c r="T723" s="2" t="s">
        <v>38</v>
      </c>
    </row>
    <row r="724" spans="1:20" x14ac:dyDescent="0.3">
      <c r="A724" s="1">
        <v>45571</v>
      </c>
      <c r="B724" s="2" t="s">
        <v>75</v>
      </c>
      <c r="C724" s="2" t="s">
        <v>21</v>
      </c>
      <c r="D724" s="2" t="s">
        <v>57</v>
      </c>
      <c r="E724">
        <v>1000</v>
      </c>
      <c r="F724" t="b">
        <v>0</v>
      </c>
      <c r="G724" s="2" t="s">
        <v>34</v>
      </c>
      <c r="H724" s="2" t="s">
        <v>35</v>
      </c>
      <c r="I724" s="2" t="s">
        <v>59</v>
      </c>
      <c r="J724" s="2" t="s">
        <v>43</v>
      </c>
      <c r="K724">
        <v>2</v>
      </c>
      <c r="L724" s="2" t="s">
        <v>36</v>
      </c>
      <c r="M724" s="2" t="s">
        <v>73</v>
      </c>
      <c r="N724" t="b">
        <v>0</v>
      </c>
      <c r="O724">
        <v>101</v>
      </c>
      <c r="P724" s="2" t="s">
        <v>50</v>
      </c>
      <c r="Q724">
        <v>6</v>
      </c>
      <c r="R724">
        <v>3</v>
      </c>
      <c r="S724">
        <v>559</v>
      </c>
      <c r="T724" s="2" t="s">
        <v>30</v>
      </c>
    </row>
    <row r="725" spans="1:20" x14ac:dyDescent="0.3">
      <c r="A725" s="1">
        <v>45571</v>
      </c>
      <c r="B725" s="2" t="s">
        <v>77</v>
      </c>
      <c r="C725" s="2" t="s">
        <v>45</v>
      </c>
      <c r="D725" s="2" t="s">
        <v>57</v>
      </c>
      <c r="E725">
        <v>1000</v>
      </c>
      <c r="F725" t="b">
        <v>1</v>
      </c>
      <c r="G725" s="2" t="s">
        <v>64</v>
      </c>
      <c r="H725" s="2" t="s">
        <v>35</v>
      </c>
      <c r="I725" s="2" t="s">
        <v>59</v>
      </c>
      <c r="J725" s="2" t="s">
        <v>54</v>
      </c>
      <c r="K725">
        <v>2</v>
      </c>
      <c r="L725" s="2" t="s">
        <v>36</v>
      </c>
      <c r="M725" s="2" t="s">
        <v>58</v>
      </c>
      <c r="N725" t="b">
        <v>0</v>
      </c>
      <c r="O725">
        <v>2</v>
      </c>
      <c r="P725" s="2" t="s">
        <v>37</v>
      </c>
      <c r="Q725">
        <v>7</v>
      </c>
      <c r="R725">
        <v>1</v>
      </c>
      <c r="S725">
        <v>756</v>
      </c>
      <c r="T725" s="2" t="s">
        <v>30</v>
      </c>
    </row>
    <row r="726" spans="1:20" x14ac:dyDescent="0.3">
      <c r="A726" s="1">
        <v>45571</v>
      </c>
      <c r="B726" s="2" t="s">
        <v>20</v>
      </c>
      <c r="C726" s="2" t="s">
        <v>45</v>
      </c>
      <c r="D726" s="2" t="s">
        <v>57</v>
      </c>
      <c r="E726">
        <v>1000</v>
      </c>
      <c r="F726" t="b">
        <v>0</v>
      </c>
      <c r="G726" s="2" t="s">
        <v>64</v>
      </c>
      <c r="H726" s="2" t="s">
        <v>70</v>
      </c>
      <c r="I726" s="2" t="s">
        <v>42</v>
      </c>
      <c r="J726" s="2" t="s">
        <v>48</v>
      </c>
      <c r="K726">
        <v>2</v>
      </c>
      <c r="L726" s="2" t="s">
        <v>49</v>
      </c>
      <c r="M726" s="2" t="s">
        <v>58</v>
      </c>
      <c r="N726" t="b">
        <v>0</v>
      </c>
      <c r="O726">
        <v>57</v>
      </c>
      <c r="P726" s="2" t="s">
        <v>67</v>
      </c>
      <c r="Q726">
        <v>2</v>
      </c>
      <c r="R726">
        <v>2</v>
      </c>
      <c r="S726">
        <v>2967</v>
      </c>
      <c r="T726" s="2" t="s">
        <v>38</v>
      </c>
    </row>
    <row r="727" spans="1:20" x14ac:dyDescent="0.3">
      <c r="A727" s="1">
        <v>45571</v>
      </c>
      <c r="B727" s="2" t="s">
        <v>62</v>
      </c>
      <c r="C727" s="2" t="s">
        <v>60</v>
      </c>
      <c r="D727" s="2" t="s">
        <v>33</v>
      </c>
      <c r="E727">
        <v>2895</v>
      </c>
      <c r="F727" t="b">
        <v>0</v>
      </c>
      <c r="G727" s="2" t="s">
        <v>23</v>
      </c>
      <c r="H727" s="2" t="s">
        <v>35</v>
      </c>
      <c r="I727" s="2" t="s">
        <v>25</v>
      </c>
      <c r="J727" s="2" t="s">
        <v>54</v>
      </c>
      <c r="K727">
        <v>2</v>
      </c>
      <c r="L727" s="2" t="s">
        <v>49</v>
      </c>
      <c r="M727" s="2" t="s">
        <v>73</v>
      </c>
      <c r="N727" t="b">
        <v>1</v>
      </c>
      <c r="O727">
        <v>60</v>
      </c>
      <c r="P727" s="2" t="s">
        <v>50</v>
      </c>
      <c r="Q727">
        <v>4</v>
      </c>
      <c r="R727">
        <v>2</v>
      </c>
      <c r="S727">
        <v>2829</v>
      </c>
      <c r="T727" s="2" t="s">
        <v>38</v>
      </c>
    </row>
    <row r="728" spans="1:20" x14ac:dyDescent="0.3">
      <c r="A728" s="1">
        <v>45571</v>
      </c>
      <c r="B728" s="2" t="s">
        <v>76</v>
      </c>
      <c r="C728" s="2" t="s">
        <v>32</v>
      </c>
      <c r="D728" s="2" t="s">
        <v>57</v>
      </c>
      <c r="E728">
        <v>1000</v>
      </c>
      <c r="F728" t="b">
        <v>0</v>
      </c>
      <c r="G728" s="2" t="s">
        <v>23</v>
      </c>
      <c r="H728" s="2" t="s">
        <v>41</v>
      </c>
      <c r="I728" s="2" t="s">
        <v>59</v>
      </c>
      <c r="J728" s="2" t="s">
        <v>48</v>
      </c>
      <c r="K728">
        <v>1</v>
      </c>
      <c r="L728" s="2" t="s">
        <v>49</v>
      </c>
      <c r="M728" s="2" t="s">
        <v>28</v>
      </c>
      <c r="N728" t="b">
        <v>1</v>
      </c>
      <c r="O728">
        <v>72</v>
      </c>
      <c r="P728" s="2" t="s">
        <v>50</v>
      </c>
      <c r="Q728">
        <v>3</v>
      </c>
      <c r="R728">
        <v>3</v>
      </c>
      <c r="S728">
        <v>4272</v>
      </c>
      <c r="T728" s="2" t="s">
        <v>38</v>
      </c>
    </row>
    <row r="729" spans="1:20" x14ac:dyDescent="0.3">
      <c r="A729" s="1">
        <v>45572</v>
      </c>
      <c r="B729" s="2" t="s">
        <v>55</v>
      </c>
      <c r="C729" s="2" t="s">
        <v>60</v>
      </c>
      <c r="D729" s="2" t="s">
        <v>22</v>
      </c>
      <c r="E729">
        <v>8239</v>
      </c>
      <c r="F729" t="b">
        <v>1</v>
      </c>
      <c r="G729" s="2" t="s">
        <v>34</v>
      </c>
      <c r="H729" s="2" t="s">
        <v>41</v>
      </c>
      <c r="I729" s="2" t="s">
        <v>25</v>
      </c>
      <c r="J729" s="2" t="s">
        <v>54</v>
      </c>
      <c r="K729">
        <v>3</v>
      </c>
      <c r="L729" s="2" t="s">
        <v>49</v>
      </c>
      <c r="M729" s="2" t="s">
        <v>58</v>
      </c>
      <c r="N729" t="b">
        <v>1</v>
      </c>
      <c r="O729">
        <v>118</v>
      </c>
      <c r="P729" s="2" t="s">
        <v>37</v>
      </c>
      <c r="Q729">
        <v>5</v>
      </c>
      <c r="R729">
        <v>2</v>
      </c>
      <c r="S729">
        <v>518</v>
      </c>
      <c r="T729" s="2" t="s">
        <v>38</v>
      </c>
    </row>
    <row r="730" spans="1:20" x14ac:dyDescent="0.3">
      <c r="A730" s="1">
        <v>45573</v>
      </c>
      <c r="B730" s="2" t="s">
        <v>62</v>
      </c>
      <c r="C730" s="2" t="s">
        <v>45</v>
      </c>
      <c r="D730" s="2" t="s">
        <v>57</v>
      </c>
      <c r="E730">
        <v>1000</v>
      </c>
      <c r="F730" t="b">
        <v>1</v>
      </c>
      <c r="G730" s="2" t="s">
        <v>23</v>
      </c>
      <c r="H730" s="2" t="s">
        <v>70</v>
      </c>
      <c r="I730" s="2" t="s">
        <v>47</v>
      </c>
      <c r="J730" s="2" t="s">
        <v>43</v>
      </c>
      <c r="K730">
        <v>1</v>
      </c>
      <c r="L730" s="2" t="s">
        <v>36</v>
      </c>
      <c r="M730" s="2" t="s">
        <v>28</v>
      </c>
      <c r="N730" t="b">
        <v>1</v>
      </c>
      <c r="O730">
        <v>5</v>
      </c>
      <c r="P730" s="2" t="s">
        <v>63</v>
      </c>
      <c r="Q730">
        <v>6</v>
      </c>
      <c r="R730">
        <v>1</v>
      </c>
      <c r="S730">
        <v>3057</v>
      </c>
      <c r="T730" s="2" t="s">
        <v>30</v>
      </c>
    </row>
    <row r="731" spans="1:20" x14ac:dyDescent="0.3">
      <c r="A731" s="1">
        <v>45573</v>
      </c>
      <c r="B731" s="2" t="s">
        <v>71</v>
      </c>
      <c r="C731" s="2" t="s">
        <v>21</v>
      </c>
      <c r="D731" s="2" t="s">
        <v>53</v>
      </c>
      <c r="E731">
        <v>4337</v>
      </c>
      <c r="F731" t="b">
        <v>1</v>
      </c>
      <c r="G731" s="2" t="s">
        <v>34</v>
      </c>
      <c r="H731" s="2" t="s">
        <v>41</v>
      </c>
      <c r="I731" s="2" t="s">
        <v>59</v>
      </c>
      <c r="J731" s="2" t="s">
        <v>48</v>
      </c>
      <c r="K731">
        <v>3</v>
      </c>
      <c r="L731" s="2" t="s">
        <v>49</v>
      </c>
      <c r="M731" s="2" t="s">
        <v>28</v>
      </c>
      <c r="N731" t="b">
        <v>0</v>
      </c>
      <c r="O731">
        <v>111</v>
      </c>
      <c r="P731" s="2" t="s">
        <v>67</v>
      </c>
      <c r="Q731">
        <v>6</v>
      </c>
      <c r="R731">
        <v>3</v>
      </c>
      <c r="S731">
        <v>4851</v>
      </c>
      <c r="T731" s="2" t="s">
        <v>30</v>
      </c>
    </row>
    <row r="732" spans="1:20" x14ac:dyDescent="0.3">
      <c r="A732" s="1">
        <v>45574</v>
      </c>
      <c r="B732" s="2" t="s">
        <v>44</v>
      </c>
      <c r="C732" s="2" t="s">
        <v>21</v>
      </c>
      <c r="D732" s="2" t="s">
        <v>57</v>
      </c>
      <c r="E732">
        <v>1000</v>
      </c>
      <c r="F732" t="b">
        <v>0</v>
      </c>
      <c r="G732" s="2" t="s">
        <v>64</v>
      </c>
      <c r="H732" s="2" t="s">
        <v>35</v>
      </c>
      <c r="I732" s="2" t="s">
        <v>47</v>
      </c>
      <c r="J732" s="2" t="s">
        <v>26</v>
      </c>
      <c r="K732">
        <v>2</v>
      </c>
      <c r="L732" s="2" t="s">
        <v>36</v>
      </c>
      <c r="M732" s="2" t="s">
        <v>28</v>
      </c>
      <c r="N732" t="b">
        <v>1</v>
      </c>
      <c r="O732">
        <v>24</v>
      </c>
      <c r="P732" s="2" t="s">
        <v>29</v>
      </c>
      <c r="Q732">
        <v>6</v>
      </c>
      <c r="R732">
        <v>1</v>
      </c>
      <c r="S732">
        <v>4600</v>
      </c>
      <c r="T732" s="2" t="s">
        <v>30</v>
      </c>
    </row>
    <row r="733" spans="1:20" x14ac:dyDescent="0.3">
      <c r="A733" s="1">
        <v>45574</v>
      </c>
      <c r="B733" s="2" t="s">
        <v>76</v>
      </c>
      <c r="C733" s="2" t="s">
        <v>32</v>
      </c>
      <c r="D733" s="2" t="s">
        <v>46</v>
      </c>
      <c r="E733">
        <v>3516</v>
      </c>
      <c r="F733" t="b">
        <v>1</v>
      </c>
      <c r="G733" s="2" t="s">
        <v>64</v>
      </c>
      <c r="H733" s="2" t="s">
        <v>70</v>
      </c>
      <c r="I733" s="2" t="s">
        <v>59</v>
      </c>
      <c r="J733" s="2" t="s">
        <v>26</v>
      </c>
      <c r="K733">
        <v>2</v>
      </c>
      <c r="L733" s="2" t="s">
        <v>36</v>
      </c>
      <c r="M733" s="2" t="s">
        <v>66</v>
      </c>
      <c r="N733" t="b">
        <v>1</v>
      </c>
      <c r="O733">
        <v>10</v>
      </c>
      <c r="P733" s="2" t="s">
        <v>37</v>
      </c>
      <c r="Q733">
        <v>6</v>
      </c>
      <c r="R733">
        <v>3</v>
      </c>
      <c r="S733">
        <v>1623</v>
      </c>
      <c r="T733" s="2" t="s">
        <v>38</v>
      </c>
    </row>
    <row r="734" spans="1:20" x14ac:dyDescent="0.3">
      <c r="A734" s="1">
        <v>45576</v>
      </c>
      <c r="B734" s="2" t="s">
        <v>74</v>
      </c>
      <c r="C734" s="2" t="s">
        <v>56</v>
      </c>
      <c r="D734" s="2" t="s">
        <v>33</v>
      </c>
      <c r="E734">
        <v>2260</v>
      </c>
      <c r="F734" t="b">
        <v>0</v>
      </c>
      <c r="G734" s="2" t="s">
        <v>23</v>
      </c>
      <c r="H734" s="2" t="s">
        <v>35</v>
      </c>
      <c r="I734" s="2" t="s">
        <v>25</v>
      </c>
      <c r="J734" s="2" t="s">
        <v>54</v>
      </c>
      <c r="K734">
        <v>3</v>
      </c>
      <c r="L734" s="2" t="s">
        <v>36</v>
      </c>
      <c r="M734" s="2" t="s">
        <v>28</v>
      </c>
      <c r="N734" t="b">
        <v>0</v>
      </c>
      <c r="O734">
        <v>30</v>
      </c>
      <c r="P734" s="2" t="s">
        <v>37</v>
      </c>
      <c r="Q734">
        <v>3</v>
      </c>
      <c r="R734">
        <v>2</v>
      </c>
      <c r="S734">
        <v>2793</v>
      </c>
      <c r="T734" s="2" t="s">
        <v>30</v>
      </c>
    </row>
    <row r="735" spans="1:20" x14ac:dyDescent="0.3">
      <c r="A735" s="1">
        <v>45576</v>
      </c>
      <c r="B735" s="2" t="s">
        <v>72</v>
      </c>
      <c r="C735" s="2" t="s">
        <v>32</v>
      </c>
      <c r="D735" s="2" t="s">
        <v>33</v>
      </c>
      <c r="E735">
        <v>1849</v>
      </c>
      <c r="F735" t="b">
        <v>1</v>
      </c>
      <c r="G735" s="2" t="s">
        <v>23</v>
      </c>
      <c r="H735" s="2" t="s">
        <v>70</v>
      </c>
      <c r="I735" s="2" t="s">
        <v>47</v>
      </c>
      <c r="J735" s="2" t="s">
        <v>48</v>
      </c>
      <c r="K735">
        <v>1</v>
      </c>
      <c r="L735" s="2" t="s">
        <v>27</v>
      </c>
      <c r="M735" s="2" t="s">
        <v>58</v>
      </c>
      <c r="N735" t="b">
        <v>1</v>
      </c>
      <c r="O735">
        <v>32</v>
      </c>
      <c r="P735" s="2" t="s">
        <v>37</v>
      </c>
      <c r="Q735">
        <v>9</v>
      </c>
      <c r="R735">
        <v>2</v>
      </c>
      <c r="S735">
        <v>1231</v>
      </c>
      <c r="T735" s="2" t="s">
        <v>51</v>
      </c>
    </row>
    <row r="736" spans="1:20" x14ac:dyDescent="0.3">
      <c r="A736" s="1">
        <v>45576</v>
      </c>
      <c r="B736" s="2" t="s">
        <v>74</v>
      </c>
      <c r="C736" s="2" t="s">
        <v>60</v>
      </c>
      <c r="D736" s="2" t="s">
        <v>53</v>
      </c>
      <c r="E736">
        <v>2752</v>
      </c>
      <c r="F736" t="b">
        <v>0</v>
      </c>
      <c r="G736" s="2" t="s">
        <v>65</v>
      </c>
      <c r="H736" s="2" t="s">
        <v>35</v>
      </c>
      <c r="I736" s="2" t="s">
        <v>47</v>
      </c>
      <c r="J736" s="2" t="s">
        <v>48</v>
      </c>
      <c r="K736">
        <v>2</v>
      </c>
      <c r="L736" s="2" t="s">
        <v>27</v>
      </c>
      <c r="M736" s="2" t="s">
        <v>66</v>
      </c>
      <c r="N736" t="b">
        <v>1</v>
      </c>
      <c r="O736">
        <v>9</v>
      </c>
      <c r="P736" s="2" t="s">
        <v>67</v>
      </c>
      <c r="Q736">
        <v>7</v>
      </c>
      <c r="R736">
        <v>3</v>
      </c>
      <c r="S736">
        <v>3604</v>
      </c>
      <c r="T736" s="2" t="s">
        <v>38</v>
      </c>
    </row>
    <row r="737" spans="1:20" x14ac:dyDescent="0.3">
      <c r="A737" s="1">
        <v>45576</v>
      </c>
      <c r="B737" s="2" t="s">
        <v>55</v>
      </c>
      <c r="C737" s="2" t="s">
        <v>56</v>
      </c>
      <c r="D737" s="2" t="s">
        <v>53</v>
      </c>
      <c r="E737">
        <v>7304</v>
      </c>
      <c r="F737" t="b">
        <v>1</v>
      </c>
      <c r="G737" s="2" t="s">
        <v>64</v>
      </c>
      <c r="H737" s="2" t="s">
        <v>70</v>
      </c>
      <c r="I737" s="2" t="s">
        <v>42</v>
      </c>
      <c r="J737" s="2" t="s">
        <v>48</v>
      </c>
      <c r="K737">
        <v>2</v>
      </c>
      <c r="L737" s="2" t="s">
        <v>49</v>
      </c>
      <c r="M737" s="2" t="s">
        <v>58</v>
      </c>
      <c r="N737" t="b">
        <v>0</v>
      </c>
      <c r="O737">
        <v>60</v>
      </c>
      <c r="P737" s="2" t="s">
        <v>63</v>
      </c>
      <c r="Q737">
        <v>7</v>
      </c>
      <c r="R737">
        <v>3</v>
      </c>
      <c r="S737">
        <v>2651</v>
      </c>
      <c r="T737" s="2" t="s">
        <v>30</v>
      </c>
    </row>
    <row r="738" spans="1:20" x14ac:dyDescent="0.3">
      <c r="A738" s="1">
        <v>45577</v>
      </c>
      <c r="B738" s="2" t="s">
        <v>76</v>
      </c>
      <c r="C738" s="2" t="s">
        <v>56</v>
      </c>
      <c r="D738" s="2" t="s">
        <v>57</v>
      </c>
      <c r="E738">
        <v>1000</v>
      </c>
      <c r="F738" t="b">
        <v>0</v>
      </c>
      <c r="G738" s="2" t="s">
        <v>34</v>
      </c>
      <c r="H738" s="2" t="s">
        <v>24</v>
      </c>
      <c r="I738" s="2" t="s">
        <v>25</v>
      </c>
      <c r="J738" s="2" t="s">
        <v>54</v>
      </c>
      <c r="K738">
        <v>5</v>
      </c>
      <c r="L738" s="2" t="s">
        <v>27</v>
      </c>
      <c r="M738" s="2" t="s">
        <v>28</v>
      </c>
      <c r="N738" t="b">
        <v>0</v>
      </c>
      <c r="O738">
        <v>117</v>
      </c>
      <c r="P738" s="2" t="s">
        <v>37</v>
      </c>
      <c r="Q738">
        <v>9</v>
      </c>
      <c r="R738">
        <v>2</v>
      </c>
      <c r="S738">
        <v>2924</v>
      </c>
      <c r="T738" s="2" t="s">
        <v>51</v>
      </c>
    </row>
    <row r="739" spans="1:20" x14ac:dyDescent="0.3">
      <c r="A739" s="1">
        <v>45577</v>
      </c>
      <c r="B739" s="2" t="s">
        <v>44</v>
      </c>
      <c r="C739" s="2" t="s">
        <v>56</v>
      </c>
      <c r="D739" s="2" t="s">
        <v>53</v>
      </c>
      <c r="E739">
        <v>7488</v>
      </c>
      <c r="F739" t="b">
        <v>0</v>
      </c>
      <c r="G739" s="2" t="s">
        <v>65</v>
      </c>
      <c r="H739" s="2" t="s">
        <v>24</v>
      </c>
      <c r="I739" s="2" t="s">
        <v>47</v>
      </c>
      <c r="J739" s="2" t="s">
        <v>43</v>
      </c>
      <c r="K739">
        <v>4</v>
      </c>
      <c r="L739" s="2" t="s">
        <v>27</v>
      </c>
      <c r="M739" s="2" t="s">
        <v>58</v>
      </c>
      <c r="N739" t="b">
        <v>1</v>
      </c>
      <c r="O739">
        <v>56</v>
      </c>
      <c r="P739" s="2" t="s">
        <v>50</v>
      </c>
      <c r="Q739">
        <v>2</v>
      </c>
      <c r="R739">
        <v>3</v>
      </c>
      <c r="S739">
        <v>3838</v>
      </c>
      <c r="T739" s="2" t="s">
        <v>30</v>
      </c>
    </row>
    <row r="740" spans="1:20" x14ac:dyDescent="0.3">
      <c r="A740" s="1">
        <v>45577</v>
      </c>
      <c r="B740" s="2" t="s">
        <v>39</v>
      </c>
      <c r="C740" s="2" t="s">
        <v>21</v>
      </c>
      <c r="D740" s="2" t="s">
        <v>22</v>
      </c>
      <c r="E740">
        <v>7704</v>
      </c>
      <c r="F740" t="b">
        <v>0</v>
      </c>
      <c r="G740" s="2" t="s">
        <v>23</v>
      </c>
      <c r="H740" s="2" t="s">
        <v>70</v>
      </c>
      <c r="I740" s="2" t="s">
        <v>59</v>
      </c>
      <c r="J740" s="2" t="s">
        <v>43</v>
      </c>
      <c r="K740">
        <v>4</v>
      </c>
      <c r="L740" s="2" t="s">
        <v>49</v>
      </c>
      <c r="M740" s="2" t="s">
        <v>73</v>
      </c>
      <c r="N740" t="b">
        <v>0</v>
      </c>
      <c r="O740">
        <v>86</v>
      </c>
      <c r="P740" s="2" t="s">
        <v>63</v>
      </c>
      <c r="Q740">
        <v>1</v>
      </c>
      <c r="R740">
        <v>2</v>
      </c>
      <c r="S740">
        <v>4082</v>
      </c>
      <c r="T740" s="2" t="s">
        <v>38</v>
      </c>
    </row>
    <row r="741" spans="1:20" x14ac:dyDescent="0.3">
      <c r="A741" s="1">
        <v>45578</v>
      </c>
      <c r="B741" s="2" t="s">
        <v>69</v>
      </c>
      <c r="C741" s="2" t="s">
        <v>45</v>
      </c>
      <c r="D741" s="2" t="s">
        <v>57</v>
      </c>
      <c r="E741">
        <v>1000</v>
      </c>
      <c r="F741" t="b">
        <v>0</v>
      </c>
      <c r="G741" s="2" t="s">
        <v>23</v>
      </c>
      <c r="H741" s="2" t="s">
        <v>24</v>
      </c>
      <c r="I741" s="2" t="s">
        <v>59</v>
      </c>
      <c r="J741" s="2" t="s">
        <v>54</v>
      </c>
      <c r="K741">
        <v>0</v>
      </c>
      <c r="L741" s="2" t="s">
        <v>27</v>
      </c>
      <c r="M741" s="2" t="s">
        <v>66</v>
      </c>
      <c r="N741" t="b">
        <v>0</v>
      </c>
      <c r="O741">
        <v>43</v>
      </c>
      <c r="P741" s="2" t="s">
        <v>37</v>
      </c>
      <c r="Q741">
        <v>2</v>
      </c>
      <c r="R741">
        <v>1</v>
      </c>
      <c r="S741">
        <v>3371</v>
      </c>
      <c r="T741" s="2" t="s">
        <v>38</v>
      </c>
    </row>
    <row r="742" spans="1:20" x14ac:dyDescent="0.3">
      <c r="A742" s="1">
        <v>45578</v>
      </c>
      <c r="B742" s="2" t="s">
        <v>77</v>
      </c>
      <c r="C742" s="2" t="s">
        <v>32</v>
      </c>
      <c r="D742" s="2" t="s">
        <v>57</v>
      </c>
      <c r="E742">
        <v>1000</v>
      </c>
      <c r="F742" t="b">
        <v>1</v>
      </c>
      <c r="G742" s="2" t="s">
        <v>34</v>
      </c>
      <c r="H742" s="2" t="s">
        <v>70</v>
      </c>
      <c r="I742" s="2" t="s">
        <v>42</v>
      </c>
      <c r="J742" s="2" t="s">
        <v>43</v>
      </c>
      <c r="K742">
        <v>0</v>
      </c>
      <c r="L742" s="2" t="s">
        <v>27</v>
      </c>
      <c r="M742" s="2" t="s">
        <v>28</v>
      </c>
      <c r="N742" t="b">
        <v>0</v>
      </c>
      <c r="O742">
        <v>0</v>
      </c>
      <c r="P742" s="2" t="s">
        <v>67</v>
      </c>
      <c r="Q742">
        <v>3</v>
      </c>
      <c r="R742">
        <v>2</v>
      </c>
      <c r="S742">
        <v>3554</v>
      </c>
      <c r="T742" s="2" t="s">
        <v>30</v>
      </c>
    </row>
    <row r="743" spans="1:20" x14ac:dyDescent="0.3">
      <c r="A743" s="1">
        <v>45578</v>
      </c>
      <c r="B743" s="2" t="s">
        <v>74</v>
      </c>
      <c r="C743" s="2" t="s">
        <v>60</v>
      </c>
      <c r="D743" s="2" t="s">
        <v>33</v>
      </c>
      <c r="E743">
        <v>3982</v>
      </c>
      <c r="F743" t="b">
        <v>0</v>
      </c>
      <c r="G743" s="2" t="s">
        <v>23</v>
      </c>
      <c r="H743" s="2" t="s">
        <v>70</v>
      </c>
      <c r="I743" s="2" t="s">
        <v>47</v>
      </c>
      <c r="J743" s="2" t="s">
        <v>43</v>
      </c>
      <c r="K743">
        <v>0</v>
      </c>
      <c r="L743" s="2" t="s">
        <v>27</v>
      </c>
      <c r="M743" s="2" t="s">
        <v>73</v>
      </c>
      <c r="N743" t="b">
        <v>1</v>
      </c>
      <c r="O743">
        <v>37</v>
      </c>
      <c r="P743" s="2" t="s">
        <v>37</v>
      </c>
      <c r="Q743">
        <v>5</v>
      </c>
      <c r="R743">
        <v>1</v>
      </c>
      <c r="S743">
        <v>3224</v>
      </c>
      <c r="T743" s="2" t="s">
        <v>51</v>
      </c>
    </row>
    <row r="744" spans="1:20" x14ac:dyDescent="0.3">
      <c r="A744" s="1">
        <v>45578</v>
      </c>
      <c r="B744" s="2" t="s">
        <v>71</v>
      </c>
      <c r="C744" s="2" t="s">
        <v>56</v>
      </c>
      <c r="D744" s="2" t="s">
        <v>22</v>
      </c>
      <c r="E744">
        <v>8150</v>
      </c>
      <c r="F744" t="b">
        <v>0</v>
      </c>
      <c r="G744" s="2" t="s">
        <v>65</v>
      </c>
      <c r="H744" s="2" t="s">
        <v>70</v>
      </c>
      <c r="I744" s="2" t="s">
        <v>25</v>
      </c>
      <c r="J744" s="2" t="s">
        <v>54</v>
      </c>
      <c r="K744">
        <v>0</v>
      </c>
      <c r="L744" s="2" t="s">
        <v>36</v>
      </c>
      <c r="M744" s="2" t="s">
        <v>66</v>
      </c>
      <c r="N744" t="b">
        <v>1</v>
      </c>
      <c r="O744">
        <v>29</v>
      </c>
      <c r="P744" s="2" t="s">
        <v>29</v>
      </c>
      <c r="Q744">
        <v>5</v>
      </c>
      <c r="R744">
        <v>1</v>
      </c>
      <c r="S744">
        <v>3596</v>
      </c>
      <c r="T744" s="2" t="s">
        <v>38</v>
      </c>
    </row>
    <row r="745" spans="1:20" x14ac:dyDescent="0.3">
      <c r="A745" s="1">
        <v>45578</v>
      </c>
      <c r="B745" s="2" t="s">
        <v>75</v>
      </c>
      <c r="C745" s="2" t="s">
        <v>32</v>
      </c>
      <c r="D745" s="2" t="s">
        <v>46</v>
      </c>
      <c r="E745">
        <v>1417</v>
      </c>
      <c r="F745" t="b">
        <v>0</v>
      </c>
      <c r="G745" s="2" t="s">
        <v>23</v>
      </c>
      <c r="H745" s="2" t="s">
        <v>70</v>
      </c>
      <c r="I745" s="2" t="s">
        <v>42</v>
      </c>
      <c r="J745" s="2" t="s">
        <v>54</v>
      </c>
      <c r="K745">
        <v>2</v>
      </c>
      <c r="L745" s="2" t="s">
        <v>49</v>
      </c>
      <c r="M745" s="2" t="s">
        <v>73</v>
      </c>
      <c r="N745" t="b">
        <v>0</v>
      </c>
      <c r="O745">
        <v>14</v>
      </c>
      <c r="P745" s="2" t="s">
        <v>67</v>
      </c>
      <c r="Q745">
        <v>4</v>
      </c>
      <c r="R745">
        <v>2</v>
      </c>
      <c r="S745">
        <v>1817</v>
      </c>
      <c r="T745" s="2" t="s">
        <v>30</v>
      </c>
    </row>
    <row r="746" spans="1:20" x14ac:dyDescent="0.3">
      <c r="A746" s="1">
        <v>45579</v>
      </c>
      <c r="B746" s="2" t="s">
        <v>76</v>
      </c>
      <c r="C746" s="2" t="s">
        <v>60</v>
      </c>
      <c r="D746" s="2" t="s">
        <v>22</v>
      </c>
      <c r="E746">
        <v>7993</v>
      </c>
      <c r="F746" t="b">
        <v>0</v>
      </c>
      <c r="G746" s="2" t="s">
        <v>40</v>
      </c>
      <c r="H746" s="2" t="s">
        <v>70</v>
      </c>
      <c r="I746" s="2" t="s">
        <v>59</v>
      </c>
      <c r="J746" s="2" t="s">
        <v>54</v>
      </c>
      <c r="K746">
        <v>0</v>
      </c>
      <c r="L746" s="2" t="s">
        <v>49</v>
      </c>
      <c r="M746" s="2" t="s">
        <v>73</v>
      </c>
      <c r="N746" t="b">
        <v>0</v>
      </c>
      <c r="O746">
        <v>88</v>
      </c>
      <c r="P746" s="2" t="s">
        <v>67</v>
      </c>
      <c r="Q746">
        <v>3</v>
      </c>
      <c r="R746">
        <v>1</v>
      </c>
      <c r="S746">
        <v>2626</v>
      </c>
      <c r="T746" s="2" t="s">
        <v>30</v>
      </c>
    </row>
    <row r="747" spans="1:20" x14ac:dyDescent="0.3">
      <c r="A747" s="1">
        <v>45580</v>
      </c>
      <c r="B747" s="2" t="s">
        <v>52</v>
      </c>
      <c r="C747" s="2" t="s">
        <v>60</v>
      </c>
      <c r="D747" s="2" t="s">
        <v>33</v>
      </c>
      <c r="E747">
        <v>3342</v>
      </c>
      <c r="F747" t="b">
        <v>1</v>
      </c>
      <c r="G747" s="2" t="s">
        <v>34</v>
      </c>
      <c r="H747" s="2" t="s">
        <v>35</v>
      </c>
      <c r="I747" s="2" t="s">
        <v>25</v>
      </c>
      <c r="J747" s="2" t="s">
        <v>26</v>
      </c>
      <c r="K747">
        <v>3</v>
      </c>
      <c r="L747" s="2" t="s">
        <v>49</v>
      </c>
      <c r="M747" s="2" t="s">
        <v>28</v>
      </c>
      <c r="N747" t="b">
        <v>0</v>
      </c>
      <c r="O747">
        <v>95</v>
      </c>
      <c r="P747" s="2" t="s">
        <v>67</v>
      </c>
      <c r="Q747">
        <v>7</v>
      </c>
      <c r="R747">
        <v>2</v>
      </c>
      <c r="S747">
        <v>4857</v>
      </c>
      <c r="T747" s="2" t="s">
        <v>38</v>
      </c>
    </row>
    <row r="748" spans="1:20" x14ac:dyDescent="0.3">
      <c r="A748" s="1">
        <v>45580</v>
      </c>
      <c r="B748" s="2" t="s">
        <v>39</v>
      </c>
      <c r="C748" s="2" t="s">
        <v>45</v>
      </c>
      <c r="D748" s="2" t="s">
        <v>46</v>
      </c>
      <c r="E748">
        <v>2283</v>
      </c>
      <c r="F748" t="b">
        <v>0</v>
      </c>
      <c r="G748" s="2" t="s">
        <v>34</v>
      </c>
      <c r="H748" s="2" t="s">
        <v>41</v>
      </c>
      <c r="I748" s="2" t="s">
        <v>25</v>
      </c>
      <c r="J748" s="2" t="s">
        <v>43</v>
      </c>
      <c r="K748">
        <v>1</v>
      </c>
      <c r="L748" s="2" t="s">
        <v>27</v>
      </c>
      <c r="M748" s="2" t="s">
        <v>66</v>
      </c>
      <c r="N748" t="b">
        <v>0</v>
      </c>
      <c r="O748">
        <v>79</v>
      </c>
      <c r="P748" s="2" t="s">
        <v>37</v>
      </c>
      <c r="Q748">
        <v>3</v>
      </c>
      <c r="R748">
        <v>2</v>
      </c>
      <c r="S748">
        <v>3849</v>
      </c>
      <c r="T748" s="2" t="s">
        <v>51</v>
      </c>
    </row>
    <row r="749" spans="1:20" x14ac:dyDescent="0.3">
      <c r="A749" s="1">
        <v>45580</v>
      </c>
      <c r="B749" s="2" t="s">
        <v>39</v>
      </c>
      <c r="C749" s="2" t="s">
        <v>45</v>
      </c>
      <c r="D749" s="2" t="s">
        <v>33</v>
      </c>
      <c r="E749">
        <v>1929</v>
      </c>
      <c r="F749" t="b">
        <v>0</v>
      </c>
      <c r="G749" s="2" t="s">
        <v>65</v>
      </c>
      <c r="H749" s="2" t="s">
        <v>41</v>
      </c>
      <c r="I749" s="2" t="s">
        <v>47</v>
      </c>
      <c r="J749" s="2" t="s">
        <v>54</v>
      </c>
      <c r="K749">
        <v>1</v>
      </c>
      <c r="L749" s="2" t="s">
        <v>36</v>
      </c>
      <c r="M749" s="2" t="s">
        <v>58</v>
      </c>
      <c r="N749" t="b">
        <v>0</v>
      </c>
      <c r="O749">
        <v>8</v>
      </c>
      <c r="P749" s="2" t="s">
        <v>37</v>
      </c>
      <c r="Q749">
        <v>1</v>
      </c>
      <c r="R749">
        <v>1</v>
      </c>
      <c r="S749">
        <v>4354</v>
      </c>
      <c r="T749" s="2" t="s">
        <v>51</v>
      </c>
    </row>
    <row r="750" spans="1:20" x14ac:dyDescent="0.3">
      <c r="A750" s="1">
        <v>45580</v>
      </c>
      <c r="B750" s="2" t="s">
        <v>72</v>
      </c>
      <c r="C750" s="2" t="s">
        <v>56</v>
      </c>
      <c r="D750" s="2" t="s">
        <v>53</v>
      </c>
      <c r="E750">
        <v>4136</v>
      </c>
      <c r="F750" t="b">
        <v>0</v>
      </c>
      <c r="G750" s="2" t="s">
        <v>64</v>
      </c>
      <c r="H750" s="2" t="s">
        <v>70</v>
      </c>
      <c r="I750" s="2" t="s">
        <v>47</v>
      </c>
      <c r="J750" s="2" t="s">
        <v>48</v>
      </c>
      <c r="K750">
        <v>0</v>
      </c>
      <c r="L750" s="2" t="s">
        <v>49</v>
      </c>
      <c r="M750" s="2" t="s">
        <v>66</v>
      </c>
      <c r="N750" t="b">
        <v>0</v>
      </c>
      <c r="O750">
        <v>68</v>
      </c>
      <c r="P750" s="2" t="s">
        <v>29</v>
      </c>
      <c r="Q750">
        <v>8</v>
      </c>
      <c r="R750">
        <v>3</v>
      </c>
      <c r="S750">
        <v>3531</v>
      </c>
      <c r="T750" s="2" t="s">
        <v>51</v>
      </c>
    </row>
    <row r="751" spans="1:20" x14ac:dyDescent="0.3">
      <c r="A751" s="1">
        <v>45581</v>
      </c>
      <c r="B751" s="2" t="s">
        <v>71</v>
      </c>
      <c r="C751" s="2" t="s">
        <v>32</v>
      </c>
      <c r="D751" s="2" t="s">
        <v>57</v>
      </c>
      <c r="E751">
        <v>1000</v>
      </c>
      <c r="F751" t="b">
        <v>0</v>
      </c>
      <c r="G751" s="2" t="s">
        <v>23</v>
      </c>
      <c r="H751" s="2" t="s">
        <v>41</v>
      </c>
      <c r="I751" s="2" t="s">
        <v>25</v>
      </c>
      <c r="J751" s="2" t="s">
        <v>48</v>
      </c>
      <c r="K751">
        <v>2</v>
      </c>
      <c r="L751" s="2" t="s">
        <v>27</v>
      </c>
      <c r="M751" s="2" t="s">
        <v>73</v>
      </c>
      <c r="N751" t="b">
        <v>1</v>
      </c>
      <c r="O751">
        <v>70</v>
      </c>
      <c r="P751" s="2" t="s">
        <v>67</v>
      </c>
      <c r="Q751">
        <v>9</v>
      </c>
      <c r="R751">
        <v>2</v>
      </c>
      <c r="S751">
        <v>4947</v>
      </c>
      <c r="T751" s="2" t="s">
        <v>51</v>
      </c>
    </row>
    <row r="752" spans="1:20" x14ac:dyDescent="0.3">
      <c r="A752" s="1">
        <v>45581</v>
      </c>
      <c r="B752" s="2" t="s">
        <v>39</v>
      </c>
      <c r="C752" s="2" t="s">
        <v>21</v>
      </c>
      <c r="D752" s="2" t="s">
        <v>33</v>
      </c>
      <c r="E752">
        <v>2950</v>
      </c>
      <c r="F752" t="b">
        <v>0</v>
      </c>
      <c r="G752" s="2" t="s">
        <v>23</v>
      </c>
      <c r="H752" s="2" t="s">
        <v>24</v>
      </c>
      <c r="I752" s="2" t="s">
        <v>42</v>
      </c>
      <c r="J752" s="2" t="s">
        <v>26</v>
      </c>
      <c r="K752">
        <v>2</v>
      </c>
      <c r="L752" s="2" t="s">
        <v>36</v>
      </c>
      <c r="M752" s="2" t="s">
        <v>66</v>
      </c>
      <c r="N752" t="b">
        <v>0</v>
      </c>
      <c r="O752">
        <v>77</v>
      </c>
      <c r="P752" s="2" t="s">
        <v>50</v>
      </c>
      <c r="Q752">
        <v>9</v>
      </c>
      <c r="R752">
        <v>3</v>
      </c>
      <c r="S752">
        <v>1835</v>
      </c>
      <c r="T752" s="2" t="s">
        <v>38</v>
      </c>
    </row>
    <row r="753" spans="1:20" x14ac:dyDescent="0.3">
      <c r="A753" s="1">
        <v>45581</v>
      </c>
      <c r="B753" s="2" t="s">
        <v>72</v>
      </c>
      <c r="C753" s="2" t="s">
        <v>32</v>
      </c>
      <c r="D753" s="2" t="s">
        <v>57</v>
      </c>
      <c r="E753">
        <v>1000</v>
      </c>
      <c r="F753" t="b">
        <v>0</v>
      </c>
      <c r="G753" s="2" t="s">
        <v>65</v>
      </c>
      <c r="H753" s="2" t="s">
        <v>24</v>
      </c>
      <c r="I753" s="2" t="s">
        <v>42</v>
      </c>
      <c r="J753" s="2" t="s">
        <v>48</v>
      </c>
      <c r="K753">
        <v>0</v>
      </c>
      <c r="L753" s="2" t="s">
        <v>36</v>
      </c>
      <c r="M753" s="2" t="s">
        <v>73</v>
      </c>
      <c r="N753" t="b">
        <v>1</v>
      </c>
      <c r="O753">
        <v>19</v>
      </c>
      <c r="P753" s="2" t="s">
        <v>29</v>
      </c>
      <c r="Q753">
        <v>10</v>
      </c>
      <c r="R753">
        <v>1</v>
      </c>
      <c r="S753">
        <v>4795</v>
      </c>
      <c r="T753" s="2" t="s">
        <v>38</v>
      </c>
    </row>
    <row r="754" spans="1:20" x14ac:dyDescent="0.3">
      <c r="A754" s="1">
        <v>45581</v>
      </c>
      <c r="B754" s="2" t="s">
        <v>69</v>
      </c>
      <c r="C754" s="2" t="s">
        <v>56</v>
      </c>
      <c r="D754" s="2" t="s">
        <v>53</v>
      </c>
      <c r="E754">
        <v>2039</v>
      </c>
      <c r="F754" t="b">
        <v>0</v>
      </c>
      <c r="G754" s="2" t="s">
        <v>34</v>
      </c>
      <c r="H754" s="2" t="s">
        <v>24</v>
      </c>
      <c r="I754" s="2" t="s">
        <v>59</v>
      </c>
      <c r="J754" s="2" t="s">
        <v>26</v>
      </c>
      <c r="K754">
        <v>25</v>
      </c>
      <c r="L754" s="2" t="s">
        <v>36</v>
      </c>
      <c r="M754" s="2" t="s">
        <v>66</v>
      </c>
      <c r="N754" t="b">
        <v>0</v>
      </c>
      <c r="O754">
        <v>36</v>
      </c>
      <c r="P754" s="2" t="s">
        <v>37</v>
      </c>
      <c r="Q754">
        <v>7</v>
      </c>
      <c r="R754">
        <v>2</v>
      </c>
      <c r="S754">
        <v>1636</v>
      </c>
      <c r="T754" s="2" t="s">
        <v>38</v>
      </c>
    </row>
    <row r="755" spans="1:20" x14ac:dyDescent="0.3">
      <c r="A755" s="1">
        <v>45581</v>
      </c>
      <c r="B755" s="2" t="s">
        <v>55</v>
      </c>
      <c r="C755" s="2" t="s">
        <v>60</v>
      </c>
      <c r="D755" s="2" t="s">
        <v>22</v>
      </c>
      <c r="E755">
        <v>5980</v>
      </c>
      <c r="F755" t="b">
        <v>0</v>
      </c>
      <c r="G755" s="2" t="s">
        <v>40</v>
      </c>
      <c r="H755" s="2" t="s">
        <v>41</v>
      </c>
      <c r="I755" s="2" t="s">
        <v>59</v>
      </c>
      <c r="J755" s="2" t="s">
        <v>54</v>
      </c>
      <c r="K755">
        <v>1</v>
      </c>
      <c r="L755" s="2" t="s">
        <v>27</v>
      </c>
      <c r="M755" s="2" t="s">
        <v>58</v>
      </c>
      <c r="N755" t="b">
        <v>0</v>
      </c>
      <c r="O755">
        <v>95</v>
      </c>
      <c r="P755" s="2" t="s">
        <v>29</v>
      </c>
      <c r="Q755">
        <v>9</v>
      </c>
      <c r="R755">
        <v>3</v>
      </c>
      <c r="S755">
        <v>2472</v>
      </c>
      <c r="T755" s="2" t="s">
        <v>38</v>
      </c>
    </row>
    <row r="756" spans="1:20" x14ac:dyDescent="0.3">
      <c r="A756" s="1">
        <v>45582</v>
      </c>
      <c r="B756" s="2" t="s">
        <v>20</v>
      </c>
      <c r="C756" s="2" t="s">
        <v>60</v>
      </c>
      <c r="D756" s="2" t="s">
        <v>22</v>
      </c>
      <c r="E756">
        <v>6392</v>
      </c>
      <c r="F756" t="b">
        <v>0</v>
      </c>
      <c r="G756" s="2" t="s">
        <v>23</v>
      </c>
      <c r="H756" s="2" t="s">
        <v>41</v>
      </c>
      <c r="I756" s="2" t="s">
        <v>47</v>
      </c>
      <c r="J756" s="2" t="s">
        <v>54</v>
      </c>
      <c r="K756">
        <v>2</v>
      </c>
      <c r="L756" s="2" t="s">
        <v>36</v>
      </c>
      <c r="M756" s="2" t="s">
        <v>58</v>
      </c>
      <c r="N756" t="b">
        <v>0</v>
      </c>
      <c r="O756">
        <v>58</v>
      </c>
      <c r="P756" s="2" t="s">
        <v>50</v>
      </c>
      <c r="Q756">
        <v>6</v>
      </c>
      <c r="R756">
        <v>2</v>
      </c>
      <c r="S756">
        <v>4968</v>
      </c>
      <c r="T756" s="2" t="s">
        <v>51</v>
      </c>
    </row>
    <row r="757" spans="1:20" x14ac:dyDescent="0.3">
      <c r="A757" s="1">
        <v>45583</v>
      </c>
      <c r="B757" s="2" t="s">
        <v>71</v>
      </c>
      <c r="C757" s="2" t="s">
        <v>60</v>
      </c>
      <c r="D757" s="2" t="s">
        <v>46</v>
      </c>
      <c r="E757">
        <v>1193</v>
      </c>
      <c r="F757" t="b">
        <v>0</v>
      </c>
      <c r="G757" s="2" t="s">
        <v>40</v>
      </c>
      <c r="H757" s="2" t="s">
        <v>35</v>
      </c>
      <c r="I757" s="2" t="s">
        <v>42</v>
      </c>
      <c r="J757" s="2" t="s">
        <v>26</v>
      </c>
      <c r="K757">
        <v>0</v>
      </c>
      <c r="L757" s="2" t="s">
        <v>27</v>
      </c>
      <c r="M757" s="2" t="s">
        <v>66</v>
      </c>
      <c r="N757" t="b">
        <v>0</v>
      </c>
      <c r="O757">
        <v>43</v>
      </c>
      <c r="P757" s="2" t="s">
        <v>29</v>
      </c>
      <c r="Q757">
        <v>5</v>
      </c>
      <c r="R757">
        <v>1</v>
      </c>
      <c r="S757">
        <v>2063</v>
      </c>
      <c r="T757" s="2" t="s">
        <v>30</v>
      </c>
    </row>
    <row r="758" spans="1:20" x14ac:dyDescent="0.3">
      <c r="A758" s="1">
        <v>45583</v>
      </c>
      <c r="B758" s="2" t="s">
        <v>44</v>
      </c>
      <c r="C758" s="2" t="s">
        <v>56</v>
      </c>
      <c r="D758" s="2" t="s">
        <v>53</v>
      </c>
      <c r="E758">
        <v>7471</v>
      </c>
      <c r="F758" t="b">
        <v>0</v>
      </c>
      <c r="G758" s="2" t="s">
        <v>34</v>
      </c>
      <c r="H758" s="2" t="s">
        <v>70</v>
      </c>
      <c r="I758" s="2" t="s">
        <v>47</v>
      </c>
      <c r="J758" s="2" t="s">
        <v>48</v>
      </c>
      <c r="K758">
        <v>24</v>
      </c>
      <c r="L758" s="2" t="s">
        <v>27</v>
      </c>
      <c r="M758" s="2" t="s">
        <v>58</v>
      </c>
      <c r="N758" t="b">
        <v>1</v>
      </c>
      <c r="O758">
        <v>70</v>
      </c>
      <c r="P758" s="2" t="s">
        <v>29</v>
      </c>
      <c r="Q758">
        <v>9</v>
      </c>
      <c r="R758">
        <v>1</v>
      </c>
      <c r="S758">
        <v>1329</v>
      </c>
      <c r="T758" s="2" t="s">
        <v>38</v>
      </c>
    </row>
    <row r="759" spans="1:20" x14ac:dyDescent="0.3">
      <c r="A759" s="1">
        <v>45583</v>
      </c>
      <c r="B759" s="2" t="s">
        <v>74</v>
      </c>
      <c r="C759" s="2" t="s">
        <v>21</v>
      </c>
      <c r="D759" s="2" t="s">
        <v>22</v>
      </c>
      <c r="E759">
        <v>5054</v>
      </c>
      <c r="F759" t="b">
        <v>1</v>
      </c>
      <c r="G759" s="2" t="s">
        <v>40</v>
      </c>
      <c r="H759" s="2" t="s">
        <v>41</v>
      </c>
      <c r="I759" s="2" t="s">
        <v>42</v>
      </c>
      <c r="J759" s="2" t="s">
        <v>54</v>
      </c>
      <c r="K759">
        <v>3</v>
      </c>
      <c r="L759" s="2" t="s">
        <v>49</v>
      </c>
      <c r="M759" s="2" t="s">
        <v>58</v>
      </c>
      <c r="N759" t="b">
        <v>1</v>
      </c>
      <c r="O759">
        <v>26</v>
      </c>
      <c r="P759" s="2" t="s">
        <v>37</v>
      </c>
      <c r="Q759">
        <v>2</v>
      </c>
      <c r="R759">
        <v>1</v>
      </c>
      <c r="S759">
        <v>4817</v>
      </c>
      <c r="T759" s="2" t="s">
        <v>38</v>
      </c>
    </row>
    <row r="760" spans="1:20" x14ac:dyDescent="0.3">
      <c r="A760" s="1">
        <v>45583</v>
      </c>
      <c r="B760" s="2" t="s">
        <v>62</v>
      </c>
      <c r="C760" s="2" t="s">
        <v>32</v>
      </c>
      <c r="D760" s="2" t="s">
        <v>46</v>
      </c>
      <c r="E760">
        <v>4309</v>
      </c>
      <c r="F760" t="b">
        <v>0</v>
      </c>
      <c r="G760" s="2" t="s">
        <v>34</v>
      </c>
      <c r="H760" s="2" t="s">
        <v>41</v>
      </c>
      <c r="I760" s="2" t="s">
        <v>59</v>
      </c>
      <c r="J760" s="2" t="s">
        <v>54</v>
      </c>
      <c r="K760">
        <v>2</v>
      </c>
      <c r="L760" s="2" t="s">
        <v>27</v>
      </c>
      <c r="M760" s="2" t="s">
        <v>28</v>
      </c>
      <c r="N760" t="b">
        <v>1</v>
      </c>
      <c r="O760">
        <v>14</v>
      </c>
      <c r="P760" s="2" t="s">
        <v>37</v>
      </c>
      <c r="Q760">
        <v>1</v>
      </c>
      <c r="R760">
        <v>1</v>
      </c>
      <c r="S760">
        <v>4586</v>
      </c>
      <c r="T760" s="2" t="s">
        <v>38</v>
      </c>
    </row>
    <row r="761" spans="1:20" x14ac:dyDescent="0.3">
      <c r="A761" s="1">
        <v>45583</v>
      </c>
      <c r="B761" s="2" t="s">
        <v>71</v>
      </c>
      <c r="C761" s="2" t="s">
        <v>45</v>
      </c>
      <c r="D761" s="2" t="s">
        <v>46</v>
      </c>
      <c r="E761">
        <v>1192</v>
      </c>
      <c r="F761" t="b">
        <v>0</v>
      </c>
      <c r="G761" s="2" t="s">
        <v>34</v>
      </c>
      <c r="H761" s="2" t="s">
        <v>41</v>
      </c>
      <c r="I761" s="2" t="s">
        <v>47</v>
      </c>
      <c r="J761" s="2" t="s">
        <v>26</v>
      </c>
      <c r="K761">
        <v>1</v>
      </c>
      <c r="L761" s="2" t="s">
        <v>36</v>
      </c>
      <c r="M761" s="2" t="s">
        <v>58</v>
      </c>
      <c r="N761" t="b">
        <v>1</v>
      </c>
      <c r="O761">
        <v>72</v>
      </c>
      <c r="P761" s="2" t="s">
        <v>67</v>
      </c>
      <c r="Q761">
        <v>2</v>
      </c>
      <c r="R761">
        <v>2</v>
      </c>
      <c r="S761">
        <v>2897</v>
      </c>
      <c r="T761" s="2" t="s">
        <v>30</v>
      </c>
    </row>
    <row r="762" spans="1:20" x14ac:dyDescent="0.3">
      <c r="A762" s="1">
        <v>45584</v>
      </c>
      <c r="B762" s="2" t="s">
        <v>39</v>
      </c>
      <c r="C762" s="2" t="s">
        <v>45</v>
      </c>
      <c r="D762" s="2" t="s">
        <v>22</v>
      </c>
      <c r="E762">
        <v>5558</v>
      </c>
      <c r="F762" t="b">
        <v>1</v>
      </c>
      <c r="G762" s="2" t="s">
        <v>23</v>
      </c>
      <c r="H762" s="2" t="s">
        <v>41</v>
      </c>
      <c r="I762" s="2" t="s">
        <v>42</v>
      </c>
      <c r="J762" s="2" t="s">
        <v>43</v>
      </c>
      <c r="K762">
        <v>3</v>
      </c>
      <c r="L762" s="2" t="s">
        <v>27</v>
      </c>
      <c r="M762" s="2" t="s">
        <v>73</v>
      </c>
      <c r="N762" t="b">
        <v>1</v>
      </c>
      <c r="O762">
        <v>97</v>
      </c>
      <c r="P762" s="2" t="s">
        <v>50</v>
      </c>
      <c r="Q762">
        <v>1</v>
      </c>
      <c r="R762">
        <v>3</v>
      </c>
      <c r="S762">
        <v>2770</v>
      </c>
      <c r="T762" s="2" t="s">
        <v>51</v>
      </c>
    </row>
    <row r="763" spans="1:20" x14ac:dyDescent="0.3">
      <c r="A763" s="1">
        <v>45585</v>
      </c>
      <c r="B763" s="2" t="s">
        <v>31</v>
      </c>
      <c r="C763" s="2" t="s">
        <v>32</v>
      </c>
      <c r="D763" s="2" t="s">
        <v>53</v>
      </c>
      <c r="E763">
        <v>2284</v>
      </c>
      <c r="F763" t="b">
        <v>0</v>
      </c>
      <c r="G763" s="2" t="s">
        <v>34</v>
      </c>
      <c r="H763" s="2" t="s">
        <v>70</v>
      </c>
      <c r="I763" s="2" t="s">
        <v>25</v>
      </c>
      <c r="J763" s="2" t="s">
        <v>26</v>
      </c>
      <c r="K763">
        <v>5</v>
      </c>
      <c r="L763" s="2" t="s">
        <v>36</v>
      </c>
      <c r="M763" s="2" t="s">
        <v>28</v>
      </c>
      <c r="N763" t="b">
        <v>1</v>
      </c>
      <c r="O763">
        <v>110</v>
      </c>
      <c r="P763" s="2" t="s">
        <v>67</v>
      </c>
      <c r="Q763">
        <v>2</v>
      </c>
      <c r="R763">
        <v>1</v>
      </c>
      <c r="S763">
        <v>2145</v>
      </c>
      <c r="T763" s="2" t="s">
        <v>38</v>
      </c>
    </row>
    <row r="764" spans="1:20" x14ac:dyDescent="0.3">
      <c r="A764" s="1">
        <v>45586</v>
      </c>
      <c r="B764" s="2" t="s">
        <v>71</v>
      </c>
      <c r="C764" s="2" t="s">
        <v>60</v>
      </c>
      <c r="D764" s="2" t="s">
        <v>33</v>
      </c>
      <c r="E764">
        <v>4854</v>
      </c>
      <c r="F764" t="b">
        <v>0</v>
      </c>
      <c r="G764" s="2" t="s">
        <v>64</v>
      </c>
      <c r="H764" s="2" t="s">
        <v>24</v>
      </c>
      <c r="I764" s="2" t="s">
        <v>47</v>
      </c>
      <c r="J764" s="2" t="s">
        <v>48</v>
      </c>
      <c r="K764">
        <v>3</v>
      </c>
      <c r="L764" s="2" t="s">
        <v>27</v>
      </c>
      <c r="M764" s="2" t="s">
        <v>58</v>
      </c>
      <c r="N764" t="b">
        <v>0</v>
      </c>
      <c r="O764">
        <v>62</v>
      </c>
      <c r="P764" s="2" t="s">
        <v>37</v>
      </c>
      <c r="Q764">
        <v>4</v>
      </c>
      <c r="R764">
        <v>2</v>
      </c>
      <c r="S764">
        <v>1219</v>
      </c>
      <c r="T764" s="2" t="s">
        <v>38</v>
      </c>
    </row>
    <row r="765" spans="1:20" x14ac:dyDescent="0.3">
      <c r="A765" s="1">
        <v>45586</v>
      </c>
      <c r="B765" s="2" t="s">
        <v>20</v>
      </c>
      <c r="C765" s="2" t="s">
        <v>21</v>
      </c>
      <c r="D765" s="2" t="s">
        <v>33</v>
      </c>
      <c r="E765">
        <v>3504</v>
      </c>
      <c r="F765" t="b">
        <v>0</v>
      </c>
      <c r="G765" s="2" t="s">
        <v>65</v>
      </c>
      <c r="H765" s="2" t="s">
        <v>41</v>
      </c>
      <c r="I765" s="2" t="s">
        <v>47</v>
      </c>
      <c r="J765" s="2" t="s">
        <v>54</v>
      </c>
      <c r="K765">
        <v>5</v>
      </c>
      <c r="L765" s="2" t="s">
        <v>49</v>
      </c>
      <c r="M765" s="2" t="s">
        <v>73</v>
      </c>
      <c r="N765" t="b">
        <v>0</v>
      </c>
      <c r="O765">
        <v>28</v>
      </c>
      <c r="P765" s="2" t="s">
        <v>50</v>
      </c>
      <c r="Q765">
        <v>5</v>
      </c>
      <c r="R765">
        <v>2</v>
      </c>
      <c r="S765">
        <v>2470</v>
      </c>
      <c r="T765" s="2" t="s">
        <v>38</v>
      </c>
    </row>
    <row r="766" spans="1:20" x14ac:dyDescent="0.3">
      <c r="A766" s="1">
        <v>45586</v>
      </c>
      <c r="B766" s="2" t="s">
        <v>52</v>
      </c>
      <c r="C766" s="2" t="s">
        <v>21</v>
      </c>
      <c r="D766" s="2" t="s">
        <v>22</v>
      </c>
      <c r="E766">
        <v>5357</v>
      </c>
      <c r="F766" t="b">
        <v>0</v>
      </c>
      <c r="G766" s="2" t="s">
        <v>64</v>
      </c>
      <c r="H766" s="2" t="s">
        <v>41</v>
      </c>
      <c r="I766" s="2" t="s">
        <v>25</v>
      </c>
      <c r="J766" s="2" t="s">
        <v>26</v>
      </c>
      <c r="K766">
        <v>3</v>
      </c>
      <c r="L766" s="2" t="s">
        <v>49</v>
      </c>
      <c r="M766" s="2" t="s">
        <v>28</v>
      </c>
      <c r="N766" t="b">
        <v>0</v>
      </c>
      <c r="O766">
        <v>56</v>
      </c>
      <c r="P766" s="2" t="s">
        <v>37</v>
      </c>
      <c r="Q766">
        <v>2</v>
      </c>
      <c r="R766">
        <v>2</v>
      </c>
      <c r="S766">
        <v>889</v>
      </c>
      <c r="T766" s="2" t="s">
        <v>38</v>
      </c>
    </row>
    <row r="767" spans="1:20" x14ac:dyDescent="0.3">
      <c r="A767" s="1">
        <v>45587</v>
      </c>
      <c r="B767" s="2" t="s">
        <v>39</v>
      </c>
      <c r="C767" s="2" t="s">
        <v>32</v>
      </c>
      <c r="D767" s="2" t="s">
        <v>53</v>
      </c>
      <c r="E767">
        <v>4865</v>
      </c>
      <c r="F767" t="b">
        <v>1</v>
      </c>
      <c r="G767" s="2" t="s">
        <v>40</v>
      </c>
      <c r="H767" s="2" t="s">
        <v>24</v>
      </c>
      <c r="I767" s="2" t="s">
        <v>42</v>
      </c>
      <c r="J767" s="2" t="s">
        <v>54</v>
      </c>
      <c r="K767">
        <v>2</v>
      </c>
      <c r="L767" s="2" t="s">
        <v>36</v>
      </c>
      <c r="M767" s="2" t="s">
        <v>66</v>
      </c>
      <c r="N767" t="b">
        <v>1</v>
      </c>
      <c r="O767">
        <v>80</v>
      </c>
      <c r="P767" s="2" t="s">
        <v>67</v>
      </c>
      <c r="Q767">
        <v>7</v>
      </c>
      <c r="R767">
        <v>2</v>
      </c>
      <c r="S767">
        <v>3601</v>
      </c>
      <c r="T767" s="2" t="s">
        <v>51</v>
      </c>
    </row>
    <row r="768" spans="1:20" x14ac:dyDescent="0.3">
      <c r="A768" s="1">
        <v>45587</v>
      </c>
      <c r="B768" s="2" t="s">
        <v>74</v>
      </c>
      <c r="C768" s="2" t="s">
        <v>56</v>
      </c>
      <c r="D768" s="2" t="s">
        <v>46</v>
      </c>
      <c r="E768">
        <v>2402</v>
      </c>
      <c r="F768" t="b">
        <v>1</v>
      </c>
      <c r="G768" s="2" t="s">
        <v>34</v>
      </c>
      <c r="H768" s="2" t="s">
        <v>24</v>
      </c>
      <c r="I768" s="2" t="s">
        <v>47</v>
      </c>
      <c r="J768" s="2" t="s">
        <v>43</v>
      </c>
      <c r="K768">
        <v>2</v>
      </c>
      <c r="L768" s="2" t="s">
        <v>36</v>
      </c>
      <c r="M768" s="2" t="s">
        <v>28</v>
      </c>
      <c r="N768" t="b">
        <v>1</v>
      </c>
      <c r="O768">
        <v>71</v>
      </c>
      <c r="P768" s="2" t="s">
        <v>63</v>
      </c>
      <c r="Q768">
        <v>5</v>
      </c>
      <c r="R768">
        <v>2</v>
      </c>
      <c r="S768">
        <v>2027</v>
      </c>
      <c r="T768" s="2" t="s">
        <v>30</v>
      </c>
    </row>
    <row r="769" spans="1:20" x14ac:dyDescent="0.3">
      <c r="A769" s="1">
        <v>45587</v>
      </c>
      <c r="B769" s="2" t="s">
        <v>76</v>
      </c>
      <c r="C769" s="2" t="s">
        <v>56</v>
      </c>
      <c r="D769" s="2" t="s">
        <v>33</v>
      </c>
      <c r="E769">
        <v>2720</v>
      </c>
      <c r="F769" t="b">
        <v>0</v>
      </c>
      <c r="G769" s="2" t="s">
        <v>40</v>
      </c>
      <c r="H769" s="2" t="s">
        <v>24</v>
      </c>
      <c r="I769" s="2" t="s">
        <v>25</v>
      </c>
      <c r="J769" s="2" t="s">
        <v>26</v>
      </c>
      <c r="K769">
        <v>5</v>
      </c>
      <c r="L769" s="2" t="s">
        <v>49</v>
      </c>
      <c r="M769" s="2" t="s">
        <v>66</v>
      </c>
      <c r="N769" t="b">
        <v>1</v>
      </c>
      <c r="O769">
        <v>40</v>
      </c>
      <c r="P769" s="2" t="s">
        <v>37</v>
      </c>
      <c r="Q769">
        <v>5</v>
      </c>
      <c r="R769">
        <v>2</v>
      </c>
      <c r="S769">
        <v>2340</v>
      </c>
      <c r="T769" s="2" t="s">
        <v>51</v>
      </c>
    </row>
    <row r="770" spans="1:20" x14ac:dyDescent="0.3">
      <c r="A770" s="1">
        <v>45587</v>
      </c>
      <c r="B770" s="2" t="s">
        <v>20</v>
      </c>
      <c r="C770" s="2" t="s">
        <v>32</v>
      </c>
      <c r="D770" s="2" t="s">
        <v>57</v>
      </c>
      <c r="E770">
        <v>1000</v>
      </c>
      <c r="F770" t="b">
        <v>1</v>
      </c>
      <c r="G770" s="2" t="s">
        <v>65</v>
      </c>
      <c r="H770" s="2" t="s">
        <v>35</v>
      </c>
      <c r="I770" s="2" t="s">
        <v>59</v>
      </c>
      <c r="J770" s="2" t="s">
        <v>48</v>
      </c>
      <c r="K770">
        <v>4</v>
      </c>
      <c r="L770" s="2" t="s">
        <v>36</v>
      </c>
      <c r="M770" s="2" t="s">
        <v>28</v>
      </c>
      <c r="N770" t="b">
        <v>1</v>
      </c>
      <c r="O770">
        <v>44</v>
      </c>
      <c r="P770" s="2" t="s">
        <v>29</v>
      </c>
      <c r="Q770">
        <v>5</v>
      </c>
      <c r="R770">
        <v>2</v>
      </c>
      <c r="S770">
        <v>702</v>
      </c>
      <c r="T770" s="2" t="s">
        <v>51</v>
      </c>
    </row>
    <row r="771" spans="1:20" x14ac:dyDescent="0.3">
      <c r="A771" s="1">
        <v>45589</v>
      </c>
      <c r="B771" s="2" t="s">
        <v>74</v>
      </c>
      <c r="C771" s="2" t="s">
        <v>60</v>
      </c>
      <c r="D771" s="2" t="s">
        <v>33</v>
      </c>
      <c r="E771">
        <v>2479</v>
      </c>
      <c r="F771" t="b">
        <v>0</v>
      </c>
      <c r="G771" s="2" t="s">
        <v>34</v>
      </c>
      <c r="H771" s="2" t="s">
        <v>35</v>
      </c>
      <c r="I771" s="2" t="s">
        <v>47</v>
      </c>
      <c r="J771" s="2" t="s">
        <v>26</v>
      </c>
      <c r="K771">
        <v>2</v>
      </c>
      <c r="L771" s="2" t="s">
        <v>49</v>
      </c>
      <c r="M771" s="2" t="s">
        <v>58</v>
      </c>
      <c r="N771" t="b">
        <v>1</v>
      </c>
      <c r="O771">
        <v>9</v>
      </c>
      <c r="P771" s="2" t="s">
        <v>50</v>
      </c>
      <c r="Q771">
        <v>7</v>
      </c>
      <c r="R771">
        <v>3</v>
      </c>
      <c r="S771">
        <v>3011</v>
      </c>
      <c r="T771" s="2" t="s">
        <v>51</v>
      </c>
    </row>
    <row r="772" spans="1:20" x14ac:dyDescent="0.3">
      <c r="A772" s="1">
        <v>45589</v>
      </c>
      <c r="B772" s="2" t="s">
        <v>71</v>
      </c>
      <c r="C772" s="2" t="s">
        <v>21</v>
      </c>
      <c r="D772" s="2" t="s">
        <v>53</v>
      </c>
      <c r="E772">
        <v>5605</v>
      </c>
      <c r="F772" t="b">
        <v>1</v>
      </c>
      <c r="G772" s="2" t="s">
        <v>40</v>
      </c>
      <c r="H772" s="2" t="s">
        <v>24</v>
      </c>
      <c r="I772" s="2" t="s">
        <v>42</v>
      </c>
      <c r="J772" s="2" t="s">
        <v>48</v>
      </c>
      <c r="K772">
        <v>2</v>
      </c>
      <c r="L772" s="2" t="s">
        <v>27</v>
      </c>
      <c r="M772" s="2" t="s">
        <v>73</v>
      </c>
      <c r="N772" t="b">
        <v>0</v>
      </c>
      <c r="O772">
        <v>80</v>
      </c>
      <c r="P772" s="2" t="s">
        <v>29</v>
      </c>
      <c r="Q772">
        <v>2</v>
      </c>
      <c r="R772">
        <v>3</v>
      </c>
      <c r="S772">
        <v>4150</v>
      </c>
      <c r="T772" s="2" t="s">
        <v>38</v>
      </c>
    </row>
    <row r="773" spans="1:20" x14ac:dyDescent="0.3">
      <c r="A773" s="1">
        <v>45590</v>
      </c>
      <c r="B773" s="2" t="s">
        <v>77</v>
      </c>
      <c r="C773" s="2" t="s">
        <v>21</v>
      </c>
      <c r="D773" s="2" t="s">
        <v>53</v>
      </c>
      <c r="E773">
        <v>5904</v>
      </c>
      <c r="F773" t="b">
        <v>1</v>
      </c>
      <c r="G773" s="2" t="s">
        <v>34</v>
      </c>
      <c r="H773" s="2" t="s">
        <v>35</v>
      </c>
      <c r="I773" s="2" t="s">
        <v>25</v>
      </c>
      <c r="J773" s="2" t="s">
        <v>26</v>
      </c>
      <c r="K773">
        <v>1</v>
      </c>
      <c r="L773" s="2" t="s">
        <v>49</v>
      </c>
      <c r="M773" s="2" t="s">
        <v>58</v>
      </c>
      <c r="N773" t="b">
        <v>0</v>
      </c>
      <c r="O773">
        <v>17</v>
      </c>
      <c r="P773" s="2" t="s">
        <v>50</v>
      </c>
      <c r="Q773">
        <v>7</v>
      </c>
      <c r="R773">
        <v>1</v>
      </c>
      <c r="S773">
        <v>1259</v>
      </c>
      <c r="T773" s="2" t="s">
        <v>38</v>
      </c>
    </row>
    <row r="774" spans="1:20" x14ac:dyDescent="0.3">
      <c r="A774" s="1">
        <v>45591</v>
      </c>
      <c r="B774" s="2" t="s">
        <v>44</v>
      </c>
      <c r="C774" s="2" t="s">
        <v>60</v>
      </c>
      <c r="D774" s="2" t="s">
        <v>61</v>
      </c>
      <c r="E774">
        <v>1000</v>
      </c>
      <c r="F774" t="b">
        <v>1</v>
      </c>
      <c r="G774" s="2" t="s">
        <v>34</v>
      </c>
      <c r="H774" s="2" t="s">
        <v>41</v>
      </c>
      <c r="I774" s="2" t="s">
        <v>59</v>
      </c>
      <c r="J774" s="2" t="s">
        <v>43</v>
      </c>
      <c r="K774">
        <v>2</v>
      </c>
      <c r="L774" s="2" t="s">
        <v>36</v>
      </c>
      <c r="M774" s="2" t="s">
        <v>66</v>
      </c>
      <c r="N774" t="b">
        <v>0</v>
      </c>
      <c r="O774">
        <v>21</v>
      </c>
      <c r="P774" s="2" t="s">
        <v>37</v>
      </c>
      <c r="Q774">
        <v>5</v>
      </c>
      <c r="R774">
        <v>2</v>
      </c>
      <c r="S774">
        <v>1806</v>
      </c>
      <c r="T774" s="2" t="s">
        <v>30</v>
      </c>
    </row>
    <row r="775" spans="1:20" x14ac:dyDescent="0.3">
      <c r="A775" s="1">
        <v>45592</v>
      </c>
      <c r="B775" s="2" t="s">
        <v>39</v>
      </c>
      <c r="C775" s="2" t="s">
        <v>60</v>
      </c>
      <c r="D775" s="2" t="s">
        <v>61</v>
      </c>
      <c r="E775">
        <v>1000</v>
      </c>
      <c r="F775" t="b">
        <v>1</v>
      </c>
      <c r="G775" s="2" t="s">
        <v>64</v>
      </c>
      <c r="H775" s="2" t="s">
        <v>35</v>
      </c>
      <c r="I775" s="2" t="s">
        <v>42</v>
      </c>
      <c r="J775" s="2" t="s">
        <v>48</v>
      </c>
      <c r="K775">
        <v>2</v>
      </c>
      <c r="L775" s="2" t="s">
        <v>49</v>
      </c>
      <c r="M775" s="2" t="s">
        <v>58</v>
      </c>
      <c r="N775" t="b">
        <v>1</v>
      </c>
      <c r="O775">
        <v>43</v>
      </c>
      <c r="P775" s="2" t="s">
        <v>37</v>
      </c>
      <c r="Q775">
        <v>10</v>
      </c>
      <c r="R775">
        <v>2</v>
      </c>
      <c r="S775">
        <v>1396</v>
      </c>
      <c r="T775" s="2" t="s">
        <v>30</v>
      </c>
    </row>
    <row r="776" spans="1:20" x14ac:dyDescent="0.3">
      <c r="A776" s="1">
        <v>45592</v>
      </c>
      <c r="B776" s="2" t="s">
        <v>52</v>
      </c>
      <c r="C776" s="2" t="s">
        <v>60</v>
      </c>
      <c r="D776" s="2" t="s">
        <v>61</v>
      </c>
      <c r="E776">
        <v>1000</v>
      </c>
      <c r="F776" t="b">
        <v>1</v>
      </c>
      <c r="G776" s="2" t="s">
        <v>23</v>
      </c>
      <c r="H776" s="2" t="s">
        <v>24</v>
      </c>
      <c r="I776" s="2" t="s">
        <v>42</v>
      </c>
      <c r="J776" s="2" t="s">
        <v>26</v>
      </c>
      <c r="K776">
        <v>1</v>
      </c>
      <c r="L776" s="2" t="s">
        <v>27</v>
      </c>
      <c r="M776" s="2" t="s">
        <v>66</v>
      </c>
      <c r="N776" t="b">
        <v>0</v>
      </c>
      <c r="O776">
        <v>62</v>
      </c>
      <c r="P776" s="2" t="s">
        <v>29</v>
      </c>
      <c r="Q776">
        <v>5</v>
      </c>
      <c r="R776">
        <v>3</v>
      </c>
      <c r="S776">
        <v>4693</v>
      </c>
      <c r="T776" s="2" t="s">
        <v>30</v>
      </c>
    </row>
    <row r="777" spans="1:20" x14ac:dyDescent="0.3">
      <c r="A777" s="1">
        <v>45592</v>
      </c>
      <c r="B777" s="2" t="s">
        <v>68</v>
      </c>
      <c r="C777" s="2" t="s">
        <v>45</v>
      </c>
      <c r="D777" s="2" t="s">
        <v>33</v>
      </c>
      <c r="E777">
        <v>3699</v>
      </c>
      <c r="F777" t="b">
        <v>0</v>
      </c>
      <c r="G777" s="2" t="s">
        <v>23</v>
      </c>
      <c r="H777" s="2" t="s">
        <v>70</v>
      </c>
      <c r="I777" s="2" t="s">
        <v>59</v>
      </c>
      <c r="J777" s="2" t="s">
        <v>26</v>
      </c>
      <c r="K777">
        <v>3</v>
      </c>
      <c r="L777" s="2" t="s">
        <v>27</v>
      </c>
      <c r="M777" s="2" t="s">
        <v>28</v>
      </c>
      <c r="N777" t="b">
        <v>1</v>
      </c>
      <c r="O777">
        <v>93</v>
      </c>
      <c r="P777" s="2" t="s">
        <v>63</v>
      </c>
      <c r="Q777">
        <v>4</v>
      </c>
      <c r="R777">
        <v>1</v>
      </c>
      <c r="S777">
        <v>3301</v>
      </c>
      <c r="T777" s="2" t="s">
        <v>51</v>
      </c>
    </row>
    <row r="778" spans="1:20" x14ac:dyDescent="0.3">
      <c r="A778" s="1">
        <v>45592</v>
      </c>
      <c r="B778" s="2" t="s">
        <v>62</v>
      </c>
      <c r="C778" s="2" t="s">
        <v>21</v>
      </c>
      <c r="D778" s="2" t="s">
        <v>53</v>
      </c>
      <c r="E778">
        <v>3705</v>
      </c>
      <c r="F778" t="b">
        <v>1</v>
      </c>
      <c r="G778" s="2" t="s">
        <v>65</v>
      </c>
      <c r="H778" s="2" t="s">
        <v>35</v>
      </c>
      <c r="I778" s="2" t="s">
        <v>59</v>
      </c>
      <c r="J778" s="2" t="s">
        <v>43</v>
      </c>
      <c r="K778">
        <v>1</v>
      </c>
      <c r="L778" s="2" t="s">
        <v>27</v>
      </c>
      <c r="M778" s="2" t="s">
        <v>73</v>
      </c>
      <c r="N778" t="b">
        <v>0</v>
      </c>
      <c r="O778">
        <v>112</v>
      </c>
      <c r="P778" s="2" t="s">
        <v>50</v>
      </c>
      <c r="Q778">
        <v>4</v>
      </c>
      <c r="R778">
        <v>2</v>
      </c>
      <c r="S778">
        <v>4181</v>
      </c>
      <c r="T778" s="2" t="s">
        <v>38</v>
      </c>
    </row>
    <row r="779" spans="1:20" x14ac:dyDescent="0.3">
      <c r="A779" s="1">
        <v>45593</v>
      </c>
      <c r="B779" s="2" t="s">
        <v>68</v>
      </c>
      <c r="C779" s="2" t="s">
        <v>60</v>
      </c>
      <c r="D779" s="2" t="s">
        <v>22</v>
      </c>
      <c r="E779">
        <v>8997</v>
      </c>
      <c r="F779" t="b">
        <v>1</v>
      </c>
      <c r="G779" s="2" t="s">
        <v>34</v>
      </c>
      <c r="H779" s="2" t="s">
        <v>70</v>
      </c>
      <c r="I779" s="2" t="s">
        <v>47</v>
      </c>
      <c r="J779" s="2" t="s">
        <v>43</v>
      </c>
      <c r="K779">
        <v>1</v>
      </c>
      <c r="L779" s="2" t="s">
        <v>27</v>
      </c>
      <c r="M779" s="2" t="s">
        <v>73</v>
      </c>
      <c r="N779" t="b">
        <v>1</v>
      </c>
      <c r="O779">
        <v>23</v>
      </c>
      <c r="P779" s="2" t="s">
        <v>29</v>
      </c>
      <c r="Q779">
        <v>5</v>
      </c>
      <c r="R779">
        <v>3</v>
      </c>
      <c r="S779">
        <v>897</v>
      </c>
      <c r="T779" s="2" t="s">
        <v>30</v>
      </c>
    </row>
    <row r="780" spans="1:20" x14ac:dyDescent="0.3">
      <c r="A780" s="1">
        <v>45593</v>
      </c>
      <c r="B780" s="2" t="s">
        <v>52</v>
      </c>
      <c r="C780" s="2" t="s">
        <v>21</v>
      </c>
      <c r="D780" s="2" t="s">
        <v>57</v>
      </c>
      <c r="E780">
        <v>1000</v>
      </c>
      <c r="F780" t="b">
        <v>1</v>
      </c>
      <c r="G780" s="2" t="s">
        <v>23</v>
      </c>
      <c r="H780" s="2" t="s">
        <v>41</v>
      </c>
      <c r="I780" s="2" t="s">
        <v>47</v>
      </c>
      <c r="J780" s="2" t="s">
        <v>48</v>
      </c>
      <c r="K780">
        <v>0</v>
      </c>
      <c r="L780" s="2" t="s">
        <v>49</v>
      </c>
      <c r="M780" s="2" t="s">
        <v>28</v>
      </c>
      <c r="N780" t="b">
        <v>1</v>
      </c>
      <c r="O780">
        <v>113</v>
      </c>
      <c r="P780" s="2" t="s">
        <v>37</v>
      </c>
      <c r="Q780">
        <v>4</v>
      </c>
      <c r="R780">
        <v>2</v>
      </c>
      <c r="S780">
        <v>4324</v>
      </c>
      <c r="T780" s="2" t="s">
        <v>30</v>
      </c>
    </row>
    <row r="781" spans="1:20" x14ac:dyDescent="0.3">
      <c r="A781" s="1">
        <v>45597</v>
      </c>
      <c r="B781" s="2" t="s">
        <v>62</v>
      </c>
      <c r="C781" s="2" t="s">
        <v>32</v>
      </c>
      <c r="D781" s="2" t="s">
        <v>53</v>
      </c>
      <c r="E781">
        <v>7633</v>
      </c>
      <c r="F781" t="b">
        <v>0</v>
      </c>
      <c r="G781" s="2" t="s">
        <v>34</v>
      </c>
      <c r="H781" s="2" t="s">
        <v>24</v>
      </c>
      <c r="I781" s="2" t="s">
        <v>42</v>
      </c>
      <c r="J781" s="2" t="s">
        <v>48</v>
      </c>
      <c r="K781">
        <v>0</v>
      </c>
      <c r="L781" s="2" t="s">
        <v>36</v>
      </c>
      <c r="M781" s="2" t="s">
        <v>58</v>
      </c>
      <c r="N781" t="b">
        <v>1</v>
      </c>
      <c r="O781">
        <v>100</v>
      </c>
      <c r="P781" s="2" t="s">
        <v>67</v>
      </c>
      <c r="Q781">
        <v>3</v>
      </c>
      <c r="R781">
        <v>2</v>
      </c>
      <c r="S781">
        <v>3036</v>
      </c>
      <c r="T781" s="2" t="s">
        <v>51</v>
      </c>
    </row>
    <row r="782" spans="1:20" x14ac:dyDescent="0.3">
      <c r="A782" s="1">
        <v>45597</v>
      </c>
      <c r="B782" s="2" t="s">
        <v>68</v>
      </c>
      <c r="C782" s="2" t="s">
        <v>56</v>
      </c>
      <c r="D782" s="2" t="s">
        <v>53</v>
      </c>
      <c r="E782">
        <v>7579</v>
      </c>
      <c r="F782" t="b">
        <v>0</v>
      </c>
      <c r="G782" s="2" t="s">
        <v>65</v>
      </c>
      <c r="H782" s="2" t="s">
        <v>70</v>
      </c>
      <c r="I782" s="2" t="s">
        <v>47</v>
      </c>
      <c r="J782" s="2" t="s">
        <v>54</v>
      </c>
      <c r="K782">
        <v>5</v>
      </c>
      <c r="L782" s="2" t="s">
        <v>27</v>
      </c>
      <c r="M782" s="2" t="s">
        <v>66</v>
      </c>
      <c r="N782" t="b">
        <v>0</v>
      </c>
      <c r="O782">
        <v>33</v>
      </c>
      <c r="P782" s="2" t="s">
        <v>37</v>
      </c>
      <c r="Q782">
        <v>1</v>
      </c>
      <c r="R782">
        <v>1</v>
      </c>
      <c r="S782">
        <v>724</v>
      </c>
      <c r="T782" s="2" t="s">
        <v>38</v>
      </c>
    </row>
    <row r="783" spans="1:20" x14ac:dyDescent="0.3">
      <c r="A783" s="1">
        <v>45597</v>
      </c>
      <c r="B783" s="2" t="s">
        <v>71</v>
      </c>
      <c r="C783" s="2" t="s">
        <v>60</v>
      </c>
      <c r="D783" s="2" t="s">
        <v>61</v>
      </c>
      <c r="E783">
        <v>1000</v>
      </c>
      <c r="F783" t="b">
        <v>0</v>
      </c>
      <c r="G783" s="2" t="s">
        <v>34</v>
      </c>
      <c r="H783" s="2" t="s">
        <v>41</v>
      </c>
      <c r="I783" s="2" t="s">
        <v>42</v>
      </c>
      <c r="J783" s="2" t="s">
        <v>43</v>
      </c>
      <c r="K783">
        <v>2</v>
      </c>
      <c r="L783" s="2" t="s">
        <v>27</v>
      </c>
      <c r="M783" s="2" t="s">
        <v>73</v>
      </c>
      <c r="N783" t="b">
        <v>0</v>
      </c>
      <c r="O783">
        <v>79</v>
      </c>
      <c r="P783" s="2" t="s">
        <v>50</v>
      </c>
      <c r="Q783">
        <v>10</v>
      </c>
      <c r="R783">
        <v>3</v>
      </c>
      <c r="S783">
        <v>1992</v>
      </c>
      <c r="T783" s="2" t="s">
        <v>38</v>
      </c>
    </row>
    <row r="784" spans="1:20" x14ac:dyDescent="0.3">
      <c r="A784" s="1">
        <v>45597</v>
      </c>
      <c r="B784" s="2" t="s">
        <v>71</v>
      </c>
      <c r="C784" s="2" t="s">
        <v>56</v>
      </c>
      <c r="D784" s="2" t="s">
        <v>57</v>
      </c>
      <c r="E784">
        <v>1000</v>
      </c>
      <c r="F784" t="b">
        <v>0</v>
      </c>
      <c r="G784" s="2" t="s">
        <v>40</v>
      </c>
      <c r="H784" s="2" t="s">
        <v>24</v>
      </c>
      <c r="I784" s="2" t="s">
        <v>47</v>
      </c>
      <c r="J784" s="2" t="s">
        <v>54</v>
      </c>
      <c r="K784">
        <v>1</v>
      </c>
      <c r="L784" s="2" t="s">
        <v>49</v>
      </c>
      <c r="M784" s="2" t="s">
        <v>28</v>
      </c>
      <c r="N784" t="b">
        <v>0</v>
      </c>
      <c r="O784">
        <v>32</v>
      </c>
      <c r="P784" s="2" t="s">
        <v>63</v>
      </c>
      <c r="Q784">
        <v>1</v>
      </c>
      <c r="R784">
        <v>2</v>
      </c>
      <c r="S784">
        <v>964</v>
      </c>
      <c r="T784" s="2" t="s">
        <v>51</v>
      </c>
    </row>
    <row r="785" spans="1:20" x14ac:dyDescent="0.3">
      <c r="A785" s="1">
        <v>45597</v>
      </c>
      <c r="B785" s="2" t="s">
        <v>69</v>
      </c>
      <c r="C785" s="2" t="s">
        <v>56</v>
      </c>
      <c r="D785" s="2" t="s">
        <v>53</v>
      </c>
      <c r="E785">
        <v>2319</v>
      </c>
      <c r="F785" t="b">
        <v>0</v>
      </c>
      <c r="G785" s="2" t="s">
        <v>65</v>
      </c>
      <c r="H785" s="2" t="s">
        <v>24</v>
      </c>
      <c r="I785" s="2" t="s">
        <v>59</v>
      </c>
      <c r="J785" s="2" t="s">
        <v>48</v>
      </c>
      <c r="K785">
        <v>4</v>
      </c>
      <c r="L785" s="2" t="s">
        <v>27</v>
      </c>
      <c r="M785" s="2" t="s">
        <v>73</v>
      </c>
      <c r="N785" t="b">
        <v>1</v>
      </c>
      <c r="O785">
        <v>108</v>
      </c>
      <c r="P785" s="2" t="s">
        <v>63</v>
      </c>
      <c r="Q785">
        <v>2</v>
      </c>
      <c r="R785">
        <v>1</v>
      </c>
      <c r="S785">
        <v>3970</v>
      </c>
      <c r="T785" s="2" t="s">
        <v>30</v>
      </c>
    </row>
    <row r="786" spans="1:20" x14ac:dyDescent="0.3">
      <c r="A786" s="1">
        <v>45597</v>
      </c>
      <c r="B786" s="2" t="s">
        <v>44</v>
      </c>
      <c r="C786" s="2" t="s">
        <v>45</v>
      </c>
      <c r="D786" s="2" t="s">
        <v>57</v>
      </c>
      <c r="E786">
        <v>1000</v>
      </c>
      <c r="F786" t="b">
        <v>1</v>
      </c>
      <c r="G786" s="2" t="s">
        <v>40</v>
      </c>
      <c r="H786" s="2" t="s">
        <v>35</v>
      </c>
      <c r="I786" s="2" t="s">
        <v>42</v>
      </c>
      <c r="J786" s="2" t="s">
        <v>26</v>
      </c>
      <c r="K786">
        <v>2</v>
      </c>
      <c r="L786" s="2" t="s">
        <v>36</v>
      </c>
      <c r="M786" s="2" t="s">
        <v>73</v>
      </c>
      <c r="N786" t="b">
        <v>0</v>
      </c>
      <c r="O786">
        <v>112</v>
      </c>
      <c r="P786" s="2" t="s">
        <v>50</v>
      </c>
      <c r="Q786">
        <v>9</v>
      </c>
      <c r="R786">
        <v>1</v>
      </c>
      <c r="S786">
        <v>1107</v>
      </c>
      <c r="T786" s="2" t="s">
        <v>38</v>
      </c>
    </row>
    <row r="787" spans="1:20" x14ac:dyDescent="0.3">
      <c r="A787" s="1">
        <v>45598</v>
      </c>
      <c r="B787" s="2" t="s">
        <v>69</v>
      </c>
      <c r="C787" s="2" t="s">
        <v>56</v>
      </c>
      <c r="D787" s="2" t="s">
        <v>33</v>
      </c>
      <c r="E787">
        <v>4396</v>
      </c>
      <c r="F787" t="b">
        <v>0</v>
      </c>
      <c r="G787" s="2" t="s">
        <v>40</v>
      </c>
      <c r="H787" s="2" t="s">
        <v>41</v>
      </c>
      <c r="I787" s="2" t="s">
        <v>25</v>
      </c>
      <c r="J787" s="2" t="s">
        <v>26</v>
      </c>
      <c r="K787">
        <v>5</v>
      </c>
      <c r="L787" s="2" t="s">
        <v>36</v>
      </c>
      <c r="M787" s="2" t="s">
        <v>73</v>
      </c>
      <c r="N787" t="b">
        <v>1</v>
      </c>
      <c r="O787">
        <v>103</v>
      </c>
      <c r="P787" s="2" t="s">
        <v>67</v>
      </c>
      <c r="Q787">
        <v>9</v>
      </c>
      <c r="R787">
        <v>2</v>
      </c>
      <c r="S787">
        <v>1597</v>
      </c>
      <c r="T787" s="2" t="s">
        <v>51</v>
      </c>
    </row>
    <row r="788" spans="1:20" x14ac:dyDescent="0.3">
      <c r="A788" s="1">
        <v>45598</v>
      </c>
      <c r="B788" s="2" t="s">
        <v>20</v>
      </c>
      <c r="C788" s="2" t="s">
        <v>32</v>
      </c>
      <c r="D788" s="2" t="s">
        <v>46</v>
      </c>
      <c r="E788">
        <v>4863</v>
      </c>
      <c r="F788" t="b">
        <v>0</v>
      </c>
      <c r="G788" s="2" t="s">
        <v>65</v>
      </c>
      <c r="H788" s="2" t="s">
        <v>35</v>
      </c>
      <c r="I788" s="2" t="s">
        <v>47</v>
      </c>
      <c r="J788" s="2" t="s">
        <v>26</v>
      </c>
      <c r="K788">
        <v>4</v>
      </c>
      <c r="L788" s="2" t="s">
        <v>27</v>
      </c>
      <c r="M788" s="2" t="s">
        <v>73</v>
      </c>
      <c r="N788" t="b">
        <v>0</v>
      </c>
      <c r="O788">
        <v>99</v>
      </c>
      <c r="P788" s="2" t="s">
        <v>37</v>
      </c>
      <c r="Q788">
        <v>10</v>
      </c>
      <c r="R788">
        <v>1</v>
      </c>
      <c r="S788">
        <v>2512</v>
      </c>
      <c r="T788" s="2" t="s">
        <v>51</v>
      </c>
    </row>
    <row r="789" spans="1:20" x14ac:dyDescent="0.3">
      <c r="A789" s="1">
        <v>45598</v>
      </c>
      <c r="B789" s="2" t="s">
        <v>68</v>
      </c>
      <c r="C789" s="2" t="s">
        <v>60</v>
      </c>
      <c r="D789" s="2" t="s">
        <v>33</v>
      </c>
      <c r="E789">
        <v>7885</v>
      </c>
      <c r="F789" t="b">
        <v>0</v>
      </c>
      <c r="G789" s="2" t="s">
        <v>23</v>
      </c>
      <c r="H789" s="2" t="s">
        <v>35</v>
      </c>
      <c r="I789" s="2" t="s">
        <v>59</v>
      </c>
      <c r="J789" s="2" t="s">
        <v>48</v>
      </c>
      <c r="K789">
        <v>3</v>
      </c>
      <c r="L789" s="2" t="s">
        <v>27</v>
      </c>
      <c r="M789" s="2" t="s">
        <v>73</v>
      </c>
      <c r="N789" t="b">
        <v>1</v>
      </c>
      <c r="O789">
        <v>9</v>
      </c>
      <c r="P789" s="2" t="s">
        <v>63</v>
      </c>
      <c r="Q789">
        <v>3</v>
      </c>
      <c r="R789">
        <v>1</v>
      </c>
      <c r="S789">
        <v>3815</v>
      </c>
      <c r="T789" s="2" t="s">
        <v>51</v>
      </c>
    </row>
    <row r="790" spans="1:20" x14ac:dyDescent="0.3">
      <c r="A790" s="1">
        <v>45598</v>
      </c>
      <c r="B790" s="2" t="s">
        <v>69</v>
      </c>
      <c r="C790" s="2" t="s">
        <v>21</v>
      </c>
      <c r="D790" s="2" t="s">
        <v>22</v>
      </c>
      <c r="E790">
        <v>9440</v>
      </c>
      <c r="F790" t="b">
        <v>0</v>
      </c>
      <c r="G790" s="2" t="s">
        <v>34</v>
      </c>
      <c r="H790" s="2" t="s">
        <v>35</v>
      </c>
      <c r="I790" s="2" t="s">
        <v>25</v>
      </c>
      <c r="J790" s="2" t="s">
        <v>43</v>
      </c>
      <c r="K790">
        <v>5</v>
      </c>
      <c r="L790" s="2" t="s">
        <v>36</v>
      </c>
      <c r="M790" s="2" t="s">
        <v>66</v>
      </c>
      <c r="N790" t="b">
        <v>1</v>
      </c>
      <c r="O790">
        <v>8</v>
      </c>
      <c r="P790" s="2" t="s">
        <v>63</v>
      </c>
      <c r="Q790">
        <v>2</v>
      </c>
      <c r="R790">
        <v>3</v>
      </c>
      <c r="S790">
        <v>2227</v>
      </c>
      <c r="T790" s="2" t="s">
        <v>38</v>
      </c>
    </row>
    <row r="791" spans="1:20" x14ac:dyDescent="0.3">
      <c r="A791" s="1">
        <v>45598</v>
      </c>
      <c r="B791" s="2" t="s">
        <v>44</v>
      </c>
      <c r="C791" s="2" t="s">
        <v>56</v>
      </c>
      <c r="D791" s="2" t="s">
        <v>57</v>
      </c>
      <c r="E791">
        <v>1000</v>
      </c>
      <c r="F791" t="b">
        <v>0</v>
      </c>
      <c r="G791" s="2" t="s">
        <v>64</v>
      </c>
      <c r="H791" s="2" t="s">
        <v>35</v>
      </c>
      <c r="I791" s="2" t="s">
        <v>47</v>
      </c>
      <c r="J791" s="2" t="s">
        <v>54</v>
      </c>
      <c r="K791">
        <v>5</v>
      </c>
      <c r="L791" s="2" t="s">
        <v>27</v>
      </c>
      <c r="M791" s="2" t="s">
        <v>66</v>
      </c>
      <c r="N791" t="b">
        <v>0</v>
      </c>
      <c r="O791">
        <v>88</v>
      </c>
      <c r="P791" s="2" t="s">
        <v>63</v>
      </c>
      <c r="Q791">
        <v>5</v>
      </c>
      <c r="R791">
        <v>2</v>
      </c>
      <c r="S791">
        <v>3002</v>
      </c>
      <c r="T791" s="2" t="s">
        <v>51</v>
      </c>
    </row>
    <row r="792" spans="1:20" x14ac:dyDescent="0.3">
      <c r="A792" s="1">
        <v>45598</v>
      </c>
      <c r="B792" s="2" t="s">
        <v>72</v>
      </c>
      <c r="C792" s="2" t="s">
        <v>21</v>
      </c>
      <c r="D792" s="2" t="s">
        <v>53</v>
      </c>
      <c r="E792">
        <v>7081</v>
      </c>
      <c r="F792" t="b">
        <v>0</v>
      </c>
      <c r="G792" s="2" t="s">
        <v>23</v>
      </c>
      <c r="H792" s="2" t="s">
        <v>24</v>
      </c>
      <c r="I792" s="2" t="s">
        <v>59</v>
      </c>
      <c r="J792" s="2" t="s">
        <v>54</v>
      </c>
      <c r="K792">
        <v>5</v>
      </c>
      <c r="L792" s="2" t="s">
        <v>27</v>
      </c>
      <c r="M792" s="2" t="s">
        <v>66</v>
      </c>
      <c r="N792" t="b">
        <v>0</v>
      </c>
      <c r="O792">
        <v>88</v>
      </c>
      <c r="P792" s="2" t="s">
        <v>37</v>
      </c>
      <c r="Q792">
        <v>4</v>
      </c>
      <c r="R792">
        <v>2</v>
      </c>
      <c r="S792">
        <v>4374</v>
      </c>
      <c r="T792" s="2" t="s">
        <v>51</v>
      </c>
    </row>
    <row r="793" spans="1:20" x14ac:dyDescent="0.3">
      <c r="A793" s="1">
        <v>45599</v>
      </c>
      <c r="B793" s="2" t="s">
        <v>62</v>
      </c>
      <c r="C793" s="2" t="s">
        <v>56</v>
      </c>
      <c r="D793" s="2" t="s">
        <v>46</v>
      </c>
      <c r="E793">
        <v>4235</v>
      </c>
      <c r="F793" t="b">
        <v>1</v>
      </c>
      <c r="G793" s="2" t="s">
        <v>65</v>
      </c>
      <c r="H793" s="2" t="s">
        <v>24</v>
      </c>
      <c r="I793" s="2" t="s">
        <v>59</v>
      </c>
      <c r="J793" s="2" t="s">
        <v>43</v>
      </c>
      <c r="K793">
        <v>4</v>
      </c>
      <c r="L793" s="2" t="s">
        <v>36</v>
      </c>
      <c r="M793" s="2" t="s">
        <v>73</v>
      </c>
      <c r="N793" t="b">
        <v>1</v>
      </c>
      <c r="O793">
        <v>26</v>
      </c>
      <c r="P793" s="2" t="s">
        <v>63</v>
      </c>
      <c r="Q793">
        <v>8</v>
      </c>
      <c r="R793">
        <v>3</v>
      </c>
      <c r="S793">
        <v>4687</v>
      </c>
      <c r="T793" s="2" t="s">
        <v>30</v>
      </c>
    </row>
    <row r="794" spans="1:20" x14ac:dyDescent="0.3">
      <c r="A794" s="1">
        <v>45599</v>
      </c>
      <c r="B794" s="2" t="s">
        <v>44</v>
      </c>
      <c r="C794" s="2" t="s">
        <v>45</v>
      </c>
      <c r="D794" s="2" t="s">
        <v>22</v>
      </c>
      <c r="E794">
        <v>8375</v>
      </c>
      <c r="F794" t="b">
        <v>0</v>
      </c>
      <c r="G794" s="2" t="s">
        <v>34</v>
      </c>
      <c r="H794" s="2" t="s">
        <v>41</v>
      </c>
      <c r="I794" s="2" t="s">
        <v>42</v>
      </c>
      <c r="J794" s="2" t="s">
        <v>26</v>
      </c>
      <c r="K794">
        <v>3</v>
      </c>
      <c r="L794" s="2" t="s">
        <v>36</v>
      </c>
      <c r="M794" s="2" t="s">
        <v>73</v>
      </c>
      <c r="N794" t="b">
        <v>1</v>
      </c>
      <c r="O794">
        <v>101</v>
      </c>
      <c r="P794" s="2" t="s">
        <v>63</v>
      </c>
      <c r="Q794">
        <v>2</v>
      </c>
      <c r="R794">
        <v>1</v>
      </c>
      <c r="S794">
        <v>4050</v>
      </c>
      <c r="T794" s="2" t="s">
        <v>51</v>
      </c>
    </row>
    <row r="795" spans="1:20" x14ac:dyDescent="0.3">
      <c r="A795" s="1">
        <v>45600</v>
      </c>
      <c r="B795" s="2" t="s">
        <v>72</v>
      </c>
      <c r="C795" s="2" t="s">
        <v>21</v>
      </c>
      <c r="D795" s="2" t="s">
        <v>53</v>
      </c>
      <c r="E795">
        <v>4996</v>
      </c>
      <c r="F795" t="b">
        <v>0</v>
      </c>
      <c r="G795" s="2" t="s">
        <v>64</v>
      </c>
      <c r="H795" s="2" t="s">
        <v>41</v>
      </c>
      <c r="I795" s="2" t="s">
        <v>42</v>
      </c>
      <c r="J795" s="2" t="s">
        <v>43</v>
      </c>
      <c r="K795">
        <v>0</v>
      </c>
      <c r="L795" s="2" t="s">
        <v>27</v>
      </c>
      <c r="M795" s="2" t="s">
        <v>73</v>
      </c>
      <c r="N795" t="b">
        <v>0</v>
      </c>
      <c r="O795">
        <v>71</v>
      </c>
      <c r="P795" s="2" t="s">
        <v>29</v>
      </c>
      <c r="Q795">
        <v>1</v>
      </c>
      <c r="R795">
        <v>1</v>
      </c>
      <c r="S795">
        <v>2586</v>
      </c>
      <c r="T795" s="2" t="s">
        <v>51</v>
      </c>
    </row>
    <row r="796" spans="1:20" x14ac:dyDescent="0.3">
      <c r="A796" s="1">
        <v>45601</v>
      </c>
      <c r="B796" s="2" t="s">
        <v>74</v>
      </c>
      <c r="C796" s="2" t="s">
        <v>45</v>
      </c>
      <c r="D796" s="2" t="s">
        <v>46</v>
      </c>
      <c r="E796">
        <v>4908</v>
      </c>
      <c r="F796" t="b">
        <v>0</v>
      </c>
      <c r="G796" s="2" t="s">
        <v>40</v>
      </c>
      <c r="H796" s="2" t="s">
        <v>35</v>
      </c>
      <c r="I796" s="2" t="s">
        <v>25</v>
      </c>
      <c r="J796" s="2" t="s">
        <v>26</v>
      </c>
      <c r="K796">
        <v>0</v>
      </c>
      <c r="L796" s="2" t="s">
        <v>27</v>
      </c>
      <c r="M796" s="2" t="s">
        <v>73</v>
      </c>
      <c r="N796" t="b">
        <v>1</v>
      </c>
      <c r="O796">
        <v>81</v>
      </c>
      <c r="P796" s="2" t="s">
        <v>63</v>
      </c>
      <c r="Q796">
        <v>1</v>
      </c>
      <c r="R796">
        <v>2</v>
      </c>
      <c r="S796">
        <v>1123</v>
      </c>
      <c r="T796" s="2" t="s">
        <v>51</v>
      </c>
    </row>
    <row r="797" spans="1:20" x14ac:dyDescent="0.3">
      <c r="A797" s="1">
        <v>45601</v>
      </c>
      <c r="B797" s="2" t="s">
        <v>31</v>
      </c>
      <c r="C797" s="2" t="s">
        <v>45</v>
      </c>
      <c r="D797" s="2" t="s">
        <v>53</v>
      </c>
      <c r="E797">
        <v>4547</v>
      </c>
      <c r="F797" t="b">
        <v>0</v>
      </c>
      <c r="G797" s="2" t="s">
        <v>64</v>
      </c>
      <c r="H797" s="2" t="s">
        <v>70</v>
      </c>
      <c r="I797" s="2" t="s">
        <v>59</v>
      </c>
      <c r="J797" s="2" t="s">
        <v>26</v>
      </c>
      <c r="K797">
        <v>2</v>
      </c>
      <c r="L797" s="2" t="s">
        <v>49</v>
      </c>
      <c r="M797" s="2" t="s">
        <v>28</v>
      </c>
      <c r="N797" t="b">
        <v>1</v>
      </c>
      <c r="O797">
        <v>103</v>
      </c>
      <c r="P797" s="2" t="s">
        <v>63</v>
      </c>
      <c r="Q797">
        <v>5</v>
      </c>
      <c r="R797">
        <v>3</v>
      </c>
      <c r="S797">
        <v>4024</v>
      </c>
      <c r="T797" s="2" t="s">
        <v>30</v>
      </c>
    </row>
    <row r="798" spans="1:20" x14ac:dyDescent="0.3">
      <c r="A798" s="1">
        <v>45601</v>
      </c>
      <c r="B798" s="2" t="s">
        <v>77</v>
      </c>
      <c r="C798" s="2" t="s">
        <v>60</v>
      </c>
      <c r="D798" s="2" t="s">
        <v>61</v>
      </c>
      <c r="E798">
        <v>1000</v>
      </c>
      <c r="F798" t="b">
        <v>0</v>
      </c>
      <c r="G798" s="2" t="s">
        <v>65</v>
      </c>
      <c r="H798" s="2" t="s">
        <v>41</v>
      </c>
      <c r="I798" s="2" t="s">
        <v>47</v>
      </c>
      <c r="J798" s="2" t="s">
        <v>26</v>
      </c>
      <c r="K798">
        <v>3</v>
      </c>
      <c r="L798" s="2" t="s">
        <v>27</v>
      </c>
      <c r="M798" s="2" t="s">
        <v>73</v>
      </c>
      <c r="N798" t="b">
        <v>0</v>
      </c>
      <c r="O798">
        <v>108</v>
      </c>
      <c r="P798" s="2" t="s">
        <v>29</v>
      </c>
      <c r="Q798">
        <v>3</v>
      </c>
      <c r="R798">
        <v>3</v>
      </c>
      <c r="S798">
        <v>4827</v>
      </c>
      <c r="T798" s="2" t="s">
        <v>51</v>
      </c>
    </row>
    <row r="799" spans="1:20" x14ac:dyDescent="0.3">
      <c r="A799" s="1">
        <v>45602</v>
      </c>
      <c r="B799" s="2" t="s">
        <v>68</v>
      </c>
      <c r="C799" s="2" t="s">
        <v>56</v>
      </c>
      <c r="D799" s="2" t="s">
        <v>22</v>
      </c>
      <c r="E799">
        <v>9801</v>
      </c>
      <c r="F799" t="b">
        <v>0</v>
      </c>
      <c r="G799" s="2" t="s">
        <v>65</v>
      </c>
      <c r="H799" s="2" t="s">
        <v>41</v>
      </c>
      <c r="I799" s="2" t="s">
        <v>25</v>
      </c>
      <c r="J799" s="2" t="s">
        <v>48</v>
      </c>
      <c r="K799">
        <v>1</v>
      </c>
      <c r="L799" s="2" t="s">
        <v>49</v>
      </c>
      <c r="M799" s="2" t="s">
        <v>28</v>
      </c>
      <c r="N799" t="b">
        <v>0</v>
      </c>
      <c r="O799">
        <v>83</v>
      </c>
      <c r="P799" s="2" t="s">
        <v>63</v>
      </c>
      <c r="Q799">
        <v>6</v>
      </c>
      <c r="R799">
        <v>1</v>
      </c>
      <c r="S799">
        <v>972</v>
      </c>
      <c r="T799" s="2" t="s">
        <v>38</v>
      </c>
    </row>
    <row r="800" spans="1:20" x14ac:dyDescent="0.3">
      <c r="A800" s="1">
        <v>45602</v>
      </c>
      <c r="B800" s="2" t="s">
        <v>75</v>
      </c>
      <c r="C800" s="2" t="s">
        <v>45</v>
      </c>
      <c r="D800" s="2" t="s">
        <v>53</v>
      </c>
      <c r="E800">
        <v>4134</v>
      </c>
      <c r="F800" t="b">
        <v>1</v>
      </c>
      <c r="G800" s="2" t="s">
        <v>64</v>
      </c>
      <c r="H800" s="2" t="s">
        <v>35</v>
      </c>
      <c r="I800" s="2" t="s">
        <v>59</v>
      </c>
      <c r="J800" s="2" t="s">
        <v>43</v>
      </c>
      <c r="K800">
        <v>0</v>
      </c>
      <c r="L800" s="2" t="s">
        <v>27</v>
      </c>
      <c r="M800" s="2" t="s">
        <v>73</v>
      </c>
      <c r="N800" t="b">
        <v>1</v>
      </c>
      <c r="O800">
        <v>57</v>
      </c>
      <c r="P800" s="2" t="s">
        <v>67</v>
      </c>
      <c r="Q800">
        <v>3</v>
      </c>
      <c r="R800">
        <v>3</v>
      </c>
      <c r="S800">
        <v>3923</v>
      </c>
      <c r="T800" s="2" t="s">
        <v>51</v>
      </c>
    </row>
    <row r="801" spans="1:20" x14ac:dyDescent="0.3">
      <c r="A801" s="1">
        <v>45602</v>
      </c>
      <c r="B801" s="2" t="s">
        <v>77</v>
      </c>
      <c r="C801" s="2" t="s">
        <v>32</v>
      </c>
      <c r="D801" s="2" t="s">
        <v>22</v>
      </c>
      <c r="E801">
        <v>6574</v>
      </c>
      <c r="F801" t="b">
        <v>0</v>
      </c>
      <c r="G801" s="2" t="s">
        <v>34</v>
      </c>
      <c r="H801" s="2" t="s">
        <v>70</v>
      </c>
      <c r="I801" s="2" t="s">
        <v>59</v>
      </c>
      <c r="J801" s="2" t="s">
        <v>43</v>
      </c>
      <c r="K801">
        <v>1</v>
      </c>
      <c r="L801" s="2" t="s">
        <v>27</v>
      </c>
      <c r="M801" s="2" t="s">
        <v>73</v>
      </c>
      <c r="N801" t="b">
        <v>1</v>
      </c>
      <c r="O801">
        <v>23</v>
      </c>
      <c r="P801" s="2" t="s">
        <v>67</v>
      </c>
      <c r="Q801">
        <v>6</v>
      </c>
      <c r="R801">
        <v>2</v>
      </c>
      <c r="S801">
        <v>3078</v>
      </c>
      <c r="T801" s="2" t="s">
        <v>30</v>
      </c>
    </row>
    <row r="802" spans="1:20" x14ac:dyDescent="0.3">
      <c r="A802" s="1">
        <v>45603</v>
      </c>
      <c r="B802" s="2" t="s">
        <v>68</v>
      </c>
      <c r="C802" s="2" t="s">
        <v>56</v>
      </c>
      <c r="D802" s="2" t="s">
        <v>53</v>
      </c>
      <c r="E802">
        <v>2935</v>
      </c>
      <c r="F802" t="b">
        <v>1</v>
      </c>
      <c r="G802" s="2" t="s">
        <v>34</v>
      </c>
      <c r="H802" s="2" t="s">
        <v>41</v>
      </c>
      <c r="I802" s="2" t="s">
        <v>42</v>
      </c>
      <c r="J802" s="2" t="s">
        <v>26</v>
      </c>
      <c r="K802">
        <v>3</v>
      </c>
      <c r="L802" s="2" t="s">
        <v>49</v>
      </c>
      <c r="M802" s="2" t="s">
        <v>28</v>
      </c>
      <c r="N802" t="b">
        <v>0</v>
      </c>
      <c r="O802">
        <v>44</v>
      </c>
      <c r="P802" s="2" t="s">
        <v>63</v>
      </c>
      <c r="Q802">
        <v>6</v>
      </c>
      <c r="R802">
        <v>2</v>
      </c>
      <c r="S802">
        <v>4946</v>
      </c>
      <c r="T802" s="2" t="s">
        <v>30</v>
      </c>
    </row>
    <row r="803" spans="1:20" x14ac:dyDescent="0.3">
      <c r="A803" s="1">
        <v>45603</v>
      </c>
      <c r="B803" s="2" t="s">
        <v>76</v>
      </c>
      <c r="C803" s="2" t="s">
        <v>60</v>
      </c>
      <c r="D803" s="2" t="s">
        <v>33</v>
      </c>
      <c r="E803">
        <v>4733</v>
      </c>
      <c r="F803" t="b">
        <v>0</v>
      </c>
      <c r="G803" s="2" t="s">
        <v>65</v>
      </c>
      <c r="H803" s="2" t="s">
        <v>41</v>
      </c>
      <c r="I803" s="2" t="s">
        <v>47</v>
      </c>
      <c r="J803" s="2" t="s">
        <v>54</v>
      </c>
      <c r="K803">
        <v>3</v>
      </c>
      <c r="L803" s="2" t="s">
        <v>49</v>
      </c>
      <c r="M803" s="2" t="s">
        <v>66</v>
      </c>
      <c r="N803" t="b">
        <v>0</v>
      </c>
      <c r="O803">
        <v>68</v>
      </c>
      <c r="P803" s="2" t="s">
        <v>67</v>
      </c>
      <c r="Q803">
        <v>10</v>
      </c>
      <c r="R803">
        <v>1</v>
      </c>
      <c r="S803">
        <v>4449</v>
      </c>
      <c r="T803" s="2" t="s">
        <v>51</v>
      </c>
    </row>
    <row r="804" spans="1:20" x14ac:dyDescent="0.3">
      <c r="A804" s="1">
        <v>45604</v>
      </c>
      <c r="B804" s="2" t="s">
        <v>20</v>
      </c>
      <c r="C804" s="2" t="s">
        <v>45</v>
      </c>
      <c r="D804" s="2" t="s">
        <v>57</v>
      </c>
      <c r="E804">
        <v>1000</v>
      </c>
      <c r="F804" t="b">
        <v>1</v>
      </c>
      <c r="G804" s="2" t="s">
        <v>40</v>
      </c>
      <c r="H804" s="2" t="s">
        <v>35</v>
      </c>
      <c r="I804" s="2" t="s">
        <v>47</v>
      </c>
      <c r="J804" s="2" t="s">
        <v>26</v>
      </c>
      <c r="K804">
        <v>5</v>
      </c>
      <c r="L804" s="2" t="s">
        <v>27</v>
      </c>
      <c r="M804" s="2" t="s">
        <v>28</v>
      </c>
      <c r="N804" t="b">
        <v>0</v>
      </c>
      <c r="O804">
        <v>1</v>
      </c>
      <c r="P804" s="2" t="s">
        <v>63</v>
      </c>
      <c r="Q804">
        <v>8</v>
      </c>
      <c r="R804">
        <v>3</v>
      </c>
      <c r="S804">
        <v>1990</v>
      </c>
      <c r="T804" s="2" t="s">
        <v>38</v>
      </c>
    </row>
    <row r="805" spans="1:20" x14ac:dyDescent="0.3">
      <c r="A805" s="1">
        <v>45605</v>
      </c>
      <c r="B805" s="2" t="s">
        <v>39</v>
      </c>
      <c r="C805" s="2" t="s">
        <v>32</v>
      </c>
      <c r="D805" s="2" t="s">
        <v>57</v>
      </c>
      <c r="E805">
        <v>1000</v>
      </c>
      <c r="F805" t="b">
        <v>1</v>
      </c>
      <c r="G805" s="2" t="s">
        <v>65</v>
      </c>
      <c r="H805" s="2" t="s">
        <v>70</v>
      </c>
      <c r="I805" s="2" t="s">
        <v>25</v>
      </c>
      <c r="J805" s="2" t="s">
        <v>48</v>
      </c>
      <c r="K805">
        <v>5</v>
      </c>
      <c r="L805" s="2" t="s">
        <v>36</v>
      </c>
      <c r="M805" s="2" t="s">
        <v>58</v>
      </c>
      <c r="N805" t="b">
        <v>1</v>
      </c>
      <c r="O805">
        <v>53</v>
      </c>
      <c r="P805" s="2" t="s">
        <v>63</v>
      </c>
      <c r="Q805">
        <v>3</v>
      </c>
      <c r="R805">
        <v>1</v>
      </c>
      <c r="S805">
        <v>3680</v>
      </c>
      <c r="T805" s="2" t="s">
        <v>51</v>
      </c>
    </row>
    <row r="806" spans="1:20" x14ac:dyDescent="0.3">
      <c r="A806" s="1">
        <v>45605</v>
      </c>
      <c r="B806" s="2" t="s">
        <v>76</v>
      </c>
      <c r="C806" s="2" t="s">
        <v>32</v>
      </c>
      <c r="D806" s="2" t="s">
        <v>22</v>
      </c>
      <c r="E806">
        <v>8665</v>
      </c>
      <c r="F806" t="b">
        <v>0</v>
      </c>
      <c r="G806" s="2" t="s">
        <v>23</v>
      </c>
      <c r="H806" s="2" t="s">
        <v>70</v>
      </c>
      <c r="I806" s="2" t="s">
        <v>59</v>
      </c>
      <c r="J806" s="2" t="s">
        <v>54</v>
      </c>
      <c r="K806">
        <v>0</v>
      </c>
      <c r="L806" s="2" t="s">
        <v>49</v>
      </c>
      <c r="M806" s="2" t="s">
        <v>66</v>
      </c>
      <c r="N806" t="b">
        <v>0</v>
      </c>
      <c r="O806">
        <v>77</v>
      </c>
      <c r="P806" s="2" t="s">
        <v>63</v>
      </c>
      <c r="Q806">
        <v>9</v>
      </c>
      <c r="R806">
        <v>2</v>
      </c>
      <c r="S806">
        <v>2751</v>
      </c>
      <c r="T806" s="2" t="s">
        <v>51</v>
      </c>
    </row>
    <row r="807" spans="1:20" x14ac:dyDescent="0.3">
      <c r="A807" s="1">
        <v>45605</v>
      </c>
      <c r="B807" s="2" t="s">
        <v>62</v>
      </c>
      <c r="C807" s="2" t="s">
        <v>60</v>
      </c>
      <c r="D807" s="2" t="s">
        <v>33</v>
      </c>
      <c r="E807">
        <v>4658</v>
      </c>
      <c r="F807" t="b">
        <v>0</v>
      </c>
      <c r="G807" s="2" t="s">
        <v>64</v>
      </c>
      <c r="H807" s="2" t="s">
        <v>41</v>
      </c>
      <c r="I807" s="2" t="s">
        <v>59</v>
      </c>
      <c r="J807" s="2" t="s">
        <v>43</v>
      </c>
      <c r="K807">
        <v>2</v>
      </c>
      <c r="L807" s="2" t="s">
        <v>27</v>
      </c>
      <c r="M807" s="2" t="s">
        <v>58</v>
      </c>
      <c r="N807" t="b">
        <v>1</v>
      </c>
      <c r="O807">
        <v>99</v>
      </c>
      <c r="P807" s="2" t="s">
        <v>67</v>
      </c>
      <c r="Q807">
        <v>10</v>
      </c>
      <c r="R807">
        <v>3</v>
      </c>
      <c r="S807">
        <v>4072</v>
      </c>
      <c r="T807" s="2" t="s">
        <v>38</v>
      </c>
    </row>
    <row r="808" spans="1:20" x14ac:dyDescent="0.3">
      <c r="A808" s="1">
        <v>45605</v>
      </c>
      <c r="B808" s="2" t="s">
        <v>75</v>
      </c>
      <c r="C808" s="2" t="s">
        <v>45</v>
      </c>
      <c r="D808" s="2" t="s">
        <v>57</v>
      </c>
      <c r="E808">
        <v>1000</v>
      </c>
      <c r="F808" t="b">
        <v>1</v>
      </c>
      <c r="G808" s="2" t="s">
        <v>65</v>
      </c>
      <c r="H808" s="2" t="s">
        <v>41</v>
      </c>
      <c r="I808" s="2" t="s">
        <v>25</v>
      </c>
      <c r="J808" s="2" t="s">
        <v>48</v>
      </c>
      <c r="K808">
        <v>5</v>
      </c>
      <c r="L808" s="2" t="s">
        <v>27</v>
      </c>
      <c r="M808" s="2" t="s">
        <v>73</v>
      </c>
      <c r="N808" t="b">
        <v>0</v>
      </c>
      <c r="O808">
        <v>29</v>
      </c>
      <c r="P808" s="2" t="s">
        <v>29</v>
      </c>
      <c r="Q808">
        <v>3</v>
      </c>
      <c r="R808">
        <v>3</v>
      </c>
      <c r="S808">
        <v>828</v>
      </c>
      <c r="T808" s="2" t="s">
        <v>30</v>
      </c>
    </row>
    <row r="809" spans="1:20" x14ac:dyDescent="0.3">
      <c r="A809" s="1">
        <v>45605</v>
      </c>
      <c r="B809" s="2" t="s">
        <v>76</v>
      </c>
      <c r="C809" s="2" t="s">
        <v>21</v>
      </c>
      <c r="D809" s="2" t="s">
        <v>57</v>
      </c>
      <c r="E809">
        <v>1000</v>
      </c>
      <c r="F809" t="b">
        <v>0</v>
      </c>
      <c r="G809" s="2" t="s">
        <v>40</v>
      </c>
      <c r="H809" s="2" t="s">
        <v>70</v>
      </c>
      <c r="I809" s="2" t="s">
        <v>42</v>
      </c>
      <c r="J809" s="2" t="s">
        <v>54</v>
      </c>
      <c r="K809">
        <v>2</v>
      </c>
      <c r="L809" s="2" t="s">
        <v>49</v>
      </c>
      <c r="M809" s="2" t="s">
        <v>66</v>
      </c>
      <c r="N809" t="b">
        <v>0</v>
      </c>
      <c r="O809">
        <v>104</v>
      </c>
      <c r="P809" s="2" t="s">
        <v>50</v>
      </c>
      <c r="Q809">
        <v>9</v>
      </c>
      <c r="R809">
        <v>3</v>
      </c>
      <c r="S809">
        <v>2667</v>
      </c>
      <c r="T809" s="2" t="s">
        <v>38</v>
      </c>
    </row>
    <row r="810" spans="1:20" x14ac:dyDescent="0.3">
      <c r="A810" s="1">
        <v>45605</v>
      </c>
      <c r="B810" s="2" t="s">
        <v>68</v>
      </c>
      <c r="C810" s="2" t="s">
        <v>56</v>
      </c>
      <c r="D810" s="2" t="s">
        <v>33</v>
      </c>
      <c r="E810">
        <v>1597</v>
      </c>
      <c r="F810" t="b">
        <v>0</v>
      </c>
      <c r="G810" s="2" t="s">
        <v>65</v>
      </c>
      <c r="H810" s="2" t="s">
        <v>41</v>
      </c>
      <c r="I810" s="2" t="s">
        <v>47</v>
      </c>
      <c r="J810" s="2" t="s">
        <v>43</v>
      </c>
      <c r="K810">
        <v>4</v>
      </c>
      <c r="L810" s="2" t="s">
        <v>36</v>
      </c>
      <c r="M810" s="2" t="s">
        <v>73</v>
      </c>
      <c r="N810" t="b">
        <v>0</v>
      </c>
      <c r="O810">
        <v>113</v>
      </c>
      <c r="P810" s="2" t="s">
        <v>67</v>
      </c>
      <c r="Q810">
        <v>6</v>
      </c>
      <c r="R810">
        <v>3</v>
      </c>
      <c r="S810">
        <v>2710</v>
      </c>
      <c r="T810" s="2" t="s">
        <v>38</v>
      </c>
    </row>
    <row r="811" spans="1:20" x14ac:dyDescent="0.3">
      <c r="A811" s="1">
        <v>45606</v>
      </c>
      <c r="B811" s="2" t="s">
        <v>77</v>
      </c>
      <c r="C811" s="2" t="s">
        <v>56</v>
      </c>
      <c r="D811" s="2" t="s">
        <v>53</v>
      </c>
      <c r="E811">
        <v>2695</v>
      </c>
      <c r="F811" t="b">
        <v>0</v>
      </c>
      <c r="G811" s="2" t="s">
        <v>23</v>
      </c>
      <c r="H811" s="2" t="s">
        <v>35</v>
      </c>
      <c r="I811" s="2" t="s">
        <v>47</v>
      </c>
      <c r="J811" s="2" t="s">
        <v>54</v>
      </c>
      <c r="K811">
        <v>5</v>
      </c>
      <c r="L811" s="2" t="s">
        <v>49</v>
      </c>
      <c r="M811" s="2" t="s">
        <v>73</v>
      </c>
      <c r="N811" t="b">
        <v>1</v>
      </c>
      <c r="O811">
        <v>38</v>
      </c>
      <c r="P811" s="2" t="s">
        <v>50</v>
      </c>
      <c r="Q811">
        <v>2</v>
      </c>
      <c r="R811">
        <v>3</v>
      </c>
      <c r="S811">
        <v>3305</v>
      </c>
      <c r="T811" s="2" t="s">
        <v>51</v>
      </c>
    </row>
    <row r="812" spans="1:20" x14ac:dyDescent="0.3">
      <c r="A812" s="1">
        <v>45606</v>
      </c>
      <c r="B812" s="2" t="s">
        <v>68</v>
      </c>
      <c r="C812" s="2" t="s">
        <v>56</v>
      </c>
      <c r="D812" s="2" t="s">
        <v>33</v>
      </c>
      <c r="E812">
        <v>1596</v>
      </c>
      <c r="F812" t="b">
        <v>1</v>
      </c>
      <c r="G812" s="2" t="s">
        <v>64</v>
      </c>
      <c r="H812" s="2" t="s">
        <v>41</v>
      </c>
      <c r="I812" s="2" t="s">
        <v>59</v>
      </c>
      <c r="J812" s="2" t="s">
        <v>43</v>
      </c>
      <c r="K812">
        <v>5</v>
      </c>
      <c r="L812" s="2" t="s">
        <v>36</v>
      </c>
      <c r="M812" s="2" t="s">
        <v>66</v>
      </c>
      <c r="N812" t="b">
        <v>1</v>
      </c>
      <c r="O812">
        <v>9</v>
      </c>
      <c r="P812" s="2" t="s">
        <v>67</v>
      </c>
      <c r="Q812">
        <v>8</v>
      </c>
      <c r="R812">
        <v>3</v>
      </c>
      <c r="S812">
        <v>610</v>
      </c>
      <c r="T812" s="2" t="s">
        <v>51</v>
      </c>
    </row>
    <row r="813" spans="1:20" x14ac:dyDescent="0.3">
      <c r="A813" s="1">
        <v>45606</v>
      </c>
      <c r="B813" s="2" t="s">
        <v>76</v>
      </c>
      <c r="C813" s="2" t="s">
        <v>45</v>
      </c>
      <c r="D813" s="2" t="s">
        <v>57</v>
      </c>
      <c r="E813">
        <v>1000</v>
      </c>
      <c r="F813" t="b">
        <v>1</v>
      </c>
      <c r="G813" s="2" t="s">
        <v>34</v>
      </c>
      <c r="H813" s="2" t="s">
        <v>35</v>
      </c>
      <c r="I813" s="2" t="s">
        <v>47</v>
      </c>
      <c r="J813" s="2" t="s">
        <v>26</v>
      </c>
      <c r="K813">
        <v>4</v>
      </c>
      <c r="L813" s="2" t="s">
        <v>27</v>
      </c>
      <c r="M813" s="2" t="s">
        <v>58</v>
      </c>
      <c r="N813" t="b">
        <v>1</v>
      </c>
      <c r="O813">
        <v>69</v>
      </c>
      <c r="P813" s="2" t="s">
        <v>63</v>
      </c>
      <c r="Q813">
        <v>3</v>
      </c>
      <c r="R813">
        <v>2</v>
      </c>
      <c r="S813">
        <v>4337</v>
      </c>
      <c r="T813" s="2" t="s">
        <v>51</v>
      </c>
    </row>
    <row r="814" spans="1:20" x14ac:dyDescent="0.3">
      <c r="A814" s="1">
        <v>45606</v>
      </c>
      <c r="B814" s="2" t="s">
        <v>20</v>
      </c>
      <c r="C814" s="2" t="s">
        <v>32</v>
      </c>
      <c r="D814" s="2" t="s">
        <v>33</v>
      </c>
      <c r="E814">
        <v>3645</v>
      </c>
      <c r="F814" t="b">
        <v>0</v>
      </c>
      <c r="G814" s="2" t="s">
        <v>34</v>
      </c>
      <c r="H814" s="2" t="s">
        <v>41</v>
      </c>
      <c r="I814" s="2" t="s">
        <v>42</v>
      </c>
      <c r="J814" s="2" t="s">
        <v>26</v>
      </c>
      <c r="K814">
        <v>4</v>
      </c>
      <c r="L814" s="2" t="s">
        <v>27</v>
      </c>
      <c r="M814" s="2" t="s">
        <v>73</v>
      </c>
      <c r="N814" t="b">
        <v>0</v>
      </c>
      <c r="O814">
        <v>118</v>
      </c>
      <c r="P814" s="2" t="s">
        <v>67</v>
      </c>
      <c r="Q814">
        <v>4</v>
      </c>
      <c r="R814">
        <v>3</v>
      </c>
      <c r="S814">
        <v>4577</v>
      </c>
      <c r="T814" s="2" t="s">
        <v>30</v>
      </c>
    </row>
    <row r="815" spans="1:20" x14ac:dyDescent="0.3">
      <c r="A815" s="1">
        <v>45606</v>
      </c>
      <c r="B815" s="2" t="s">
        <v>77</v>
      </c>
      <c r="C815" s="2" t="s">
        <v>32</v>
      </c>
      <c r="D815" s="2" t="s">
        <v>57</v>
      </c>
      <c r="E815">
        <v>1000</v>
      </c>
      <c r="F815" t="b">
        <v>0</v>
      </c>
      <c r="G815" s="2" t="s">
        <v>65</v>
      </c>
      <c r="H815" s="2" t="s">
        <v>24</v>
      </c>
      <c r="I815" s="2" t="s">
        <v>42</v>
      </c>
      <c r="J815" s="2" t="s">
        <v>48</v>
      </c>
      <c r="K815">
        <v>4</v>
      </c>
      <c r="L815" s="2" t="s">
        <v>27</v>
      </c>
      <c r="M815" s="2" t="s">
        <v>28</v>
      </c>
      <c r="N815" t="b">
        <v>1</v>
      </c>
      <c r="O815">
        <v>90</v>
      </c>
      <c r="P815" s="2" t="s">
        <v>67</v>
      </c>
      <c r="Q815">
        <v>3</v>
      </c>
      <c r="R815">
        <v>1</v>
      </c>
      <c r="S815">
        <v>2886</v>
      </c>
      <c r="T815" s="2" t="s">
        <v>51</v>
      </c>
    </row>
    <row r="816" spans="1:20" x14ac:dyDescent="0.3">
      <c r="A816" s="1">
        <v>45607</v>
      </c>
      <c r="B816" s="2" t="s">
        <v>71</v>
      </c>
      <c r="C816" s="2" t="s">
        <v>45</v>
      </c>
      <c r="D816" s="2" t="s">
        <v>33</v>
      </c>
      <c r="E816">
        <v>2493</v>
      </c>
      <c r="F816" t="b">
        <v>0</v>
      </c>
      <c r="G816" s="2" t="s">
        <v>64</v>
      </c>
      <c r="H816" s="2" t="s">
        <v>35</v>
      </c>
      <c r="I816" s="2" t="s">
        <v>42</v>
      </c>
      <c r="J816" s="2" t="s">
        <v>54</v>
      </c>
      <c r="K816">
        <v>3</v>
      </c>
      <c r="L816" s="2" t="s">
        <v>27</v>
      </c>
      <c r="M816" s="2" t="s">
        <v>28</v>
      </c>
      <c r="N816" t="b">
        <v>1</v>
      </c>
      <c r="O816">
        <v>22</v>
      </c>
      <c r="P816" s="2" t="s">
        <v>37</v>
      </c>
      <c r="Q816">
        <v>9</v>
      </c>
      <c r="R816">
        <v>3</v>
      </c>
      <c r="S816">
        <v>2517</v>
      </c>
      <c r="T816" s="2" t="s">
        <v>38</v>
      </c>
    </row>
    <row r="817" spans="1:20" x14ac:dyDescent="0.3">
      <c r="A817" s="1">
        <v>45607</v>
      </c>
      <c r="B817" s="2" t="s">
        <v>71</v>
      </c>
      <c r="C817" s="2" t="s">
        <v>21</v>
      </c>
      <c r="D817" s="2" t="s">
        <v>22</v>
      </c>
      <c r="E817">
        <v>7463</v>
      </c>
      <c r="F817" t="b">
        <v>1</v>
      </c>
      <c r="G817" s="2" t="s">
        <v>34</v>
      </c>
      <c r="H817" s="2" t="s">
        <v>70</v>
      </c>
      <c r="I817" s="2" t="s">
        <v>25</v>
      </c>
      <c r="J817" s="2" t="s">
        <v>43</v>
      </c>
      <c r="K817">
        <v>5</v>
      </c>
      <c r="L817" s="2" t="s">
        <v>49</v>
      </c>
      <c r="M817" s="2" t="s">
        <v>73</v>
      </c>
      <c r="N817" t="b">
        <v>0</v>
      </c>
      <c r="O817">
        <v>120</v>
      </c>
      <c r="P817" s="2" t="s">
        <v>37</v>
      </c>
      <c r="Q817">
        <v>2</v>
      </c>
      <c r="R817">
        <v>3</v>
      </c>
      <c r="S817">
        <v>1633</v>
      </c>
      <c r="T817" s="2" t="s">
        <v>38</v>
      </c>
    </row>
    <row r="818" spans="1:20" x14ac:dyDescent="0.3">
      <c r="A818" s="1">
        <v>45607</v>
      </c>
      <c r="B818" s="2" t="s">
        <v>76</v>
      </c>
      <c r="C818" s="2" t="s">
        <v>32</v>
      </c>
      <c r="D818" s="2" t="s">
        <v>53</v>
      </c>
      <c r="E818">
        <v>6843</v>
      </c>
      <c r="F818" t="b">
        <v>1</v>
      </c>
      <c r="G818" s="2" t="s">
        <v>64</v>
      </c>
      <c r="H818" s="2" t="s">
        <v>70</v>
      </c>
      <c r="I818" s="2" t="s">
        <v>59</v>
      </c>
      <c r="J818" s="2" t="s">
        <v>54</v>
      </c>
      <c r="K818">
        <v>4</v>
      </c>
      <c r="L818" s="2" t="s">
        <v>49</v>
      </c>
      <c r="M818" s="2" t="s">
        <v>58</v>
      </c>
      <c r="N818" t="b">
        <v>1</v>
      </c>
      <c r="O818">
        <v>57</v>
      </c>
      <c r="P818" s="2" t="s">
        <v>63</v>
      </c>
      <c r="Q818">
        <v>10</v>
      </c>
      <c r="R818">
        <v>2</v>
      </c>
      <c r="S818">
        <v>2865</v>
      </c>
      <c r="T818" s="2" t="s">
        <v>38</v>
      </c>
    </row>
    <row r="819" spans="1:20" x14ac:dyDescent="0.3">
      <c r="A819" s="1">
        <v>45607</v>
      </c>
      <c r="B819" s="2" t="s">
        <v>39</v>
      </c>
      <c r="C819" s="2" t="s">
        <v>45</v>
      </c>
      <c r="D819" s="2" t="s">
        <v>46</v>
      </c>
      <c r="E819">
        <v>4152</v>
      </c>
      <c r="F819" t="b">
        <v>0</v>
      </c>
      <c r="G819" s="2" t="s">
        <v>64</v>
      </c>
      <c r="H819" s="2" t="s">
        <v>70</v>
      </c>
      <c r="I819" s="2" t="s">
        <v>59</v>
      </c>
      <c r="J819" s="2" t="s">
        <v>54</v>
      </c>
      <c r="K819">
        <v>3</v>
      </c>
      <c r="L819" s="2" t="s">
        <v>27</v>
      </c>
      <c r="M819" s="2" t="s">
        <v>28</v>
      </c>
      <c r="N819" t="b">
        <v>1</v>
      </c>
      <c r="O819">
        <v>70</v>
      </c>
      <c r="P819" s="2" t="s">
        <v>63</v>
      </c>
      <c r="Q819">
        <v>2</v>
      </c>
      <c r="R819">
        <v>1</v>
      </c>
      <c r="S819">
        <v>4509</v>
      </c>
      <c r="T819" s="2" t="s">
        <v>38</v>
      </c>
    </row>
    <row r="820" spans="1:20" x14ac:dyDescent="0.3">
      <c r="A820" s="1">
        <v>45607</v>
      </c>
      <c r="B820" s="2" t="s">
        <v>72</v>
      </c>
      <c r="C820" s="2" t="s">
        <v>60</v>
      </c>
      <c r="D820" s="2" t="s">
        <v>61</v>
      </c>
      <c r="E820">
        <v>1000</v>
      </c>
      <c r="F820" t="b">
        <v>1</v>
      </c>
      <c r="G820" s="2" t="s">
        <v>23</v>
      </c>
      <c r="H820" s="2" t="s">
        <v>35</v>
      </c>
      <c r="I820" s="2" t="s">
        <v>59</v>
      </c>
      <c r="J820" s="2" t="s">
        <v>54</v>
      </c>
      <c r="K820">
        <v>1</v>
      </c>
      <c r="L820" s="2" t="s">
        <v>36</v>
      </c>
      <c r="M820" s="2" t="s">
        <v>66</v>
      </c>
      <c r="N820" t="b">
        <v>0</v>
      </c>
      <c r="O820">
        <v>40</v>
      </c>
      <c r="P820" s="2" t="s">
        <v>37</v>
      </c>
      <c r="Q820">
        <v>5</v>
      </c>
      <c r="R820">
        <v>3</v>
      </c>
      <c r="S820">
        <v>2416</v>
      </c>
      <c r="T820" s="2" t="s">
        <v>38</v>
      </c>
    </row>
    <row r="821" spans="1:20" x14ac:dyDescent="0.3">
      <c r="A821" s="1">
        <v>45608</v>
      </c>
      <c r="B821" s="2" t="s">
        <v>52</v>
      </c>
      <c r="C821" s="2" t="s">
        <v>32</v>
      </c>
      <c r="D821" s="2" t="s">
        <v>57</v>
      </c>
      <c r="E821">
        <v>1000</v>
      </c>
      <c r="F821" t="b">
        <v>0</v>
      </c>
      <c r="G821" s="2" t="s">
        <v>34</v>
      </c>
      <c r="H821" s="2" t="s">
        <v>70</v>
      </c>
      <c r="I821" s="2" t="s">
        <v>59</v>
      </c>
      <c r="J821" s="2" t="s">
        <v>54</v>
      </c>
      <c r="K821">
        <v>3</v>
      </c>
      <c r="L821" s="2" t="s">
        <v>49</v>
      </c>
      <c r="M821" s="2" t="s">
        <v>66</v>
      </c>
      <c r="N821" t="b">
        <v>1</v>
      </c>
      <c r="O821">
        <v>92</v>
      </c>
      <c r="P821" s="2" t="s">
        <v>50</v>
      </c>
      <c r="Q821">
        <v>4</v>
      </c>
      <c r="R821">
        <v>3</v>
      </c>
      <c r="S821">
        <v>1902</v>
      </c>
      <c r="T821" s="2" t="s">
        <v>51</v>
      </c>
    </row>
    <row r="822" spans="1:20" x14ac:dyDescent="0.3">
      <c r="A822" s="1">
        <v>45609</v>
      </c>
      <c r="B822" s="2" t="s">
        <v>31</v>
      </c>
      <c r="C822" s="2" t="s">
        <v>32</v>
      </c>
      <c r="D822" s="2" t="s">
        <v>33</v>
      </c>
      <c r="E822">
        <v>4380</v>
      </c>
      <c r="F822" t="b">
        <v>0</v>
      </c>
      <c r="G822" s="2" t="s">
        <v>34</v>
      </c>
      <c r="H822" s="2" t="s">
        <v>35</v>
      </c>
      <c r="I822" s="2" t="s">
        <v>25</v>
      </c>
      <c r="J822" s="2" t="s">
        <v>26</v>
      </c>
      <c r="K822">
        <v>3</v>
      </c>
      <c r="L822" s="2" t="s">
        <v>36</v>
      </c>
      <c r="M822" s="2" t="s">
        <v>28</v>
      </c>
      <c r="N822" t="b">
        <v>0</v>
      </c>
      <c r="O822">
        <v>4</v>
      </c>
      <c r="P822" s="2" t="s">
        <v>37</v>
      </c>
      <c r="Q822">
        <v>2</v>
      </c>
      <c r="R822">
        <v>3</v>
      </c>
      <c r="S822">
        <v>2013</v>
      </c>
      <c r="T822" s="2" t="s">
        <v>38</v>
      </c>
    </row>
    <row r="823" spans="1:20" x14ac:dyDescent="0.3">
      <c r="A823" s="1">
        <v>45609</v>
      </c>
      <c r="B823" s="2" t="s">
        <v>68</v>
      </c>
      <c r="C823" s="2" t="s">
        <v>21</v>
      </c>
      <c r="D823" s="2" t="s">
        <v>33</v>
      </c>
      <c r="E823">
        <v>3647</v>
      </c>
      <c r="F823" t="b">
        <v>1</v>
      </c>
      <c r="G823" s="2" t="s">
        <v>40</v>
      </c>
      <c r="H823" s="2" t="s">
        <v>24</v>
      </c>
      <c r="I823" s="2" t="s">
        <v>42</v>
      </c>
      <c r="J823" s="2" t="s">
        <v>48</v>
      </c>
      <c r="K823">
        <v>3</v>
      </c>
      <c r="L823" s="2" t="s">
        <v>49</v>
      </c>
      <c r="M823" s="2" t="s">
        <v>58</v>
      </c>
      <c r="N823" t="b">
        <v>0</v>
      </c>
      <c r="O823">
        <v>64</v>
      </c>
      <c r="P823" s="2" t="s">
        <v>29</v>
      </c>
      <c r="Q823">
        <v>7</v>
      </c>
      <c r="R823">
        <v>1</v>
      </c>
      <c r="S823">
        <v>1072</v>
      </c>
      <c r="T823" s="2" t="s">
        <v>38</v>
      </c>
    </row>
    <row r="824" spans="1:20" x14ac:dyDescent="0.3">
      <c r="A824" s="1">
        <v>45609</v>
      </c>
      <c r="B824" s="2" t="s">
        <v>71</v>
      </c>
      <c r="C824" s="2" t="s">
        <v>56</v>
      </c>
      <c r="D824" s="2" t="s">
        <v>22</v>
      </c>
      <c r="E824">
        <v>8691</v>
      </c>
      <c r="F824" t="b">
        <v>1</v>
      </c>
      <c r="G824" s="2" t="s">
        <v>65</v>
      </c>
      <c r="H824" s="2" t="s">
        <v>70</v>
      </c>
      <c r="I824" s="2" t="s">
        <v>25</v>
      </c>
      <c r="J824" s="2" t="s">
        <v>43</v>
      </c>
      <c r="K824">
        <v>5</v>
      </c>
      <c r="L824" s="2" t="s">
        <v>49</v>
      </c>
      <c r="M824" s="2" t="s">
        <v>73</v>
      </c>
      <c r="N824" t="b">
        <v>1</v>
      </c>
      <c r="O824">
        <v>35</v>
      </c>
      <c r="P824" s="2" t="s">
        <v>29</v>
      </c>
      <c r="Q824">
        <v>6</v>
      </c>
      <c r="R824">
        <v>2</v>
      </c>
      <c r="S824">
        <v>2976</v>
      </c>
      <c r="T824" s="2" t="s">
        <v>38</v>
      </c>
    </row>
    <row r="825" spans="1:20" x14ac:dyDescent="0.3">
      <c r="A825" s="1">
        <v>45609</v>
      </c>
      <c r="B825" s="2" t="s">
        <v>69</v>
      </c>
      <c r="C825" s="2" t="s">
        <v>60</v>
      </c>
      <c r="D825" s="2" t="s">
        <v>46</v>
      </c>
      <c r="E825">
        <v>3130</v>
      </c>
      <c r="F825" t="b">
        <v>0</v>
      </c>
      <c r="G825" s="2" t="s">
        <v>23</v>
      </c>
      <c r="H825" s="2" t="s">
        <v>41</v>
      </c>
      <c r="I825" s="2" t="s">
        <v>59</v>
      </c>
      <c r="J825" s="2" t="s">
        <v>48</v>
      </c>
      <c r="K825">
        <v>0</v>
      </c>
      <c r="L825" s="2" t="s">
        <v>36</v>
      </c>
      <c r="M825" s="2" t="s">
        <v>73</v>
      </c>
      <c r="N825" t="b">
        <v>1</v>
      </c>
      <c r="O825">
        <v>105</v>
      </c>
      <c r="P825" s="2" t="s">
        <v>29</v>
      </c>
      <c r="Q825">
        <v>10</v>
      </c>
      <c r="R825">
        <v>1</v>
      </c>
      <c r="S825">
        <v>681</v>
      </c>
      <c r="T825" s="2" t="s">
        <v>38</v>
      </c>
    </row>
    <row r="826" spans="1:20" x14ac:dyDescent="0.3">
      <c r="A826" s="1">
        <v>45609</v>
      </c>
      <c r="B826" s="2" t="s">
        <v>68</v>
      </c>
      <c r="C826" s="2" t="s">
        <v>60</v>
      </c>
      <c r="D826" s="2" t="s">
        <v>22</v>
      </c>
      <c r="E826">
        <v>5589</v>
      </c>
      <c r="F826" t="b">
        <v>1</v>
      </c>
      <c r="G826" s="2" t="s">
        <v>65</v>
      </c>
      <c r="H826" s="2" t="s">
        <v>35</v>
      </c>
      <c r="I826" s="2" t="s">
        <v>47</v>
      </c>
      <c r="J826" s="2" t="s">
        <v>43</v>
      </c>
      <c r="K826">
        <v>0</v>
      </c>
      <c r="L826" s="2" t="s">
        <v>49</v>
      </c>
      <c r="M826" s="2" t="s">
        <v>66</v>
      </c>
      <c r="N826" t="b">
        <v>1</v>
      </c>
      <c r="O826">
        <v>18</v>
      </c>
      <c r="P826" s="2" t="s">
        <v>37</v>
      </c>
      <c r="Q826">
        <v>9</v>
      </c>
      <c r="R826">
        <v>1</v>
      </c>
      <c r="S826">
        <v>1341</v>
      </c>
      <c r="T826" s="2" t="s">
        <v>38</v>
      </c>
    </row>
    <row r="827" spans="1:20" x14ac:dyDescent="0.3">
      <c r="A827" s="1">
        <v>45609</v>
      </c>
      <c r="B827" s="2" t="s">
        <v>71</v>
      </c>
      <c r="C827" s="2" t="s">
        <v>45</v>
      </c>
      <c r="D827" s="2" t="s">
        <v>53</v>
      </c>
      <c r="E827">
        <v>5996</v>
      </c>
      <c r="F827" t="b">
        <v>1</v>
      </c>
      <c r="G827" s="2" t="s">
        <v>23</v>
      </c>
      <c r="H827" s="2" t="s">
        <v>41</v>
      </c>
      <c r="I827" s="2" t="s">
        <v>47</v>
      </c>
      <c r="J827" s="2" t="s">
        <v>54</v>
      </c>
      <c r="K827">
        <v>5</v>
      </c>
      <c r="L827" s="2" t="s">
        <v>27</v>
      </c>
      <c r="M827" s="2" t="s">
        <v>66</v>
      </c>
      <c r="N827" t="b">
        <v>0</v>
      </c>
      <c r="O827">
        <v>36</v>
      </c>
      <c r="P827" s="2" t="s">
        <v>37</v>
      </c>
      <c r="Q827">
        <v>10</v>
      </c>
      <c r="R827">
        <v>1</v>
      </c>
      <c r="S827">
        <v>3192</v>
      </c>
      <c r="T827" s="2" t="s">
        <v>51</v>
      </c>
    </row>
    <row r="828" spans="1:20" x14ac:dyDescent="0.3">
      <c r="A828" s="1">
        <v>45610</v>
      </c>
      <c r="B828" s="2" t="s">
        <v>68</v>
      </c>
      <c r="C828" s="2" t="s">
        <v>56</v>
      </c>
      <c r="D828" s="2" t="s">
        <v>57</v>
      </c>
      <c r="E828">
        <v>1000</v>
      </c>
      <c r="F828" t="b">
        <v>0</v>
      </c>
      <c r="G828" s="2" t="s">
        <v>23</v>
      </c>
      <c r="H828" s="2" t="s">
        <v>41</v>
      </c>
      <c r="I828" s="2" t="s">
        <v>47</v>
      </c>
      <c r="J828" s="2" t="s">
        <v>43</v>
      </c>
      <c r="K828">
        <v>1</v>
      </c>
      <c r="L828" s="2" t="s">
        <v>49</v>
      </c>
      <c r="M828" s="2" t="s">
        <v>73</v>
      </c>
      <c r="N828" t="b">
        <v>1</v>
      </c>
      <c r="O828">
        <v>20</v>
      </c>
      <c r="P828" s="2" t="s">
        <v>63</v>
      </c>
      <c r="Q828">
        <v>9</v>
      </c>
      <c r="R828">
        <v>1</v>
      </c>
      <c r="S828">
        <v>2046</v>
      </c>
      <c r="T828" s="2" t="s">
        <v>38</v>
      </c>
    </row>
    <row r="829" spans="1:20" x14ac:dyDescent="0.3">
      <c r="A829" s="1">
        <v>45610</v>
      </c>
      <c r="B829" s="2" t="s">
        <v>74</v>
      </c>
      <c r="C829" s="2" t="s">
        <v>32</v>
      </c>
      <c r="D829" s="2" t="s">
        <v>53</v>
      </c>
      <c r="E829">
        <v>5718</v>
      </c>
      <c r="F829" t="b">
        <v>0</v>
      </c>
      <c r="G829" s="2" t="s">
        <v>65</v>
      </c>
      <c r="H829" s="2" t="s">
        <v>41</v>
      </c>
      <c r="I829" s="2" t="s">
        <v>59</v>
      </c>
      <c r="J829" s="2" t="s">
        <v>54</v>
      </c>
      <c r="K829">
        <v>4</v>
      </c>
      <c r="L829" s="2" t="s">
        <v>49</v>
      </c>
      <c r="M829" s="2" t="s">
        <v>28</v>
      </c>
      <c r="N829" t="b">
        <v>1</v>
      </c>
      <c r="O829">
        <v>35</v>
      </c>
      <c r="P829" s="2" t="s">
        <v>29</v>
      </c>
      <c r="Q829">
        <v>10</v>
      </c>
      <c r="R829">
        <v>2</v>
      </c>
      <c r="S829">
        <v>3013</v>
      </c>
      <c r="T829" s="2" t="s">
        <v>30</v>
      </c>
    </row>
    <row r="830" spans="1:20" x14ac:dyDescent="0.3">
      <c r="A830" s="1">
        <v>45610</v>
      </c>
      <c r="B830" s="2" t="s">
        <v>77</v>
      </c>
      <c r="C830" s="2" t="s">
        <v>56</v>
      </c>
      <c r="D830" s="2" t="s">
        <v>22</v>
      </c>
      <c r="E830">
        <v>5353</v>
      </c>
      <c r="F830" t="b">
        <v>0</v>
      </c>
      <c r="G830" s="2" t="s">
        <v>23</v>
      </c>
      <c r="H830" s="2" t="s">
        <v>35</v>
      </c>
      <c r="I830" s="2" t="s">
        <v>59</v>
      </c>
      <c r="J830" s="2" t="s">
        <v>26</v>
      </c>
      <c r="K830">
        <v>9</v>
      </c>
      <c r="L830" s="2" t="s">
        <v>27</v>
      </c>
      <c r="M830" s="2" t="s">
        <v>66</v>
      </c>
      <c r="N830" t="b">
        <v>1</v>
      </c>
      <c r="O830">
        <v>46</v>
      </c>
      <c r="P830" s="2" t="s">
        <v>37</v>
      </c>
      <c r="Q830">
        <v>8</v>
      </c>
      <c r="R830">
        <v>3</v>
      </c>
      <c r="S830">
        <v>2210</v>
      </c>
      <c r="T830" s="2" t="s">
        <v>51</v>
      </c>
    </row>
    <row r="831" spans="1:20" x14ac:dyDescent="0.3">
      <c r="A831" s="1">
        <v>45611</v>
      </c>
      <c r="B831" s="2" t="s">
        <v>31</v>
      </c>
      <c r="C831" s="2" t="s">
        <v>45</v>
      </c>
      <c r="D831" s="2" t="s">
        <v>53</v>
      </c>
      <c r="E831">
        <v>6405</v>
      </c>
      <c r="F831" t="b">
        <v>0</v>
      </c>
      <c r="G831" s="2" t="s">
        <v>23</v>
      </c>
      <c r="H831" s="2" t="s">
        <v>35</v>
      </c>
      <c r="I831" s="2" t="s">
        <v>47</v>
      </c>
      <c r="J831" s="2" t="s">
        <v>26</v>
      </c>
      <c r="K831">
        <v>5</v>
      </c>
      <c r="L831" s="2" t="s">
        <v>49</v>
      </c>
      <c r="M831" s="2" t="s">
        <v>58</v>
      </c>
      <c r="N831" t="b">
        <v>1</v>
      </c>
      <c r="O831">
        <v>92</v>
      </c>
      <c r="P831" s="2" t="s">
        <v>29</v>
      </c>
      <c r="Q831">
        <v>2</v>
      </c>
      <c r="R831">
        <v>1</v>
      </c>
      <c r="S831">
        <v>3865</v>
      </c>
      <c r="T831" s="2" t="s">
        <v>51</v>
      </c>
    </row>
    <row r="832" spans="1:20" x14ac:dyDescent="0.3">
      <c r="A832" s="1">
        <v>45611</v>
      </c>
      <c r="B832" s="2" t="s">
        <v>20</v>
      </c>
      <c r="C832" s="2" t="s">
        <v>60</v>
      </c>
      <c r="D832" s="2" t="s">
        <v>22</v>
      </c>
      <c r="E832">
        <v>8363</v>
      </c>
      <c r="F832" t="b">
        <v>0</v>
      </c>
      <c r="G832" s="2" t="s">
        <v>23</v>
      </c>
      <c r="H832" s="2" t="s">
        <v>70</v>
      </c>
      <c r="I832" s="2" t="s">
        <v>25</v>
      </c>
      <c r="J832" s="2" t="s">
        <v>54</v>
      </c>
      <c r="K832">
        <v>1</v>
      </c>
      <c r="L832" s="2" t="s">
        <v>49</v>
      </c>
      <c r="M832" s="2" t="s">
        <v>66</v>
      </c>
      <c r="N832" t="b">
        <v>0</v>
      </c>
      <c r="O832">
        <v>70</v>
      </c>
      <c r="P832" s="2" t="s">
        <v>29</v>
      </c>
      <c r="Q832">
        <v>7</v>
      </c>
      <c r="R832">
        <v>3</v>
      </c>
      <c r="S832">
        <v>1381</v>
      </c>
      <c r="T832" s="2" t="s">
        <v>38</v>
      </c>
    </row>
    <row r="833" spans="1:20" x14ac:dyDescent="0.3">
      <c r="A833" s="1">
        <v>45612</v>
      </c>
      <c r="B833" s="2" t="s">
        <v>62</v>
      </c>
      <c r="C833" s="2" t="s">
        <v>32</v>
      </c>
      <c r="D833" s="2" t="s">
        <v>46</v>
      </c>
      <c r="E833">
        <v>4872</v>
      </c>
      <c r="F833" t="b">
        <v>0</v>
      </c>
      <c r="G833" s="2" t="s">
        <v>34</v>
      </c>
      <c r="H833" s="2" t="s">
        <v>24</v>
      </c>
      <c r="I833" s="2" t="s">
        <v>25</v>
      </c>
      <c r="J833" s="2" t="s">
        <v>48</v>
      </c>
      <c r="K833">
        <v>1</v>
      </c>
      <c r="L833" s="2" t="s">
        <v>27</v>
      </c>
      <c r="M833" s="2" t="s">
        <v>28</v>
      </c>
      <c r="N833" t="b">
        <v>0</v>
      </c>
      <c r="O833">
        <v>19</v>
      </c>
      <c r="P833" s="2" t="s">
        <v>63</v>
      </c>
      <c r="Q833">
        <v>5</v>
      </c>
      <c r="R833">
        <v>1</v>
      </c>
      <c r="S833">
        <v>4258</v>
      </c>
      <c r="T833" s="2" t="s">
        <v>38</v>
      </c>
    </row>
    <row r="834" spans="1:20" x14ac:dyDescent="0.3">
      <c r="A834" s="1">
        <v>45612</v>
      </c>
      <c r="B834" s="2" t="s">
        <v>62</v>
      </c>
      <c r="C834" s="2" t="s">
        <v>56</v>
      </c>
      <c r="D834" s="2" t="s">
        <v>33</v>
      </c>
      <c r="E834">
        <v>4488</v>
      </c>
      <c r="F834" t="b">
        <v>0</v>
      </c>
      <c r="G834" s="2" t="s">
        <v>23</v>
      </c>
      <c r="H834" s="2" t="s">
        <v>24</v>
      </c>
      <c r="I834" s="2" t="s">
        <v>42</v>
      </c>
      <c r="J834" s="2" t="s">
        <v>48</v>
      </c>
      <c r="K834">
        <v>4</v>
      </c>
      <c r="L834" s="2" t="s">
        <v>49</v>
      </c>
      <c r="M834" s="2" t="s">
        <v>58</v>
      </c>
      <c r="N834" t="b">
        <v>1</v>
      </c>
      <c r="O834">
        <v>92</v>
      </c>
      <c r="P834" s="2" t="s">
        <v>29</v>
      </c>
      <c r="Q834">
        <v>1</v>
      </c>
      <c r="R834">
        <v>1</v>
      </c>
      <c r="S834">
        <v>2315</v>
      </c>
      <c r="T834" s="2" t="s">
        <v>30</v>
      </c>
    </row>
    <row r="835" spans="1:20" x14ac:dyDescent="0.3">
      <c r="A835" s="1">
        <v>45612</v>
      </c>
      <c r="B835" s="2" t="s">
        <v>31</v>
      </c>
      <c r="C835" s="2" t="s">
        <v>32</v>
      </c>
      <c r="D835" s="2" t="s">
        <v>22</v>
      </c>
      <c r="E835">
        <v>6036</v>
      </c>
      <c r="F835" t="b">
        <v>0</v>
      </c>
      <c r="G835" s="2" t="s">
        <v>34</v>
      </c>
      <c r="H835" s="2" t="s">
        <v>70</v>
      </c>
      <c r="I835" s="2" t="s">
        <v>42</v>
      </c>
      <c r="J835" s="2" t="s">
        <v>48</v>
      </c>
      <c r="K835">
        <v>5</v>
      </c>
      <c r="L835" s="2" t="s">
        <v>27</v>
      </c>
      <c r="M835" s="2" t="s">
        <v>28</v>
      </c>
      <c r="N835" t="b">
        <v>0</v>
      </c>
      <c r="O835">
        <v>34</v>
      </c>
      <c r="P835" s="2" t="s">
        <v>63</v>
      </c>
      <c r="Q835">
        <v>6</v>
      </c>
      <c r="R835">
        <v>3</v>
      </c>
      <c r="S835">
        <v>4248</v>
      </c>
      <c r="T835" s="2" t="s">
        <v>30</v>
      </c>
    </row>
    <row r="836" spans="1:20" x14ac:dyDescent="0.3">
      <c r="A836" s="1">
        <v>45612</v>
      </c>
      <c r="B836" s="2" t="s">
        <v>69</v>
      </c>
      <c r="C836" s="2" t="s">
        <v>32</v>
      </c>
      <c r="D836" s="2" t="s">
        <v>46</v>
      </c>
      <c r="E836">
        <v>2227</v>
      </c>
      <c r="F836" t="b">
        <v>1</v>
      </c>
      <c r="G836" s="2" t="s">
        <v>65</v>
      </c>
      <c r="H836" s="2" t="s">
        <v>41</v>
      </c>
      <c r="I836" s="2" t="s">
        <v>25</v>
      </c>
      <c r="J836" s="2" t="s">
        <v>54</v>
      </c>
      <c r="K836">
        <v>2</v>
      </c>
      <c r="L836" s="2" t="s">
        <v>27</v>
      </c>
      <c r="M836" s="2" t="s">
        <v>58</v>
      </c>
      <c r="N836" t="b">
        <v>0</v>
      </c>
      <c r="O836">
        <v>97</v>
      </c>
      <c r="P836" s="2" t="s">
        <v>50</v>
      </c>
      <c r="Q836">
        <v>2</v>
      </c>
      <c r="R836">
        <v>3</v>
      </c>
      <c r="S836">
        <v>1620</v>
      </c>
      <c r="T836" s="2" t="s">
        <v>30</v>
      </c>
    </row>
    <row r="837" spans="1:20" x14ac:dyDescent="0.3">
      <c r="A837" s="1">
        <v>45613</v>
      </c>
      <c r="B837" s="2" t="s">
        <v>68</v>
      </c>
      <c r="C837" s="2" t="s">
        <v>60</v>
      </c>
      <c r="D837" s="2" t="s">
        <v>33</v>
      </c>
      <c r="E837">
        <v>3096</v>
      </c>
      <c r="F837" t="b">
        <v>0</v>
      </c>
      <c r="G837" s="2" t="s">
        <v>40</v>
      </c>
      <c r="H837" s="2" t="s">
        <v>70</v>
      </c>
      <c r="I837" s="2" t="s">
        <v>25</v>
      </c>
      <c r="J837" s="2" t="s">
        <v>26</v>
      </c>
      <c r="K837">
        <v>1</v>
      </c>
      <c r="L837" s="2" t="s">
        <v>27</v>
      </c>
      <c r="M837" s="2" t="s">
        <v>73</v>
      </c>
      <c r="N837" t="b">
        <v>1</v>
      </c>
      <c r="O837">
        <v>95</v>
      </c>
      <c r="P837" s="2" t="s">
        <v>50</v>
      </c>
      <c r="Q837">
        <v>8</v>
      </c>
      <c r="R837">
        <v>2</v>
      </c>
      <c r="S837">
        <v>2341</v>
      </c>
      <c r="T837" s="2" t="s">
        <v>30</v>
      </c>
    </row>
    <row r="838" spans="1:20" x14ac:dyDescent="0.3">
      <c r="A838" s="1">
        <v>45613</v>
      </c>
      <c r="B838" s="2" t="s">
        <v>71</v>
      </c>
      <c r="C838" s="2" t="s">
        <v>45</v>
      </c>
      <c r="D838" s="2" t="s">
        <v>22</v>
      </c>
      <c r="E838">
        <v>8321</v>
      </c>
      <c r="F838" t="b">
        <v>1</v>
      </c>
      <c r="G838" s="2" t="s">
        <v>65</v>
      </c>
      <c r="H838" s="2" t="s">
        <v>35</v>
      </c>
      <c r="I838" s="2" t="s">
        <v>25</v>
      </c>
      <c r="J838" s="2" t="s">
        <v>26</v>
      </c>
      <c r="K838">
        <v>4</v>
      </c>
      <c r="L838" s="2" t="s">
        <v>36</v>
      </c>
      <c r="M838" s="2" t="s">
        <v>73</v>
      </c>
      <c r="N838" t="b">
        <v>1</v>
      </c>
      <c r="O838">
        <v>22</v>
      </c>
      <c r="P838" s="2" t="s">
        <v>67</v>
      </c>
      <c r="Q838">
        <v>4</v>
      </c>
      <c r="R838">
        <v>3</v>
      </c>
      <c r="S838">
        <v>1889</v>
      </c>
      <c r="T838" s="2" t="s">
        <v>51</v>
      </c>
    </row>
    <row r="839" spans="1:20" x14ac:dyDescent="0.3">
      <c r="A839" s="1">
        <v>45613</v>
      </c>
      <c r="B839" s="2" t="s">
        <v>74</v>
      </c>
      <c r="C839" s="2" t="s">
        <v>45</v>
      </c>
      <c r="D839" s="2" t="s">
        <v>33</v>
      </c>
      <c r="E839">
        <v>2220</v>
      </c>
      <c r="F839" t="b">
        <v>1</v>
      </c>
      <c r="G839" s="2" t="s">
        <v>64</v>
      </c>
      <c r="H839" s="2" t="s">
        <v>35</v>
      </c>
      <c r="I839" s="2" t="s">
        <v>42</v>
      </c>
      <c r="J839" s="2" t="s">
        <v>54</v>
      </c>
      <c r="K839">
        <v>1</v>
      </c>
      <c r="L839" s="2" t="s">
        <v>36</v>
      </c>
      <c r="M839" s="2" t="s">
        <v>66</v>
      </c>
      <c r="N839" t="b">
        <v>0</v>
      </c>
      <c r="O839">
        <v>91</v>
      </c>
      <c r="P839" s="2" t="s">
        <v>37</v>
      </c>
      <c r="Q839">
        <v>5</v>
      </c>
      <c r="R839">
        <v>3</v>
      </c>
      <c r="S839">
        <v>2753</v>
      </c>
      <c r="T839" s="2" t="s">
        <v>51</v>
      </c>
    </row>
    <row r="840" spans="1:20" x14ac:dyDescent="0.3">
      <c r="A840" s="1">
        <v>45614</v>
      </c>
      <c r="B840" s="2" t="s">
        <v>72</v>
      </c>
      <c r="C840" s="2" t="s">
        <v>56</v>
      </c>
      <c r="D840" s="2" t="s">
        <v>33</v>
      </c>
      <c r="E840">
        <v>4018</v>
      </c>
      <c r="F840" t="b">
        <v>1</v>
      </c>
      <c r="G840" s="2" t="s">
        <v>23</v>
      </c>
      <c r="H840" s="2" t="s">
        <v>70</v>
      </c>
      <c r="I840" s="2" t="s">
        <v>25</v>
      </c>
      <c r="J840" s="2" t="s">
        <v>48</v>
      </c>
      <c r="K840">
        <v>11</v>
      </c>
      <c r="L840" s="2" t="s">
        <v>36</v>
      </c>
      <c r="M840" s="2" t="s">
        <v>58</v>
      </c>
      <c r="N840" t="b">
        <v>0</v>
      </c>
      <c r="O840">
        <v>102</v>
      </c>
      <c r="P840" s="2" t="s">
        <v>37</v>
      </c>
      <c r="Q840">
        <v>5</v>
      </c>
      <c r="R840">
        <v>1</v>
      </c>
      <c r="S840">
        <v>865</v>
      </c>
      <c r="T840" s="2" t="s">
        <v>51</v>
      </c>
    </row>
    <row r="841" spans="1:20" x14ac:dyDescent="0.3">
      <c r="A841" s="1">
        <v>45614</v>
      </c>
      <c r="B841" s="2" t="s">
        <v>75</v>
      </c>
      <c r="C841" s="2" t="s">
        <v>60</v>
      </c>
      <c r="D841" s="2" t="s">
        <v>46</v>
      </c>
      <c r="E841">
        <v>2914</v>
      </c>
      <c r="F841" t="b">
        <v>0</v>
      </c>
      <c r="G841" s="2" t="s">
        <v>34</v>
      </c>
      <c r="H841" s="2" t="s">
        <v>35</v>
      </c>
      <c r="I841" s="2" t="s">
        <v>42</v>
      </c>
      <c r="J841" s="2" t="s">
        <v>54</v>
      </c>
      <c r="K841">
        <v>0</v>
      </c>
      <c r="L841" s="2" t="s">
        <v>49</v>
      </c>
      <c r="M841" s="2" t="s">
        <v>28</v>
      </c>
      <c r="N841" t="b">
        <v>1</v>
      </c>
      <c r="O841">
        <v>113</v>
      </c>
      <c r="P841" s="2" t="s">
        <v>37</v>
      </c>
      <c r="Q841">
        <v>4</v>
      </c>
      <c r="R841">
        <v>1</v>
      </c>
      <c r="S841">
        <v>3495</v>
      </c>
      <c r="T841" s="2" t="s">
        <v>38</v>
      </c>
    </row>
    <row r="842" spans="1:20" x14ac:dyDescent="0.3">
      <c r="A842" s="1">
        <v>45614</v>
      </c>
      <c r="B842" s="2" t="s">
        <v>44</v>
      </c>
      <c r="C842" s="2" t="s">
        <v>45</v>
      </c>
      <c r="D842" s="2" t="s">
        <v>53</v>
      </c>
      <c r="E842">
        <v>5674</v>
      </c>
      <c r="F842" t="b">
        <v>1</v>
      </c>
      <c r="G842" s="2" t="s">
        <v>40</v>
      </c>
      <c r="H842" s="2" t="s">
        <v>35</v>
      </c>
      <c r="I842" s="2" t="s">
        <v>42</v>
      </c>
      <c r="J842" s="2" t="s">
        <v>48</v>
      </c>
      <c r="K842">
        <v>4</v>
      </c>
      <c r="L842" s="2" t="s">
        <v>36</v>
      </c>
      <c r="M842" s="2" t="s">
        <v>73</v>
      </c>
      <c r="N842" t="b">
        <v>0</v>
      </c>
      <c r="O842">
        <v>95</v>
      </c>
      <c r="P842" s="2" t="s">
        <v>67</v>
      </c>
      <c r="Q842">
        <v>7</v>
      </c>
      <c r="R842">
        <v>2</v>
      </c>
      <c r="S842">
        <v>2143</v>
      </c>
      <c r="T842" s="2" t="s">
        <v>51</v>
      </c>
    </row>
    <row r="843" spans="1:20" x14ac:dyDescent="0.3">
      <c r="A843" s="1">
        <v>45614</v>
      </c>
      <c r="B843" s="2" t="s">
        <v>20</v>
      </c>
      <c r="C843" s="2" t="s">
        <v>45</v>
      </c>
      <c r="D843" s="2" t="s">
        <v>57</v>
      </c>
      <c r="E843">
        <v>1000</v>
      </c>
      <c r="F843" t="b">
        <v>1</v>
      </c>
      <c r="G843" s="2" t="s">
        <v>40</v>
      </c>
      <c r="H843" s="2" t="s">
        <v>41</v>
      </c>
      <c r="I843" s="2" t="s">
        <v>47</v>
      </c>
      <c r="J843" s="2" t="s">
        <v>43</v>
      </c>
      <c r="K843">
        <v>3</v>
      </c>
      <c r="L843" s="2" t="s">
        <v>49</v>
      </c>
      <c r="M843" s="2" t="s">
        <v>73</v>
      </c>
      <c r="N843" t="b">
        <v>1</v>
      </c>
      <c r="O843">
        <v>63</v>
      </c>
      <c r="P843" s="2" t="s">
        <v>67</v>
      </c>
      <c r="Q843">
        <v>5</v>
      </c>
      <c r="R843">
        <v>1</v>
      </c>
      <c r="S843">
        <v>4415</v>
      </c>
      <c r="T843" s="2" t="s">
        <v>38</v>
      </c>
    </row>
    <row r="844" spans="1:20" x14ac:dyDescent="0.3">
      <c r="A844" s="1">
        <v>45615</v>
      </c>
      <c r="B844" s="2" t="s">
        <v>44</v>
      </c>
      <c r="C844" s="2" t="s">
        <v>21</v>
      </c>
      <c r="D844" s="2" t="s">
        <v>46</v>
      </c>
      <c r="E844">
        <v>1206</v>
      </c>
      <c r="F844" t="b">
        <v>0</v>
      </c>
      <c r="G844" s="2" t="s">
        <v>34</v>
      </c>
      <c r="H844" s="2" t="s">
        <v>41</v>
      </c>
      <c r="I844" s="2" t="s">
        <v>59</v>
      </c>
      <c r="J844" s="2" t="s">
        <v>48</v>
      </c>
      <c r="K844">
        <v>2</v>
      </c>
      <c r="L844" s="2" t="s">
        <v>36</v>
      </c>
      <c r="M844" s="2" t="s">
        <v>28</v>
      </c>
      <c r="N844" t="b">
        <v>1</v>
      </c>
      <c r="O844">
        <v>115</v>
      </c>
      <c r="P844" s="2" t="s">
        <v>50</v>
      </c>
      <c r="Q844">
        <v>5</v>
      </c>
      <c r="R844">
        <v>3</v>
      </c>
      <c r="S844">
        <v>3071</v>
      </c>
      <c r="T844" s="2" t="s">
        <v>30</v>
      </c>
    </row>
    <row r="845" spans="1:20" x14ac:dyDescent="0.3">
      <c r="A845" s="1">
        <v>45615</v>
      </c>
      <c r="B845" s="2" t="s">
        <v>52</v>
      </c>
      <c r="C845" s="2" t="s">
        <v>32</v>
      </c>
      <c r="D845" s="2" t="s">
        <v>53</v>
      </c>
      <c r="E845">
        <v>5191</v>
      </c>
      <c r="F845" t="b">
        <v>1</v>
      </c>
      <c r="G845" s="2" t="s">
        <v>64</v>
      </c>
      <c r="H845" s="2" t="s">
        <v>35</v>
      </c>
      <c r="I845" s="2" t="s">
        <v>42</v>
      </c>
      <c r="J845" s="2" t="s">
        <v>43</v>
      </c>
      <c r="K845">
        <v>0</v>
      </c>
      <c r="L845" s="2" t="s">
        <v>27</v>
      </c>
      <c r="M845" s="2" t="s">
        <v>58</v>
      </c>
      <c r="N845" t="b">
        <v>0</v>
      </c>
      <c r="O845">
        <v>99</v>
      </c>
      <c r="P845" s="2" t="s">
        <v>67</v>
      </c>
      <c r="Q845">
        <v>2</v>
      </c>
      <c r="R845">
        <v>1</v>
      </c>
      <c r="S845">
        <v>2629</v>
      </c>
      <c r="T845" s="2" t="s">
        <v>51</v>
      </c>
    </row>
    <row r="846" spans="1:20" x14ac:dyDescent="0.3">
      <c r="A846" s="1">
        <v>45616</v>
      </c>
      <c r="B846" s="2" t="s">
        <v>75</v>
      </c>
      <c r="C846" s="2" t="s">
        <v>45</v>
      </c>
      <c r="D846" s="2" t="s">
        <v>22</v>
      </c>
      <c r="E846">
        <v>6050</v>
      </c>
      <c r="F846" t="b">
        <v>0</v>
      </c>
      <c r="G846" s="2" t="s">
        <v>40</v>
      </c>
      <c r="H846" s="2" t="s">
        <v>70</v>
      </c>
      <c r="I846" s="2" t="s">
        <v>42</v>
      </c>
      <c r="J846" s="2" t="s">
        <v>26</v>
      </c>
      <c r="K846">
        <v>4</v>
      </c>
      <c r="L846" s="2" t="s">
        <v>36</v>
      </c>
      <c r="M846" s="2" t="s">
        <v>58</v>
      </c>
      <c r="N846" t="b">
        <v>0</v>
      </c>
      <c r="O846">
        <v>28</v>
      </c>
      <c r="P846" s="2" t="s">
        <v>50</v>
      </c>
      <c r="Q846">
        <v>3</v>
      </c>
      <c r="R846">
        <v>3</v>
      </c>
      <c r="S846">
        <v>1774</v>
      </c>
      <c r="T846" s="2" t="s">
        <v>51</v>
      </c>
    </row>
    <row r="847" spans="1:20" x14ac:dyDescent="0.3">
      <c r="A847" s="1">
        <v>45616</v>
      </c>
      <c r="B847" s="2" t="s">
        <v>31</v>
      </c>
      <c r="C847" s="2" t="s">
        <v>60</v>
      </c>
      <c r="D847" s="2" t="s">
        <v>53</v>
      </c>
      <c r="E847">
        <v>5652</v>
      </c>
      <c r="F847" t="b">
        <v>0</v>
      </c>
      <c r="G847" s="2" t="s">
        <v>34</v>
      </c>
      <c r="H847" s="2" t="s">
        <v>35</v>
      </c>
      <c r="I847" s="2" t="s">
        <v>42</v>
      </c>
      <c r="J847" s="2" t="s">
        <v>54</v>
      </c>
      <c r="K847">
        <v>2</v>
      </c>
      <c r="L847" s="2" t="s">
        <v>49</v>
      </c>
      <c r="M847" s="2" t="s">
        <v>73</v>
      </c>
      <c r="N847" t="b">
        <v>1</v>
      </c>
      <c r="O847">
        <v>43</v>
      </c>
      <c r="P847" s="2" t="s">
        <v>50</v>
      </c>
      <c r="Q847">
        <v>10</v>
      </c>
      <c r="R847">
        <v>3</v>
      </c>
      <c r="S847">
        <v>4820</v>
      </c>
      <c r="T847" s="2" t="s">
        <v>51</v>
      </c>
    </row>
    <row r="848" spans="1:20" x14ac:dyDescent="0.3">
      <c r="A848" s="1">
        <v>45617</v>
      </c>
      <c r="B848" s="2" t="s">
        <v>71</v>
      </c>
      <c r="C848" s="2" t="s">
        <v>60</v>
      </c>
      <c r="D848" s="2" t="s">
        <v>61</v>
      </c>
      <c r="E848">
        <v>1000</v>
      </c>
      <c r="F848" t="b">
        <v>1</v>
      </c>
      <c r="G848" s="2" t="s">
        <v>64</v>
      </c>
      <c r="H848" s="2" t="s">
        <v>35</v>
      </c>
      <c r="I848" s="2" t="s">
        <v>42</v>
      </c>
      <c r="J848" s="2" t="s">
        <v>43</v>
      </c>
      <c r="K848">
        <v>0</v>
      </c>
      <c r="L848" s="2" t="s">
        <v>49</v>
      </c>
      <c r="M848" s="2" t="s">
        <v>58</v>
      </c>
      <c r="N848" t="b">
        <v>1</v>
      </c>
      <c r="O848">
        <v>41</v>
      </c>
      <c r="P848" s="2" t="s">
        <v>67</v>
      </c>
      <c r="Q848">
        <v>5</v>
      </c>
      <c r="R848">
        <v>3</v>
      </c>
      <c r="S848">
        <v>3941</v>
      </c>
      <c r="T848" s="2" t="s">
        <v>38</v>
      </c>
    </row>
    <row r="849" spans="1:20" x14ac:dyDescent="0.3">
      <c r="A849" s="1">
        <v>45618</v>
      </c>
      <c r="B849" s="2" t="s">
        <v>39</v>
      </c>
      <c r="C849" s="2" t="s">
        <v>21</v>
      </c>
      <c r="D849" s="2" t="s">
        <v>33</v>
      </c>
      <c r="E849">
        <v>2288</v>
      </c>
      <c r="F849" t="b">
        <v>0</v>
      </c>
      <c r="G849" s="2" t="s">
        <v>23</v>
      </c>
      <c r="H849" s="2" t="s">
        <v>41</v>
      </c>
      <c r="I849" s="2" t="s">
        <v>42</v>
      </c>
      <c r="J849" s="2" t="s">
        <v>43</v>
      </c>
      <c r="K849">
        <v>4</v>
      </c>
      <c r="L849" s="2" t="s">
        <v>27</v>
      </c>
      <c r="M849" s="2" t="s">
        <v>28</v>
      </c>
      <c r="N849" t="b">
        <v>0</v>
      </c>
      <c r="O849">
        <v>8</v>
      </c>
      <c r="P849" s="2" t="s">
        <v>67</v>
      </c>
      <c r="Q849">
        <v>4</v>
      </c>
      <c r="R849">
        <v>2</v>
      </c>
      <c r="S849">
        <v>4452</v>
      </c>
      <c r="T849" s="2" t="s">
        <v>51</v>
      </c>
    </row>
    <row r="850" spans="1:20" x14ac:dyDescent="0.3">
      <c r="A850" s="1">
        <v>45618</v>
      </c>
      <c r="B850" s="2" t="s">
        <v>31</v>
      </c>
      <c r="C850" s="2" t="s">
        <v>45</v>
      </c>
      <c r="D850" s="2" t="s">
        <v>22</v>
      </c>
      <c r="E850">
        <v>7672</v>
      </c>
      <c r="F850" t="b">
        <v>0</v>
      </c>
      <c r="G850" s="2" t="s">
        <v>64</v>
      </c>
      <c r="H850" s="2" t="s">
        <v>35</v>
      </c>
      <c r="I850" s="2" t="s">
        <v>59</v>
      </c>
      <c r="J850" s="2" t="s">
        <v>43</v>
      </c>
      <c r="K850">
        <v>5</v>
      </c>
      <c r="L850" s="2" t="s">
        <v>36</v>
      </c>
      <c r="M850" s="2" t="s">
        <v>73</v>
      </c>
      <c r="N850" t="b">
        <v>0</v>
      </c>
      <c r="O850">
        <v>99</v>
      </c>
      <c r="P850" s="2" t="s">
        <v>67</v>
      </c>
      <c r="Q850">
        <v>10</v>
      </c>
      <c r="R850">
        <v>3</v>
      </c>
      <c r="S850">
        <v>4053</v>
      </c>
      <c r="T850" s="2" t="s">
        <v>30</v>
      </c>
    </row>
    <row r="851" spans="1:20" x14ac:dyDescent="0.3">
      <c r="A851" s="1">
        <v>45618</v>
      </c>
      <c r="B851" s="2" t="s">
        <v>62</v>
      </c>
      <c r="C851" s="2" t="s">
        <v>56</v>
      </c>
      <c r="D851" s="2" t="s">
        <v>53</v>
      </c>
      <c r="E851">
        <v>4245</v>
      </c>
      <c r="F851" t="b">
        <v>0</v>
      </c>
      <c r="G851" s="2" t="s">
        <v>23</v>
      </c>
      <c r="H851" s="2" t="s">
        <v>70</v>
      </c>
      <c r="I851" s="2" t="s">
        <v>25</v>
      </c>
      <c r="J851" s="2" t="s">
        <v>54</v>
      </c>
      <c r="K851">
        <v>2</v>
      </c>
      <c r="L851" s="2" t="s">
        <v>27</v>
      </c>
      <c r="M851" s="2" t="s">
        <v>66</v>
      </c>
      <c r="N851" t="b">
        <v>1</v>
      </c>
      <c r="O851">
        <v>33</v>
      </c>
      <c r="P851" s="2" t="s">
        <v>37</v>
      </c>
      <c r="Q851">
        <v>3</v>
      </c>
      <c r="R851">
        <v>2</v>
      </c>
      <c r="S851">
        <v>3377</v>
      </c>
      <c r="T851" s="2" t="s">
        <v>30</v>
      </c>
    </row>
    <row r="852" spans="1:20" x14ac:dyDescent="0.3">
      <c r="A852" s="1">
        <v>45619</v>
      </c>
      <c r="B852" s="2" t="s">
        <v>69</v>
      </c>
      <c r="C852" s="2" t="s">
        <v>21</v>
      </c>
      <c r="D852" s="2" t="s">
        <v>46</v>
      </c>
      <c r="E852">
        <v>2478</v>
      </c>
      <c r="F852" t="b">
        <v>1</v>
      </c>
      <c r="G852" s="2" t="s">
        <v>34</v>
      </c>
      <c r="H852" s="2" t="s">
        <v>41</v>
      </c>
      <c r="I852" s="2" t="s">
        <v>47</v>
      </c>
      <c r="J852" s="2" t="s">
        <v>54</v>
      </c>
      <c r="K852">
        <v>5</v>
      </c>
      <c r="L852" s="2" t="s">
        <v>49</v>
      </c>
      <c r="M852" s="2" t="s">
        <v>28</v>
      </c>
      <c r="N852" t="b">
        <v>0</v>
      </c>
      <c r="O852">
        <v>111</v>
      </c>
      <c r="P852" s="2" t="s">
        <v>37</v>
      </c>
      <c r="Q852">
        <v>10</v>
      </c>
      <c r="R852">
        <v>3</v>
      </c>
      <c r="S852">
        <v>3168</v>
      </c>
      <c r="T852" s="2" t="s">
        <v>30</v>
      </c>
    </row>
    <row r="853" spans="1:20" x14ac:dyDescent="0.3">
      <c r="A853" s="1">
        <v>45619</v>
      </c>
      <c r="B853" s="2" t="s">
        <v>31</v>
      </c>
      <c r="C853" s="2" t="s">
        <v>45</v>
      </c>
      <c r="D853" s="2" t="s">
        <v>46</v>
      </c>
      <c r="E853">
        <v>4287</v>
      </c>
      <c r="F853" t="b">
        <v>0</v>
      </c>
      <c r="G853" s="2" t="s">
        <v>40</v>
      </c>
      <c r="H853" s="2" t="s">
        <v>41</v>
      </c>
      <c r="I853" s="2" t="s">
        <v>59</v>
      </c>
      <c r="J853" s="2" t="s">
        <v>43</v>
      </c>
      <c r="K853">
        <v>3</v>
      </c>
      <c r="L853" s="2" t="s">
        <v>49</v>
      </c>
      <c r="M853" s="2" t="s">
        <v>58</v>
      </c>
      <c r="N853" t="b">
        <v>0</v>
      </c>
      <c r="O853">
        <v>61</v>
      </c>
      <c r="P853" s="2" t="s">
        <v>29</v>
      </c>
      <c r="Q853">
        <v>8</v>
      </c>
      <c r="R853">
        <v>1</v>
      </c>
      <c r="S853">
        <v>3860</v>
      </c>
      <c r="T853" s="2" t="s">
        <v>38</v>
      </c>
    </row>
    <row r="854" spans="1:20" x14ac:dyDescent="0.3">
      <c r="A854" s="1">
        <v>45619</v>
      </c>
      <c r="B854" s="2" t="s">
        <v>72</v>
      </c>
      <c r="C854" s="2" t="s">
        <v>32</v>
      </c>
      <c r="D854" s="2" t="s">
        <v>53</v>
      </c>
      <c r="E854">
        <v>4822</v>
      </c>
      <c r="F854" t="b">
        <v>0</v>
      </c>
      <c r="G854" s="2" t="s">
        <v>34</v>
      </c>
      <c r="H854" s="2" t="s">
        <v>41</v>
      </c>
      <c r="I854" s="2" t="s">
        <v>25</v>
      </c>
      <c r="J854" s="2" t="s">
        <v>26</v>
      </c>
      <c r="K854">
        <v>2</v>
      </c>
      <c r="L854" s="2" t="s">
        <v>27</v>
      </c>
      <c r="M854" s="2" t="s">
        <v>28</v>
      </c>
      <c r="N854" t="b">
        <v>1</v>
      </c>
      <c r="O854">
        <v>52</v>
      </c>
      <c r="P854" s="2" t="s">
        <v>63</v>
      </c>
      <c r="Q854">
        <v>6</v>
      </c>
      <c r="R854">
        <v>2</v>
      </c>
      <c r="S854">
        <v>4469</v>
      </c>
      <c r="T854" s="2" t="s">
        <v>38</v>
      </c>
    </row>
    <row r="855" spans="1:20" x14ac:dyDescent="0.3">
      <c r="A855" s="1">
        <v>45620</v>
      </c>
      <c r="B855" s="2" t="s">
        <v>31</v>
      </c>
      <c r="C855" s="2" t="s">
        <v>60</v>
      </c>
      <c r="D855" s="2" t="s">
        <v>61</v>
      </c>
      <c r="E855">
        <v>1000</v>
      </c>
      <c r="F855" t="b">
        <v>0</v>
      </c>
      <c r="G855" s="2" t="s">
        <v>23</v>
      </c>
      <c r="H855" s="2" t="s">
        <v>70</v>
      </c>
      <c r="I855" s="2" t="s">
        <v>59</v>
      </c>
      <c r="J855" s="2" t="s">
        <v>43</v>
      </c>
      <c r="K855">
        <v>3</v>
      </c>
      <c r="L855" s="2" t="s">
        <v>27</v>
      </c>
      <c r="M855" s="2" t="s">
        <v>28</v>
      </c>
      <c r="N855" t="b">
        <v>1</v>
      </c>
      <c r="O855">
        <v>54</v>
      </c>
      <c r="P855" s="2" t="s">
        <v>67</v>
      </c>
      <c r="Q855">
        <v>4</v>
      </c>
      <c r="R855">
        <v>1</v>
      </c>
      <c r="S855">
        <v>1855</v>
      </c>
      <c r="T855" s="2" t="s">
        <v>30</v>
      </c>
    </row>
    <row r="856" spans="1:20" x14ac:dyDescent="0.3">
      <c r="A856" s="1">
        <v>45620</v>
      </c>
      <c r="B856" s="2" t="s">
        <v>52</v>
      </c>
      <c r="C856" s="2" t="s">
        <v>32</v>
      </c>
      <c r="D856" s="2" t="s">
        <v>57</v>
      </c>
      <c r="E856">
        <v>1000</v>
      </c>
      <c r="F856" t="b">
        <v>0</v>
      </c>
      <c r="G856" s="2" t="s">
        <v>23</v>
      </c>
      <c r="H856" s="2" t="s">
        <v>41</v>
      </c>
      <c r="I856" s="2" t="s">
        <v>25</v>
      </c>
      <c r="J856" s="2" t="s">
        <v>26</v>
      </c>
      <c r="K856">
        <v>5</v>
      </c>
      <c r="L856" s="2" t="s">
        <v>36</v>
      </c>
      <c r="M856" s="2" t="s">
        <v>28</v>
      </c>
      <c r="N856" t="b">
        <v>1</v>
      </c>
      <c r="O856">
        <v>20</v>
      </c>
      <c r="P856" s="2" t="s">
        <v>67</v>
      </c>
      <c r="Q856">
        <v>9</v>
      </c>
      <c r="R856">
        <v>2</v>
      </c>
      <c r="S856">
        <v>1856</v>
      </c>
      <c r="T856" s="2" t="s">
        <v>30</v>
      </c>
    </row>
    <row r="857" spans="1:20" x14ac:dyDescent="0.3">
      <c r="A857" s="1">
        <v>45620</v>
      </c>
      <c r="B857" s="2" t="s">
        <v>52</v>
      </c>
      <c r="C857" s="2" t="s">
        <v>60</v>
      </c>
      <c r="D857" s="2" t="s">
        <v>61</v>
      </c>
      <c r="E857">
        <v>1000</v>
      </c>
      <c r="F857" t="b">
        <v>0</v>
      </c>
      <c r="G857" s="2" t="s">
        <v>34</v>
      </c>
      <c r="H857" s="2" t="s">
        <v>41</v>
      </c>
      <c r="I857" s="2" t="s">
        <v>42</v>
      </c>
      <c r="J857" s="2" t="s">
        <v>48</v>
      </c>
      <c r="K857">
        <v>2</v>
      </c>
      <c r="L857" s="2" t="s">
        <v>36</v>
      </c>
      <c r="M857" s="2" t="s">
        <v>73</v>
      </c>
      <c r="N857" t="b">
        <v>0</v>
      </c>
      <c r="O857">
        <v>52</v>
      </c>
      <c r="P857" s="2" t="s">
        <v>67</v>
      </c>
      <c r="Q857">
        <v>6</v>
      </c>
      <c r="R857">
        <v>1</v>
      </c>
      <c r="S857">
        <v>1152</v>
      </c>
      <c r="T857" s="2" t="s">
        <v>51</v>
      </c>
    </row>
    <row r="858" spans="1:20" x14ac:dyDescent="0.3">
      <c r="A858" s="1">
        <v>45620</v>
      </c>
      <c r="B858" s="2" t="s">
        <v>31</v>
      </c>
      <c r="C858" s="2" t="s">
        <v>60</v>
      </c>
      <c r="D858" s="2" t="s">
        <v>22</v>
      </c>
      <c r="E858">
        <v>8096</v>
      </c>
      <c r="F858" t="b">
        <v>0</v>
      </c>
      <c r="G858" s="2" t="s">
        <v>64</v>
      </c>
      <c r="H858" s="2" t="s">
        <v>24</v>
      </c>
      <c r="I858" s="2" t="s">
        <v>59</v>
      </c>
      <c r="J858" s="2" t="s">
        <v>54</v>
      </c>
      <c r="K858">
        <v>2</v>
      </c>
      <c r="L858" s="2" t="s">
        <v>49</v>
      </c>
      <c r="M858" s="2" t="s">
        <v>66</v>
      </c>
      <c r="N858" t="b">
        <v>1</v>
      </c>
      <c r="O858">
        <v>77</v>
      </c>
      <c r="P858" s="2" t="s">
        <v>29</v>
      </c>
      <c r="Q858">
        <v>8</v>
      </c>
      <c r="R858">
        <v>3</v>
      </c>
      <c r="S858">
        <v>879</v>
      </c>
      <c r="T858" s="2" t="s">
        <v>38</v>
      </c>
    </row>
    <row r="859" spans="1:20" x14ac:dyDescent="0.3">
      <c r="A859" s="1">
        <v>45621</v>
      </c>
      <c r="B859" s="2" t="s">
        <v>20</v>
      </c>
      <c r="C859" s="2" t="s">
        <v>32</v>
      </c>
      <c r="D859" s="2" t="s">
        <v>53</v>
      </c>
      <c r="E859">
        <v>3362</v>
      </c>
      <c r="F859" t="b">
        <v>0</v>
      </c>
      <c r="G859" s="2" t="s">
        <v>34</v>
      </c>
      <c r="H859" s="2" t="s">
        <v>24</v>
      </c>
      <c r="I859" s="2" t="s">
        <v>47</v>
      </c>
      <c r="J859" s="2" t="s">
        <v>43</v>
      </c>
      <c r="K859">
        <v>4</v>
      </c>
      <c r="L859" s="2" t="s">
        <v>36</v>
      </c>
      <c r="M859" s="2" t="s">
        <v>58</v>
      </c>
      <c r="N859" t="b">
        <v>0</v>
      </c>
      <c r="O859">
        <v>119</v>
      </c>
      <c r="P859" s="2" t="s">
        <v>63</v>
      </c>
      <c r="Q859">
        <v>3</v>
      </c>
      <c r="R859">
        <v>3</v>
      </c>
      <c r="S859">
        <v>4043</v>
      </c>
      <c r="T859" s="2" t="s">
        <v>30</v>
      </c>
    </row>
    <row r="860" spans="1:20" x14ac:dyDescent="0.3">
      <c r="A860" s="1">
        <v>45621</v>
      </c>
      <c r="B860" s="2" t="s">
        <v>20</v>
      </c>
      <c r="C860" s="2" t="s">
        <v>21</v>
      </c>
      <c r="D860" s="2" t="s">
        <v>53</v>
      </c>
      <c r="E860">
        <v>6423</v>
      </c>
      <c r="F860" t="b">
        <v>0</v>
      </c>
      <c r="G860" s="2" t="s">
        <v>34</v>
      </c>
      <c r="H860" s="2" t="s">
        <v>41</v>
      </c>
      <c r="I860" s="2" t="s">
        <v>47</v>
      </c>
      <c r="J860" s="2" t="s">
        <v>26</v>
      </c>
      <c r="K860">
        <v>5</v>
      </c>
      <c r="L860" s="2" t="s">
        <v>27</v>
      </c>
      <c r="M860" s="2" t="s">
        <v>66</v>
      </c>
      <c r="N860" t="b">
        <v>0</v>
      </c>
      <c r="O860">
        <v>40</v>
      </c>
      <c r="P860" s="2" t="s">
        <v>50</v>
      </c>
      <c r="Q860">
        <v>10</v>
      </c>
      <c r="R860">
        <v>2</v>
      </c>
      <c r="S860">
        <v>4407</v>
      </c>
      <c r="T860" s="2" t="s">
        <v>38</v>
      </c>
    </row>
    <row r="861" spans="1:20" x14ac:dyDescent="0.3">
      <c r="A861" s="1">
        <v>45621</v>
      </c>
      <c r="B861" s="2" t="s">
        <v>75</v>
      </c>
      <c r="C861" s="2" t="s">
        <v>45</v>
      </c>
      <c r="D861" s="2" t="s">
        <v>33</v>
      </c>
      <c r="E861">
        <v>3624</v>
      </c>
      <c r="F861" t="b">
        <v>1</v>
      </c>
      <c r="G861" s="2" t="s">
        <v>34</v>
      </c>
      <c r="H861" s="2" t="s">
        <v>24</v>
      </c>
      <c r="I861" s="2" t="s">
        <v>59</v>
      </c>
      <c r="J861" s="2" t="s">
        <v>48</v>
      </c>
      <c r="K861">
        <v>5</v>
      </c>
      <c r="L861" s="2" t="s">
        <v>27</v>
      </c>
      <c r="M861" s="2" t="s">
        <v>58</v>
      </c>
      <c r="N861" t="b">
        <v>1</v>
      </c>
      <c r="O861">
        <v>57</v>
      </c>
      <c r="P861" s="2" t="s">
        <v>63</v>
      </c>
      <c r="Q861">
        <v>8</v>
      </c>
      <c r="R861">
        <v>1</v>
      </c>
      <c r="S861">
        <v>3802</v>
      </c>
      <c r="T861" s="2" t="s">
        <v>30</v>
      </c>
    </row>
    <row r="862" spans="1:20" x14ac:dyDescent="0.3">
      <c r="A862" s="1">
        <v>45621</v>
      </c>
      <c r="B862" s="2" t="s">
        <v>39</v>
      </c>
      <c r="C862" s="2" t="s">
        <v>45</v>
      </c>
      <c r="D862" s="2" t="s">
        <v>46</v>
      </c>
      <c r="E862">
        <v>1962</v>
      </c>
      <c r="F862" t="b">
        <v>1</v>
      </c>
      <c r="G862" s="2" t="s">
        <v>23</v>
      </c>
      <c r="H862" s="2" t="s">
        <v>41</v>
      </c>
      <c r="I862" s="2" t="s">
        <v>59</v>
      </c>
      <c r="J862" s="2" t="s">
        <v>43</v>
      </c>
      <c r="K862">
        <v>3</v>
      </c>
      <c r="L862" s="2" t="s">
        <v>49</v>
      </c>
      <c r="M862" s="2" t="s">
        <v>28</v>
      </c>
      <c r="N862" t="b">
        <v>1</v>
      </c>
      <c r="O862">
        <v>77</v>
      </c>
      <c r="P862" s="2" t="s">
        <v>29</v>
      </c>
      <c r="Q862">
        <v>8</v>
      </c>
      <c r="R862">
        <v>1</v>
      </c>
      <c r="S862">
        <v>1825</v>
      </c>
      <c r="T862" s="2" t="s">
        <v>30</v>
      </c>
    </row>
    <row r="863" spans="1:20" x14ac:dyDescent="0.3">
      <c r="A863" s="1">
        <v>45623</v>
      </c>
      <c r="B863" s="2" t="s">
        <v>62</v>
      </c>
      <c r="C863" s="2" t="s">
        <v>56</v>
      </c>
      <c r="D863" s="2" t="s">
        <v>33</v>
      </c>
      <c r="E863">
        <v>2202</v>
      </c>
      <c r="F863" t="b">
        <v>0</v>
      </c>
      <c r="G863" s="2" t="s">
        <v>64</v>
      </c>
      <c r="H863" s="2" t="s">
        <v>24</v>
      </c>
      <c r="I863" s="2" t="s">
        <v>25</v>
      </c>
      <c r="J863" s="2" t="s">
        <v>54</v>
      </c>
      <c r="K863">
        <v>5</v>
      </c>
      <c r="L863" s="2" t="s">
        <v>27</v>
      </c>
      <c r="M863" s="2" t="s">
        <v>28</v>
      </c>
      <c r="N863" t="b">
        <v>1</v>
      </c>
      <c r="O863">
        <v>26</v>
      </c>
      <c r="P863" s="2" t="s">
        <v>63</v>
      </c>
      <c r="Q863">
        <v>6</v>
      </c>
      <c r="R863">
        <v>2</v>
      </c>
      <c r="S863">
        <v>2456</v>
      </c>
      <c r="T863" s="2" t="s">
        <v>38</v>
      </c>
    </row>
    <row r="864" spans="1:20" x14ac:dyDescent="0.3">
      <c r="A864" s="1">
        <v>45623</v>
      </c>
      <c r="B864" s="2" t="s">
        <v>20</v>
      </c>
      <c r="C864" s="2" t="s">
        <v>60</v>
      </c>
      <c r="D864" s="2" t="s">
        <v>22</v>
      </c>
      <c r="E864">
        <v>8717</v>
      </c>
      <c r="F864" t="b">
        <v>0</v>
      </c>
      <c r="G864" s="2" t="s">
        <v>40</v>
      </c>
      <c r="H864" s="2" t="s">
        <v>70</v>
      </c>
      <c r="I864" s="2" t="s">
        <v>25</v>
      </c>
      <c r="J864" s="2" t="s">
        <v>43</v>
      </c>
      <c r="K864">
        <v>4</v>
      </c>
      <c r="L864" s="2" t="s">
        <v>36</v>
      </c>
      <c r="M864" s="2" t="s">
        <v>73</v>
      </c>
      <c r="N864" t="b">
        <v>1</v>
      </c>
      <c r="O864">
        <v>3</v>
      </c>
      <c r="P864" s="2" t="s">
        <v>67</v>
      </c>
      <c r="Q864">
        <v>3</v>
      </c>
      <c r="R864">
        <v>2</v>
      </c>
      <c r="S864">
        <v>1803</v>
      </c>
      <c r="T864" s="2" t="s">
        <v>30</v>
      </c>
    </row>
    <row r="865" spans="1:20" x14ac:dyDescent="0.3">
      <c r="A865" s="1">
        <v>45624</v>
      </c>
      <c r="B865" s="2" t="s">
        <v>75</v>
      </c>
      <c r="C865" s="2" t="s">
        <v>32</v>
      </c>
      <c r="D865" s="2" t="s">
        <v>57</v>
      </c>
      <c r="E865">
        <v>1000</v>
      </c>
      <c r="F865" t="b">
        <v>0</v>
      </c>
      <c r="G865" s="2" t="s">
        <v>40</v>
      </c>
      <c r="H865" s="2" t="s">
        <v>70</v>
      </c>
      <c r="I865" s="2" t="s">
        <v>25</v>
      </c>
      <c r="J865" s="2" t="s">
        <v>26</v>
      </c>
      <c r="K865">
        <v>4</v>
      </c>
      <c r="L865" s="2" t="s">
        <v>27</v>
      </c>
      <c r="M865" s="2" t="s">
        <v>66</v>
      </c>
      <c r="N865" t="b">
        <v>1</v>
      </c>
      <c r="O865">
        <v>71</v>
      </c>
      <c r="P865" s="2" t="s">
        <v>29</v>
      </c>
      <c r="Q865">
        <v>9</v>
      </c>
      <c r="R865">
        <v>3</v>
      </c>
      <c r="S865">
        <v>2025</v>
      </c>
      <c r="T865" s="2" t="s">
        <v>38</v>
      </c>
    </row>
    <row r="866" spans="1:20" x14ac:dyDescent="0.3">
      <c r="A866" s="1">
        <v>45624</v>
      </c>
      <c r="B866" s="2" t="s">
        <v>75</v>
      </c>
      <c r="C866" s="2" t="s">
        <v>21</v>
      </c>
      <c r="D866" s="2" t="s">
        <v>33</v>
      </c>
      <c r="E866">
        <v>3077</v>
      </c>
      <c r="F866" t="b">
        <v>1</v>
      </c>
      <c r="G866" s="2" t="s">
        <v>23</v>
      </c>
      <c r="H866" s="2" t="s">
        <v>41</v>
      </c>
      <c r="I866" s="2" t="s">
        <v>47</v>
      </c>
      <c r="J866" s="2" t="s">
        <v>26</v>
      </c>
      <c r="K866">
        <v>1</v>
      </c>
      <c r="L866" s="2" t="s">
        <v>49</v>
      </c>
      <c r="M866" s="2" t="s">
        <v>73</v>
      </c>
      <c r="N866" t="b">
        <v>1</v>
      </c>
      <c r="O866">
        <v>105</v>
      </c>
      <c r="P866" s="2" t="s">
        <v>50</v>
      </c>
      <c r="Q866">
        <v>3</v>
      </c>
      <c r="R866">
        <v>2</v>
      </c>
      <c r="S866">
        <v>3961</v>
      </c>
      <c r="T866" s="2" t="s">
        <v>30</v>
      </c>
    </row>
    <row r="867" spans="1:20" x14ac:dyDescent="0.3">
      <c r="A867" s="1">
        <v>45627</v>
      </c>
      <c r="B867" s="2" t="s">
        <v>74</v>
      </c>
      <c r="C867" s="2" t="s">
        <v>60</v>
      </c>
      <c r="D867" s="2" t="s">
        <v>46</v>
      </c>
      <c r="E867">
        <v>1111</v>
      </c>
      <c r="F867" t="b">
        <v>1</v>
      </c>
      <c r="G867" s="2" t="s">
        <v>34</v>
      </c>
      <c r="H867" s="2" t="s">
        <v>70</v>
      </c>
      <c r="I867" s="2" t="s">
        <v>42</v>
      </c>
      <c r="J867" s="2" t="s">
        <v>48</v>
      </c>
      <c r="K867">
        <v>0</v>
      </c>
      <c r="L867" s="2" t="s">
        <v>49</v>
      </c>
      <c r="M867" s="2" t="s">
        <v>73</v>
      </c>
      <c r="N867" t="b">
        <v>0</v>
      </c>
      <c r="O867">
        <v>10</v>
      </c>
      <c r="P867" s="2" t="s">
        <v>50</v>
      </c>
      <c r="Q867">
        <v>1</v>
      </c>
      <c r="R867">
        <v>1</v>
      </c>
      <c r="S867">
        <v>1384</v>
      </c>
      <c r="T867" s="2" t="s">
        <v>38</v>
      </c>
    </row>
    <row r="868" spans="1:20" x14ac:dyDescent="0.3">
      <c r="A868" s="1">
        <v>45627</v>
      </c>
      <c r="B868" s="2" t="s">
        <v>20</v>
      </c>
      <c r="C868" s="2" t="s">
        <v>60</v>
      </c>
      <c r="D868" s="2" t="s">
        <v>61</v>
      </c>
      <c r="E868">
        <v>1000</v>
      </c>
      <c r="F868" t="b">
        <v>0</v>
      </c>
      <c r="G868" s="2" t="s">
        <v>34</v>
      </c>
      <c r="H868" s="2" t="s">
        <v>41</v>
      </c>
      <c r="I868" s="2" t="s">
        <v>25</v>
      </c>
      <c r="J868" s="2" t="s">
        <v>43</v>
      </c>
      <c r="K868">
        <v>1</v>
      </c>
      <c r="L868" s="2" t="s">
        <v>36</v>
      </c>
      <c r="M868" s="2" t="s">
        <v>58</v>
      </c>
      <c r="N868" t="b">
        <v>1</v>
      </c>
      <c r="O868">
        <v>106</v>
      </c>
      <c r="P868" s="2" t="s">
        <v>29</v>
      </c>
      <c r="Q868">
        <v>7</v>
      </c>
      <c r="R868">
        <v>2</v>
      </c>
      <c r="S868">
        <v>4496</v>
      </c>
      <c r="T868" s="2" t="s">
        <v>38</v>
      </c>
    </row>
    <row r="869" spans="1:20" x14ac:dyDescent="0.3">
      <c r="A869" s="1">
        <v>45627</v>
      </c>
      <c r="B869" s="2" t="s">
        <v>31</v>
      </c>
      <c r="C869" s="2" t="s">
        <v>45</v>
      </c>
      <c r="D869" s="2" t="s">
        <v>57</v>
      </c>
      <c r="E869">
        <v>1000</v>
      </c>
      <c r="F869" t="b">
        <v>1</v>
      </c>
      <c r="G869" s="2" t="s">
        <v>23</v>
      </c>
      <c r="H869" s="2" t="s">
        <v>41</v>
      </c>
      <c r="I869" s="2" t="s">
        <v>42</v>
      </c>
      <c r="J869" s="2" t="s">
        <v>48</v>
      </c>
      <c r="K869">
        <v>3</v>
      </c>
      <c r="L869" s="2" t="s">
        <v>27</v>
      </c>
      <c r="M869" s="2" t="s">
        <v>58</v>
      </c>
      <c r="N869" t="b">
        <v>1</v>
      </c>
      <c r="O869">
        <v>36</v>
      </c>
      <c r="P869" s="2" t="s">
        <v>63</v>
      </c>
      <c r="Q869">
        <v>6</v>
      </c>
      <c r="R869">
        <v>1</v>
      </c>
      <c r="S869">
        <v>579</v>
      </c>
      <c r="T869" s="2" t="s">
        <v>38</v>
      </c>
    </row>
    <row r="870" spans="1:20" x14ac:dyDescent="0.3">
      <c r="A870" s="1">
        <v>45627</v>
      </c>
      <c r="B870" s="2" t="s">
        <v>52</v>
      </c>
      <c r="C870" s="2" t="s">
        <v>32</v>
      </c>
      <c r="D870" s="2" t="s">
        <v>53</v>
      </c>
      <c r="E870">
        <v>2592</v>
      </c>
      <c r="F870" t="b">
        <v>0</v>
      </c>
      <c r="G870" s="2" t="s">
        <v>65</v>
      </c>
      <c r="H870" s="2" t="s">
        <v>41</v>
      </c>
      <c r="I870" s="2" t="s">
        <v>59</v>
      </c>
      <c r="J870" s="2" t="s">
        <v>48</v>
      </c>
      <c r="K870">
        <v>1</v>
      </c>
      <c r="L870" s="2" t="s">
        <v>49</v>
      </c>
      <c r="M870" s="2" t="s">
        <v>73</v>
      </c>
      <c r="N870" t="b">
        <v>0</v>
      </c>
      <c r="O870">
        <v>59</v>
      </c>
      <c r="P870" s="2" t="s">
        <v>50</v>
      </c>
      <c r="Q870">
        <v>8</v>
      </c>
      <c r="R870">
        <v>3</v>
      </c>
      <c r="S870">
        <v>2059</v>
      </c>
      <c r="T870" s="2" t="s">
        <v>38</v>
      </c>
    </row>
    <row r="871" spans="1:20" x14ac:dyDescent="0.3">
      <c r="A871" s="1">
        <v>45627</v>
      </c>
      <c r="B871" s="2" t="s">
        <v>44</v>
      </c>
      <c r="C871" s="2" t="s">
        <v>21</v>
      </c>
      <c r="D871" s="2" t="s">
        <v>57</v>
      </c>
      <c r="E871">
        <v>1000</v>
      </c>
      <c r="F871" t="b">
        <v>0</v>
      </c>
      <c r="G871" s="2" t="s">
        <v>64</v>
      </c>
      <c r="H871" s="2" t="s">
        <v>35</v>
      </c>
      <c r="I871" s="2" t="s">
        <v>47</v>
      </c>
      <c r="J871" s="2" t="s">
        <v>43</v>
      </c>
      <c r="K871">
        <v>4</v>
      </c>
      <c r="L871" s="2" t="s">
        <v>36</v>
      </c>
      <c r="M871" s="2" t="s">
        <v>28</v>
      </c>
      <c r="N871" t="b">
        <v>0</v>
      </c>
      <c r="O871">
        <v>96</v>
      </c>
      <c r="P871" s="2" t="s">
        <v>63</v>
      </c>
      <c r="Q871">
        <v>4</v>
      </c>
      <c r="R871">
        <v>3</v>
      </c>
      <c r="S871">
        <v>1261</v>
      </c>
      <c r="T871" s="2" t="s">
        <v>51</v>
      </c>
    </row>
    <row r="872" spans="1:20" x14ac:dyDescent="0.3">
      <c r="A872" s="1">
        <v>45627</v>
      </c>
      <c r="B872" s="2" t="s">
        <v>68</v>
      </c>
      <c r="C872" s="2" t="s">
        <v>56</v>
      </c>
      <c r="D872" s="2" t="s">
        <v>57</v>
      </c>
      <c r="E872">
        <v>1000</v>
      </c>
      <c r="F872" t="b">
        <v>0</v>
      </c>
      <c r="G872" s="2" t="s">
        <v>65</v>
      </c>
      <c r="H872" s="2" t="s">
        <v>70</v>
      </c>
      <c r="I872" s="2" t="s">
        <v>59</v>
      </c>
      <c r="J872" s="2" t="s">
        <v>26</v>
      </c>
      <c r="K872">
        <v>1</v>
      </c>
      <c r="L872" s="2" t="s">
        <v>36</v>
      </c>
      <c r="M872" s="2" t="s">
        <v>66</v>
      </c>
      <c r="N872" t="b">
        <v>1</v>
      </c>
      <c r="O872">
        <v>39</v>
      </c>
      <c r="P872" s="2" t="s">
        <v>50</v>
      </c>
      <c r="Q872">
        <v>2</v>
      </c>
      <c r="R872">
        <v>3</v>
      </c>
      <c r="S872">
        <v>1441</v>
      </c>
      <c r="T872" s="2" t="s">
        <v>30</v>
      </c>
    </row>
    <row r="873" spans="1:20" x14ac:dyDescent="0.3">
      <c r="A873" s="1">
        <v>45628</v>
      </c>
      <c r="B873" s="2" t="s">
        <v>77</v>
      </c>
      <c r="C873" s="2" t="s">
        <v>56</v>
      </c>
      <c r="D873" s="2" t="s">
        <v>57</v>
      </c>
      <c r="E873">
        <v>1000</v>
      </c>
      <c r="F873" t="b">
        <v>1</v>
      </c>
      <c r="G873" s="2" t="s">
        <v>23</v>
      </c>
      <c r="H873" s="2" t="s">
        <v>41</v>
      </c>
      <c r="I873" s="2" t="s">
        <v>42</v>
      </c>
      <c r="J873" s="2" t="s">
        <v>48</v>
      </c>
      <c r="K873">
        <v>2</v>
      </c>
      <c r="L873" s="2" t="s">
        <v>36</v>
      </c>
      <c r="M873" s="2" t="s">
        <v>66</v>
      </c>
      <c r="N873" t="b">
        <v>1</v>
      </c>
      <c r="O873">
        <v>44</v>
      </c>
      <c r="P873" s="2" t="s">
        <v>67</v>
      </c>
      <c r="Q873">
        <v>3</v>
      </c>
      <c r="R873">
        <v>2</v>
      </c>
      <c r="S873">
        <v>3250</v>
      </c>
      <c r="T873" s="2" t="s">
        <v>38</v>
      </c>
    </row>
    <row r="874" spans="1:20" x14ac:dyDescent="0.3">
      <c r="A874" s="1">
        <v>45628</v>
      </c>
      <c r="B874" s="2" t="s">
        <v>76</v>
      </c>
      <c r="C874" s="2" t="s">
        <v>21</v>
      </c>
      <c r="D874" s="2" t="s">
        <v>46</v>
      </c>
      <c r="E874">
        <v>3365</v>
      </c>
      <c r="F874" t="b">
        <v>1</v>
      </c>
      <c r="G874" s="2" t="s">
        <v>34</v>
      </c>
      <c r="H874" s="2" t="s">
        <v>41</v>
      </c>
      <c r="I874" s="2" t="s">
        <v>47</v>
      </c>
      <c r="J874" s="2" t="s">
        <v>48</v>
      </c>
      <c r="K874">
        <v>4</v>
      </c>
      <c r="L874" s="2" t="s">
        <v>36</v>
      </c>
      <c r="M874" s="2" t="s">
        <v>28</v>
      </c>
      <c r="N874" t="b">
        <v>1</v>
      </c>
      <c r="O874">
        <v>66</v>
      </c>
      <c r="P874" s="2" t="s">
        <v>67</v>
      </c>
      <c r="Q874">
        <v>4</v>
      </c>
      <c r="R874">
        <v>2</v>
      </c>
      <c r="S874">
        <v>2088</v>
      </c>
      <c r="T874" s="2" t="s">
        <v>38</v>
      </c>
    </row>
    <row r="875" spans="1:20" x14ac:dyDescent="0.3">
      <c r="A875" s="1">
        <v>45629</v>
      </c>
      <c r="B875" s="2" t="s">
        <v>62</v>
      </c>
      <c r="C875" s="2" t="s">
        <v>60</v>
      </c>
      <c r="D875" s="2" t="s">
        <v>53</v>
      </c>
      <c r="E875">
        <v>2138</v>
      </c>
      <c r="F875" t="b">
        <v>1</v>
      </c>
      <c r="G875" s="2" t="s">
        <v>65</v>
      </c>
      <c r="H875" s="2" t="s">
        <v>24</v>
      </c>
      <c r="I875" s="2" t="s">
        <v>42</v>
      </c>
      <c r="J875" s="2" t="s">
        <v>43</v>
      </c>
      <c r="K875">
        <v>3</v>
      </c>
      <c r="L875" s="2" t="s">
        <v>36</v>
      </c>
      <c r="M875" s="2" t="s">
        <v>58</v>
      </c>
      <c r="N875" t="b">
        <v>1</v>
      </c>
      <c r="O875">
        <v>98</v>
      </c>
      <c r="P875" s="2" t="s">
        <v>37</v>
      </c>
      <c r="Q875">
        <v>3</v>
      </c>
      <c r="R875">
        <v>1</v>
      </c>
      <c r="S875">
        <v>4493</v>
      </c>
      <c r="T875" s="2" t="s">
        <v>51</v>
      </c>
    </row>
    <row r="876" spans="1:20" x14ac:dyDescent="0.3">
      <c r="A876" s="1">
        <v>45629</v>
      </c>
      <c r="B876" s="2" t="s">
        <v>69</v>
      </c>
      <c r="C876" s="2" t="s">
        <v>32</v>
      </c>
      <c r="D876" s="2" t="s">
        <v>57</v>
      </c>
      <c r="E876">
        <v>1000</v>
      </c>
      <c r="F876" t="b">
        <v>0</v>
      </c>
      <c r="G876" s="2" t="s">
        <v>34</v>
      </c>
      <c r="H876" s="2" t="s">
        <v>35</v>
      </c>
      <c r="I876" s="2" t="s">
        <v>47</v>
      </c>
      <c r="J876" s="2" t="s">
        <v>48</v>
      </c>
      <c r="K876">
        <v>2</v>
      </c>
      <c r="L876" s="2" t="s">
        <v>49</v>
      </c>
      <c r="M876" s="2" t="s">
        <v>66</v>
      </c>
      <c r="N876" t="b">
        <v>1</v>
      </c>
      <c r="O876">
        <v>88</v>
      </c>
      <c r="P876" s="2" t="s">
        <v>63</v>
      </c>
      <c r="Q876">
        <v>1</v>
      </c>
      <c r="R876">
        <v>2</v>
      </c>
      <c r="S876">
        <v>781</v>
      </c>
      <c r="T876" s="2" t="s">
        <v>30</v>
      </c>
    </row>
    <row r="877" spans="1:20" x14ac:dyDescent="0.3">
      <c r="A877" s="1">
        <v>45630</v>
      </c>
      <c r="B877" s="2" t="s">
        <v>62</v>
      </c>
      <c r="C877" s="2" t="s">
        <v>32</v>
      </c>
      <c r="D877" s="2" t="s">
        <v>33</v>
      </c>
      <c r="E877">
        <v>1506</v>
      </c>
      <c r="F877" t="b">
        <v>0</v>
      </c>
      <c r="G877" s="2" t="s">
        <v>40</v>
      </c>
      <c r="H877" s="2" t="s">
        <v>24</v>
      </c>
      <c r="I877" s="2" t="s">
        <v>59</v>
      </c>
      <c r="J877" s="2" t="s">
        <v>26</v>
      </c>
      <c r="K877">
        <v>2</v>
      </c>
      <c r="L877" s="2" t="s">
        <v>27</v>
      </c>
      <c r="M877" s="2" t="s">
        <v>66</v>
      </c>
      <c r="N877" t="b">
        <v>1</v>
      </c>
      <c r="O877">
        <v>3</v>
      </c>
      <c r="P877" s="2" t="s">
        <v>37</v>
      </c>
      <c r="Q877">
        <v>9</v>
      </c>
      <c r="R877">
        <v>1</v>
      </c>
      <c r="S877">
        <v>2808</v>
      </c>
      <c r="T877" s="2" t="s">
        <v>30</v>
      </c>
    </row>
    <row r="878" spans="1:20" x14ac:dyDescent="0.3">
      <c r="A878" s="1">
        <v>45630</v>
      </c>
      <c r="B878" s="2" t="s">
        <v>62</v>
      </c>
      <c r="C878" s="2" t="s">
        <v>60</v>
      </c>
      <c r="D878" s="2" t="s">
        <v>61</v>
      </c>
      <c r="E878">
        <v>1000</v>
      </c>
      <c r="F878" t="b">
        <v>1</v>
      </c>
      <c r="G878" s="2" t="s">
        <v>40</v>
      </c>
      <c r="H878" s="2" t="s">
        <v>41</v>
      </c>
      <c r="I878" s="2" t="s">
        <v>59</v>
      </c>
      <c r="J878" s="2" t="s">
        <v>48</v>
      </c>
      <c r="K878">
        <v>1</v>
      </c>
      <c r="L878" s="2" t="s">
        <v>27</v>
      </c>
      <c r="M878" s="2" t="s">
        <v>28</v>
      </c>
      <c r="N878" t="b">
        <v>1</v>
      </c>
      <c r="O878">
        <v>111</v>
      </c>
      <c r="P878" s="2" t="s">
        <v>37</v>
      </c>
      <c r="Q878">
        <v>6</v>
      </c>
      <c r="R878">
        <v>2</v>
      </c>
      <c r="S878">
        <v>2377</v>
      </c>
      <c r="T878" s="2" t="s">
        <v>38</v>
      </c>
    </row>
    <row r="879" spans="1:20" x14ac:dyDescent="0.3">
      <c r="A879" s="1">
        <v>45631</v>
      </c>
      <c r="B879" s="2" t="s">
        <v>31</v>
      </c>
      <c r="C879" s="2" t="s">
        <v>60</v>
      </c>
      <c r="D879" s="2" t="s">
        <v>22</v>
      </c>
      <c r="E879">
        <v>5318</v>
      </c>
      <c r="F879" t="b">
        <v>1</v>
      </c>
      <c r="G879" s="2" t="s">
        <v>64</v>
      </c>
      <c r="H879" s="2" t="s">
        <v>70</v>
      </c>
      <c r="I879" s="2" t="s">
        <v>42</v>
      </c>
      <c r="J879" s="2" t="s">
        <v>26</v>
      </c>
      <c r="K879">
        <v>3</v>
      </c>
      <c r="L879" s="2" t="s">
        <v>27</v>
      </c>
      <c r="M879" s="2" t="s">
        <v>73</v>
      </c>
      <c r="N879" t="b">
        <v>1</v>
      </c>
      <c r="O879">
        <v>94</v>
      </c>
      <c r="P879" s="2" t="s">
        <v>67</v>
      </c>
      <c r="Q879">
        <v>9</v>
      </c>
      <c r="R879">
        <v>3</v>
      </c>
      <c r="S879">
        <v>2268</v>
      </c>
      <c r="T879" s="2" t="s">
        <v>30</v>
      </c>
    </row>
    <row r="880" spans="1:20" x14ac:dyDescent="0.3">
      <c r="A880" s="1">
        <v>45632</v>
      </c>
      <c r="B880" s="2" t="s">
        <v>76</v>
      </c>
      <c r="C880" s="2" t="s">
        <v>60</v>
      </c>
      <c r="D880" s="2" t="s">
        <v>22</v>
      </c>
      <c r="E880">
        <v>7929</v>
      </c>
      <c r="F880" t="b">
        <v>0</v>
      </c>
      <c r="G880" s="2" t="s">
        <v>65</v>
      </c>
      <c r="H880" s="2" t="s">
        <v>70</v>
      </c>
      <c r="I880" s="2" t="s">
        <v>47</v>
      </c>
      <c r="J880" s="2" t="s">
        <v>48</v>
      </c>
      <c r="K880">
        <v>3</v>
      </c>
      <c r="L880" s="2" t="s">
        <v>36</v>
      </c>
      <c r="M880" s="2" t="s">
        <v>58</v>
      </c>
      <c r="N880" t="b">
        <v>0</v>
      </c>
      <c r="O880">
        <v>79</v>
      </c>
      <c r="P880" s="2" t="s">
        <v>67</v>
      </c>
      <c r="Q880">
        <v>4</v>
      </c>
      <c r="R880">
        <v>1</v>
      </c>
      <c r="S880">
        <v>1114</v>
      </c>
      <c r="T880" s="2" t="s">
        <v>30</v>
      </c>
    </row>
    <row r="881" spans="1:20" x14ac:dyDescent="0.3">
      <c r="A881" s="1">
        <v>45632</v>
      </c>
      <c r="B881" s="2" t="s">
        <v>62</v>
      </c>
      <c r="C881" s="2" t="s">
        <v>56</v>
      </c>
      <c r="D881" s="2" t="s">
        <v>46</v>
      </c>
      <c r="E881">
        <v>1701</v>
      </c>
      <c r="F881" t="b">
        <v>1</v>
      </c>
      <c r="G881" s="2" t="s">
        <v>65</v>
      </c>
      <c r="H881" s="2" t="s">
        <v>35</v>
      </c>
      <c r="I881" s="2" t="s">
        <v>25</v>
      </c>
      <c r="J881" s="2" t="s">
        <v>26</v>
      </c>
      <c r="K881">
        <v>2</v>
      </c>
      <c r="L881" s="2" t="s">
        <v>49</v>
      </c>
      <c r="M881" s="2" t="s">
        <v>28</v>
      </c>
      <c r="N881" t="b">
        <v>1</v>
      </c>
      <c r="O881">
        <v>73</v>
      </c>
      <c r="P881" s="2" t="s">
        <v>67</v>
      </c>
      <c r="Q881">
        <v>8</v>
      </c>
      <c r="R881">
        <v>1</v>
      </c>
      <c r="S881">
        <v>1523</v>
      </c>
      <c r="T881" s="2" t="s">
        <v>30</v>
      </c>
    </row>
    <row r="882" spans="1:20" x14ac:dyDescent="0.3">
      <c r="A882" s="1">
        <v>45633</v>
      </c>
      <c r="B882" s="2" t="s">
        <v>44</v>
      </c>
      <c r="C882" s="2" t="s">
        <v>32</v>
      </c>
      <c r="D882" s="2" t="s">
        <v>57</v>
      </c>
      <c r="E882">
        <v>1000</v>
      </c>
      <c r="F882" t="b">
        <v>0</v>
      </c>
      <c r="G882" s="2" t="s">
        <v>40</v>
      </c>
      <c r="H882" s="2" t="s">
        <v>70</v>
      </c>
      <c r="I882" s="2" t="s">
        <v>47</v>
      </c>
      <c r="J882" s="2" t="s">
        <v>43</v>
      </c>
      <c r="K882">
        <v>3</v>
      </c>
      <c r="L882" s="2" t="s">
        <v>36</v>
      </c>
      <c r="M882" s="2" t="s">
        <v>66</v>
      </c>
      <c r="N882" t="b">
        <v>1</v>
      </c>
      <c r="O882">
        <v>79</v>
      </c>
      <c r="P882" s="2" t="s">
        <v>63</v>
      </c>
      <c r="Q882">
        <v>8</v>
      </c>
      <c r="R882">
        <v>1</v>
      </c>
      <c r="S882">
        <v>1619</v>
      </c>
      <c r="T882" s="2" t="s">
        <v>51</v>
      </c>
    </row>
    <row r="883" spans="1:20" x14ac:dyDescent="0.3">
      <c r="A883" s="1">
        <v>45633</v>
      </c>
      <c r="B883" s="2" t="s">
        <v>39</v>
      </c>
      <c r="C883" s="2" t="s">
        <v>56</v>
      </c>
      <c r="D883" s="2" t="s">
        <v>46</v>
      </c>
      <c r="E883">
        <v>2548</v>
      </c>
      <c r="F883" t="b">
        <v>1</v>
      </c>
      <c r="G883" s="2" t="s">
        <v>34</v>
      </c>
      <c r="H883" s="2" t="s">
        <v>41</v>
      </c>
      <c r="I883" s="2" t="s">
        <v>47</v>
      </c>
      <c r="J883" s="2" t="s">
        <v>54</v>
      </c>
      <c r="K883">
        <v>4</v>
      </c>
      <c r="L883" s="2" t="s">
        <v>49</v>
      </c>
      <c r="M883" s="2" t="s">
        <v>58</v>
      </c>
      <c r="N883" t="b">
        <v>0</v>
      </c>
      <c r="O883">
        <v>52</v>
      </c>
      <c r="P883" s="2" t="s">
        <v>29</v>
      </c>
      <c r="Q883">
        <v>7</v>
      </c>
      <c r="R883">
        <v>2</v>
      </c>
      <c r="S883">
        <v>4141</v>
      </c>
      <c r="T883" s="2" t="s">
        <v>30</v>
      </c>
    </row>
    <row r="884" spans="1:20" x14ac:dyDescent="0.3">
      <c r="A884" s="1">
        <v>45633</v>
      </c>
      <c r="B884" s="2" t="s">
        <v>62</v>
      </c>
      <c r="C884" s="2" t="s">
        <v>45</v>
      </c>
      <c r="D884" s="2" t="s">
        <v>57</v>
      </c>
      <c r="E884">
        <v>1000</v>
      </c>
      <c r="F884" t="b">
        <v>0</v>
      </c>
      <c r="G884" s="2" t="s">
        <v>64</v>
      </c>
      <c r="H884" s="2" t="s">
        <v>24</v>
      </c>
      <c r="I884" s="2" t="s">
        <v>42</v>
      </c>
      <c r="J884" s="2" t="s">
        <v>43</v>
      </c>
      <c r="K884">
        <v>2</v>
      </c>
      <c r="L884" s="2" t="s">
        <v>49</v>
      </c>
      <c r="M884" s="2" t="s">
        <v>58</v>
      </c>
      <c r="N884" t="b">
        <v>1</v>
      </c>
      <c r="O884">
        <v>33</v>
      </c>
      <c r="P884" s="2" t="s">
        <v>29</v>
      </c>
      <c r="Q884">
        <v>3</v>
      </c>
      <c r="R884">
        <v>1</v>
      </c>
      <c r="S884">
        <v>1477</v>
      </c>
      <c r="T884" s="2" t="s">
        <v>38</v>
      </c>
    </row>
    <row r="885" spans="1:20" x14ac:dyDescent="0.3">
      <c r="A885" s="1">
        <v>45633</v>
      </c>
      <c r="B885" s="2" t="s">
        <v>68</v>
      </c>
      <c r="C885" s="2" t="s">
        <v>32</v>
      </c>
      <c r="D885" s="2" t="s">
        <v>46</v>
      </c>
      <c r="E885">
        <v>1295</v>
      </c>
      <c r="F885" t="b">
        <v>0</v>
      </c>
      <c r="G885" s="2" t="s">
        <v>34</v>
      </c>
      <c r="H885" s="2" t="s">
        <v>24</v>
      </c>
      <c r="I885" s="2" t="s">
        <v>47</v>
      </c>
      <c r="J885" s="2" t="s">
        <v>54</v>
      </c>
      <c r="K885">
        <v>2</v>
      </c>
      <c r="L885" s="2" t="s">
        <v>36</v>
      </c>
      <c r="M885" s="2" t="s">
        <v>73</v>
      </c>
      <c r="N885" t="b">
        <v>0</v>
      </c>
      <c r="O885">
        <v>51</v>
      </c>
      <c r="P885" s="2" t="s">
        <v>63</v>
      </c>
      <c r="Q885">
        <v>6</v>
      </c>
      <c r="R885">
        <v>2</v>
      </c>
      <c r="S885">
        <v>3416</v>
      </c>
      <c r="T885" s="2" t="s">
        <v>38</v>
      </c>
    </row>
    <row r="886" spans="1:20" x14ac:dyDescent="0.3">
      <c r="A886" s="1">
        <v>45633</v>
      </c>
      <c r="B886" s="2" t="s">
        <v>77</v>
      </c>
      <c r="C886" s="2" t="s">
        <v>45</v>
      </c>
      <c r="D886" s="2" t="s">
        <v>33</v>
      </c>
      <c r="E886">
        <v>4381</v>
      </c>
      <c r="F886" t="b">
        <v>0</v>
      </c>
      <c r="G886" s="2" t="s">
        <v>34</v>
      </c>
      <c r="H886" s="2" t="s">
        <v>41</v>
      </c>
      <c r="I886" s="2" t="s">
        <v>42</v>
      </c>
      <c r="J886" s="2" t="s">
        <v>48</v>
      </c>
      <c r="K886">
        <v>2</v>
      </c>
      <c r="L886" s="2" t="s">
        <v>36</v>
      </c>
      <c r="M886" s="2" t="s">
        <v>66</v>
      </c>
      <c r="N886" t="b">
        <v>1</v>
      </c>
      <c r="O886">
        <v>7</v>
      </c>
      <c r="P886" s="2" t="s">
        <v>63</v>
      </c>
      <c r="Q886">
        <v>9</v>
      </c>
      <c r="R886">
        <v>2</v>
      </c>
      <c r="S886">
        <v>2920</v>
      </c>
      <c r="T886" s="2" t="s">
        <v>38</v>
      </c>
    </row>
    <row r="887" spans="1:20" x14ac:dyDescent="0.3">
      <c r="A887" s="1">
        <v>45634</v>
      </c>
      <c r="B887" s="2" t="s">
        <v>52</v>
      </c>
      <c r="C887" s="2" t="s">
        <v>32</v>
      </c>
      <c r="D887" s="2" t="s">
        <v>33</v>
      </c>
      <c r="E887">
        <v>4179</v>
      </c>
      <c r="F887" t="b">
        <v>0</v>
      </c>
      <c r="G887" s="2" t="s">
        <v>34</v>
      </c>
      <c r="H887" s="2" t="s">
        <v>41</v>
      </c>
      <c r="I887" s="2" t="s">
        <v>47</v>
      </c>
      <c r="J887" s="2" t="s">
        <v>48</v>
      </c>
      <c r="K887">
        <v>5</v>
      </c>
      <c r="L887" s="2" t="s">
        <v>49</v>
      </c>
      <c r="M887" s="2" t="s">
        <v>73</v>
      </c>
      <c r="N887" t="b">
        <v>1</v>
      </c>
      <c r="O887">
        <v>82</v>
      </c>
      <c r="P887" s="2" t="s">
        <v>29</v>
      </c>
      <c r="Q887">
        <v>9</v>
      </c>
      <c r="R887">
        <v>3</v>
      </c>
      <c r="S887">
        <v>3407</v>
      </c>
      <c r="T887" s="2" t="s">
        <v>51</v>
      </c>
    </row>
    <row r="888" spans="1:20" x14ac:dyDescent="0.3">
      <c r="A888" s="1">
        <v>45634</v>
      </c>
      <c r="B888" s="2" t="s">
        <v>44</v>
      </c>
      <c r="C888" s="2" t="s">
        <v>56</v>
      </c>
      <c r="D888" s="2" t="s">
        <v>22</v>
      </c>
      <c r="E888">
        <v>7285</v>
      </c>
      <c r="F888" t="b">
        <v>0</v>
      </c>
      <c r="G888" s="2" t="s">
        <v>23</v>
      </c>
      <c r="H888" s="2" t="s">
        <v>70</v>
      </c>
      <c r="I888" s="2" t="s">
        <v>42</v>
      </c>
      <c r="J888" s="2" t="s">
        <v>48</v>
      </c>
      <c r="K888">
        <v>0</v>
      </c>
      <c r="L888" s="2" t="s">
        <v>27</v>
      </c>
      <c r="M888" s="2" t="s">
        <v>58</v>
      </c>
      <c r="N888" t="b">
        <v>0</v>
      </c>
      <c r="O888">
        <v>36</v>
      </c>
      <c r="P888" s="2" t="s">
        <v>37</v>
      </c>
      <c r="Q888">
        <v>6</v>
      </c>
      <c r="R888">
        <v>2</v>
      </c>
      <c r="S888">
        <v>1130</v>
      </c>
      <c r="T888" s="2" t="s">
        <v>38</v>
      </c>
    </row>
    <row r="889" spans="1:20" x14ac:dyDescent="0.3">
      <c r="A889" s="1">
        <v>45635</v>
      </c>
      <c r="B889" s="2" t="s">
        <v>39</v>
      </c>
      <c r="C889" s="2" t="s">
        <v>56</v>
      </c>
      <c r="D889" s="2" t="s">
        <v>33</v>
      </c>
      <c r="E889">
        <v>3870</v>
      </c>
      <c r="F889" t="b">
        <v>1</v>
      </c>
      <c r="G889" s="2" t="s">
        <v>23</v>
      </c>
      <c r="H889" s="2" t="s">
        <v>24</v>
      </c>
      <c r="I889" s="2" t="s">
        <v>47</v>
      </c>
      <c r="J889" s="2" t="s">
        <v>43</v>
      </c>
      <c r="K889">
        <v>1</v>
      </c>
      <c r="L889" s="2" t="s">
        <v>27</v>
      </c>
      <c r="M889" s="2" t="s">
        <v>66</v>
      </c>
      <c r="N889" t="b">
        <v>1</v>
      </c>
      <c r="O889">
        <v>8</v>
      </c>
      <c r="P889" s="2" t="s">
        <v>29</v>
      </c>
      <c r="Q889">
        <v>1</v>
      </c>
      <c r="R889">
        <v>2</v>
      </c>
      <c r="S889">
        <v>1043</v>
      </c>
      <c r="T889" s="2" t="s">
        <v>51</v>
      </c>
    </row>
    <row r="890" spans="1:20" x14ac:dyDescent="0.3">
      <c r="A890" s="1">
        <v>45635</v>
      </c>
      <c r="B890" s="2" t="s">
        <v>69</v>
      </c>
      <c r="C890" s="2" t="s">
        <v>32</v>
      </c>
      <c r="D890" s="2" t="s">
        <v>46</v>
      </c>
      <c r="E890">
        <v>2618</v>
      </c>
      <c r="F890" t="b">
        <v>0</v>
      </c>
      <c r="G890" s="2" t="s">
        <v>23</v>
      </c>
      <c r="H890" s="2" t="s">
        <v>35</v>
      </c>
      <c r="I890" s="2" t="s">
        <v>47</v>
      </c>
      <c r="J890" s="2" t="s">
        <v>26</v>
      </c>
      <c r="K890">
        <v>4</v>
      </c>
      <c r="L890" s="2" t="s">
        <v>27</v>
      </c>
      <c r="M890" s="2" t="s">
        <v>66</v>
      </c>
      <c r="N890" t="b">
        <v>1</v>
      </c>
      <c r="O890">
        <v>59</v>
      </c>
      <c r="P890" s="2" t="s">
        <v>29</v>
      </c>
      <c r="Q890">
        <v>1</v>
      </c>
      <c r="R890">
        <v>1</v>
      </c>
      <c r="S890">
        <v>2453</v>
      </c>
      <c r="T890" s="2" t="s">
        <v>38</v>
      </c>
    </row>
    <row r="891" spans="1:20" x14ac:dyDescent="0.3">
      <c r="A891" s="1">
        <v>45636</v>
      </c>
      <c r="B891" s="2" t="s">
        <v>75</v>
      </c>
      <c r="C891" s="2" t="s">
        <v>56</v>
      </c>
      <c r="D891" s="2" t="s">
        <v>46</v>
      </c>
      <c r="E891">
        <v>3054</v>
      </c>
      <c r="F891" t="b">
        <v>0</v>
      </c>
      <c r="G891" s="2" t="s">
        <v>64</v>
      </c>
      <c r="H891" s="2" t="s">
        <v>35</v>
      </c>
      <c r="I891" s="2" t="s">
        <v>25</v>
      </c>
      <c r="J891" s="2" t="s">
        <v>26</v>
      </c>
      <c r="K891">
        <v>1</v>
      </c>
      <c r="L891" s="2" t="s">
        <v>49</v>
      </c>
      <c r="M891" s="2" t="s">
        <v>58</v>
      </c>
      <c r="N891" t="b">
        <v>0</v>
      </c>
      <c r="O891">
        <v>94</v>
      </c>
      <c r="P891" s="2" t="s">
        <v>29</v>
      </c>
      <c r="Q891">
        <v>8</v>
      </c>
      <c r="R891">
        <v>3</v>
      </c>
      <c r="S891">
        <v>3060</v>
      </c>
      <c r="T891" s="2" t="s">
        <v>51</v>
      </c>
    </row>
    <row r="892" spans="1:20" x14ac:dyDescent="0.3">
      <c r="A892" s="1">
        <v>45636</v>
      </c>
      <c r="B892" s="2" t="s">
        <v>72</v>
      </c>
      <c r="C892" s="2" t="s">
        <v>32</v>
      </c>
      <c r="D892" s="2" t="s">
        <v>33</v>
      </c>
      <c r="E892">
        <v>4549</v>
      </c>
      <c r="F892" t="b">
        <v>0</v>
      </c>
      <c r="G892" s="2" t="s">
        <v>23</v>
      </c>
      <c r="H892" s="2" t="s">
        <v>41</v>
      </c>
      <c r="I892" s="2" t="s">
        <v>47</v>
      </c>
      <c r="J892" s="2" t="s">
        <v>26</v>
      </c>
      <c r="K892">
        <v>0</v>
      </c>
      <c r="L892" s="2" t="s">
        <v>27</v>
      </c>
      <c r="M892" s="2" t="s">
        <v>66</v>
      </c>
      <c r="N892" t="b">
        <v>1</v>
      </c>
      <c r="O892">
        <v>2</v>
      </c>
      <c r="P892" s="2" t="s">
        <v>50</v>
      </c>
      <c r="Q892">
        <v>9</v>
      </c>
      <c r="R892">
        <v>1</v>
      </c>
      <c r="S892">
        <v>2918</v>
      </c>
      <c r="T892" s="2" t="s">
        <v>51</v>
      </c>
    </row>
    <row r="893" spans="1:20" x14ac:dyDescent="0.3">
      <c r="A893" s="1">
        <v>45637</v>
      </c>
      <c r="B893" s="2" t="s">
        <v>76</v>
      </c>
      <c r="C893" s="2" t="s">
        <v>45</v>
      </c>
      <c r="D893" s="2" t="s">
        <v>57</v>
      </c>
      <c r="E893">
        <v>1000</v>
      </c>
      <c r="F893" t="b">
        <v>0</v>
      </c>
      <c r="G893" s="2" t="s">
        <v>40</v>
      </c>
      <c r="H893" s="2" t="s">
        <v>41</v>
      </c>
      <c r="I893" s="2" t="s">
        <v>25</v>
      </c>
      <c r="J893" s="2" t="s">
        <v>48</v>
      </c>
      <c r="K893">
        <v>0</v>
      </c>
      <c r="L893" s="2" t="s">
        <v>27</v>
      </c>
      <c r="M893" s="2" t="s">
        <v>58</v>
      </c>
      <c r="N893" t="b">
        <v>0</v>
      </c>
      <c r="O893">
        <v>89</v>
      </c>
      <c r="P893" s="2" t="s">
        <v>50</v>
      </c>
      <c r="Q893">
        <v>5</v>
      </c>
      <c r="R893">
        <v>2</v>
      </c>
      <c r="S893">
        <v>4749</v>
      </c>
      <c r="T893" s="2" t="s">
        <v>30</v>
      </c>
    </row>
    <row r="894" spans="1:20" x14ac:dyDescent="0.3">
      <c r="A894" s="1">
        <v>45637</v>
      </c>
      <c r="B894" s="2" t="s">
        <v>71</v>
      </c>
      <c r="C894" s="2" t="s">
        <v>32</v>
      </c>
      <c r="D894" s="2" t="s">
        <v>46</v>
      </c>
      <c r="E894">
        <v>3172</v>
      </c>
      <c r="F894" t="b">
        <v>0</v>
      </c>
      <c r="G894" s="2" t="s">
        <v>34</v>
      </c>
      <c r="H894" s="2" t="s">
        <v>35</v>
      </c>
      <c r="I894" s="2" t="s">
        <v>25</v>
      </c>
      <c r="J894" s="2" t="s">
        <v>26</v>
      </c>
      <c r="K894">
        <v>5</v>
      </c>
      <c r="L894" s="2" t="s">
        <v>27</v>
      </c>
      <c r="M894" s="2" t="s">
        <v>28</v>
      </c>
      <c r="N894" t="b">
        <v>0</v>
      </c>
      <c r="O894">
        <v>19</v>
      </c>
      <c r="P894" s="2" t="s">
        <v>29</v>
      </c>
      <c r="Q894">
        <v>3</v>
      </c>
      <c r="R894">
        <v>2</v>
      </c>
      <c r="S894">
        <v>2519</v>
      </c>
      <c r="T894" s="2" t="s">
        <v>51</v>
      </c>
    </row>
    <row r="895" spans="1:20" x14ac:dyDescent="0.3">
      <c r="A895" s="1">
        <v>45638</v>
      </c>
      <c r="B895" s="2" t="s">
        <v>74</v>
      </c>
      <c r="C895" s="2" t="s">
        <v>45</v>
      </c>
      <c r="D895" s="2" t="s">
        <v>46</v>
      </c>
      <c r="E895">
        <v>3645</v>
      </c>
      <c r="F895" t="b">
        <v>0</v>
      </c>
      <c r="G895" s="2" t="s">
        <v>64</v>
      </c>
      <c r="H895" s="2" t="s">
        <v>24</v>
      </c>
      <c r="I895" s="2" t="s">
        <v>59</v>
      </c>
      <c r="J895" s="2" t="s">
        <v>43</v>
      </c>
      <c r="K895">
        <v>1</v>
      </c>
      <c r="L895" s="2" t="s">
        <v>49</v>
      </c>
      <c r="M895" s="2" t="s">
        <v>28</v>
      </c>
      <c r="N895" t="b">
        <v>0</v>
      </c>
      <c r="O895">
        <v>109</v>
      </c>
      <c r="P895" s="2" t="s">
        <v>63</v>
      </c>
      <c r="Q895">
        <v>1</v>
      </c>
      <c r="R895">
        <v>1</v>
      </c>
      <c r="S895">
        <v>933</v>
      </c>
      <c r="T895" s="2" t="s">
        <v>30</v>
      </c>
    </row>
    <row r="896" spans="1:20" x14ac:dyDescent="0.3">
      <c r="A896" s="1">
        <v>45638</v>
      </c>
      <c r="B896" s="2" t="s">
        <v>71</v>
      </c>
      <c r="C896" s="2" t="s">
        <v>45</v>
      </c>
      <c r="D896" s="2" t="s">
        <v>22</v>
      </c>
      <c r="E896">
        <v>8918</v>
      </c>
      <c r="F896" t="b">
        <v>0</v>
      </c>
      <c r="G896" s="2" t="s">
        <v>34</v>
      </c>
      <c r="H896" s="2" t="s">
        <v>35</v>
      </c>
      <c r="I896" s="2" t="s">
        <v>59</v>
      </c>
      <c r="J896" s="2" t="s">
        <v>48</v>
      </c>
      <c r="K896">
        <v>5</v>
      </c>
      <c r="L896" s="2" t="s">
        <v>36</v>
      </c>
      <c r="M896" s="2" t="s">
        <v>66</v>
      </c>
      <c r="N896" t="b">
        <v>0</v>
      </c>
      <c r="O896">
        <v>55</v>
      </c>
      <c r="P896" s="2" t="s">
        <v>37</v>
      </c>
      <c r="Q896">
        <v>2</v>
      </c>
      <c r="R896">
        <v>3</v>
      </c>
      <c r="S896">
        <v>4562</v>
      </c>
      <c r="T896" s="2" t="s">
        <v>51</v>
      </c>
    </row>
    <row r="897" spans="1:20" x14ac:dyDescent="0.3">
      <c r="A897" s="1">
        <v>45638</v>
      </c>
      <c r="B897" s="2" t="s">
        <v>44</v>
      </c>
      <c r="C897" s="2" t="s">
        <v>32</v>
      </c>
      <c r="D897" s="2" t="s">
        <v>57</v>
      </c>
      <c r="E897">
        <v>1000</v>
      </c>
      <c r="F897" t="b">
        <v>1</v>
      </c>
      <c r="G897" s="2" t="s">
        <v>65</v>
      </c>
      <c r="H897" s="2" t="s">
        <v>41</v>
      </c>
      <c r="I897" s="2" t="s">
        <v>47</v>
      </c>
      <c r="J897" s="2" t="s">
        <v>43</v>
      </c>
      <c r="K897">
        <v>4</v>
      </c>
      <c r="L897" s="2" t="s">
        <v>36</v>
      </c>
      <c r="M897" s="2" t="s">
        <v>66</v>
      </c>
      <c r="N897" t="b">
        <v>1</v>
      </c>
      <c r="O897">
        <v>108</v>
      </c>
      <c r="P897" s="2" t="s">
        <v>50</v>
      </c>
      <c r="Q897">
        <v>7</v>
      </c>
      <c r="R897">
        <v>3</v>
      </c>
      <c r="S897">
        <v>2271</v>
      </c>
      <c r="T897" s="2" t="s">
        <v>38</v>
      </c>
    </row>
    <row r="898" spans="1:20" x14ac:dyDescent="0.3">
      <c r="A898" s="1">
        <v>45639</v>
      </c>
      <c r="B898" s="2" t="s">
        <v>31</v>
      </c>
      <c r="C898" s="2" t="s">
        <v>32</v>
      </c>
      <c r="D898" s="2" t="s">
        <v>33</v>
      </c>
      <c r="E898">
        <v>3508</v>
      </c>
      <c r="F898" t="b">
        <v>0</v>
      </c>
      <c r="G898" s="2" t="s">
        <v>65</v>
      </c>
      <c r="H898" s="2" t="s">
        <v>70</v>
      </c>
      <c r="I898" s="2" t="s">
        <v>47</v>
      </c>
      <c r="J898" s="2" t="s">
        <v>26</v>
      </c>
      <c r="K898">
        <v>3</v>
      </c>
      <c r="L898" s="2" t="s">
        <v>36</v>
      </c>
      <c r="M898" s="2" t="s">
        <v>66</v>
      </c>
      <c r="N898" t="b">
        <v>0</v>
      </c>
      <c r="O898">
        <v>1</v>
      </c>
      <c r="P898" s="2" t="s">
        <v>50</v>
      </c>
      <c r="Q898">
        <v>8</v>
      </c>
      <c r="R898">
        <v>2</v>
      </c>
      <c r="S898">
        <v>3733</v>
      </c>
      <c r="T898" s="2" t="s">
        <v>51</v>
      </c>
    </row>
    <row r="899" spans="1:20" x14ac:dyDescent="0.3">
      <c r="A899" s="1">
        <v>45640</v>
      </c>
      <c r="B899" s="2" t="s">
        <v>72</v>
      </c>
      <c r="C899" s="2" t="s">
        <v>56</v>
      </c>
      <c r="D899" s="2" t="s">
        <v>53</v>
      </c>
      <c r="E899">
        <v>4311</v>
      </c>
      <c r="F899" t="b">
        <v>1</v>
      </c>
      <c r="G899" s="2" t="s">
        <v>23</v>
      </c>
      <c r="H899" s="2" t="s">
        <v>24</v>
      </c>
      <c r="I899" s="2" t="s">
        <v>25</v>
      </c>
      <c r="J899" s="2" t="s">
        <v>26</v>
      </c>
      <c r="K899">
        <v>4</v>
      </c>
      <c r="L899" s="2" t="s">
        <v>36</v>
      </c>
      <c r="M899" s="2" t="s">
        <v>58</v>
      </c>
      <c r="N899" t="b">
        <v>1</v>
      </c>
      <c r="O899">
        <v>83</v>
      </c>
      <c r="P899" s="2" t="s">
        <v>37</v>
      </c>
      <c r="Q899">
        <v>3</v>
      </c>
      <c r="R899">
        <v>2</v>
      </c>
      <c r="S899">
        <v>1138</v>
      </c>
      <c r="T899" s="2" t="s">
        <v>30</v>
      </c>
    </row>
    <row r="900" spans="1:20" x14ac:dyDescent="0.3">
      <c r="A900" s="1">
        <v>45640</v>
      </c>
      <c r="B900" s="2" t="s">
        <v>75</v>
      </c>
      <c r="C900" s="2" t="s">
        <v>32</v>
      </c>
      <c r="D900" s="2" t="s">
        <v>46</v>
      </c>
      <c r="E900">
        <v>4776</v>
      </c>
      <c r="F900" t="b">
        <v>0</v>
      </c>
      <c r="G900" s="2" t="s">
        <v>40</v>
      </c>
      <c r="H900" s="2" t="s">
        <v>24</v>
      </c>
      <c r="I900" s="2" t="s">
        <v>42</v>
      </c>
      <c r="J900" s="2" t="s">
        <v>43</v>
      </c>
      <c r="K900">
        <v>4</v>
      </c>
      <c r="L900" s="2" t="s">
        <v>36</v>
      </c>
      <c r="M900" s="2" t="s">
        <v>66</v>
      </c>
      <c r="N900" t="b">
        <v>0</v>
      </c>
      <c r="O900">
        <v>64</v>
      </c>
      <c r="P900" s="2" t="s">
        <v>29</v>
      </c>
      <c r="Q900">
        <v>10</v>
      </c>
      <c r="R900">
        <v>1</v>
      </c>
      <c r="S900">
        <v>4540</v>
      </c>
      <c r="T900" s="2" t="s">
        <v>30</v>
      </c>
    </row>
    <row r="901" spans="1:20" x14ac:dyDescent="0.3">
      <c r="A901" s="1">
        <v>45640</v>
      </c>
      <c r="B901" s="2" t="s">
        <v>74</v>
      </c>
      <c r="C901" s="2" t="s">
        <v>60</v>
      </c>
      <c r="D901" s="2" t="s">
        <v>61</v>
      </c>
      <c r="E901">
        <v>1000</v>
      </c>
      <c r="F901" t="b">
        <v>0</v>
      </c>
      <c r="G901" s="2" t="s">
        <v>34</v>
      </c>
      <c r="H901" s="2" t="s">
        <v>41</v>
      </c>
      <c r="I901" s="2" t="s">
        <v>42</v>
      </c>
      <c r="J901" s="2" t="s">
        <v>48</v>
      </c>
      <c r="K901">
        <v>2</v>
      </c>
      <c r="L901" s="2" t="s">
        <v>36</v>
      </c>
      <c r="M901" s="2" t="s">
        <v>73</v>
      </c>
      <c r="N901" t="b">
        <v>0</v>
      </c>
      <c r="O901">
        <v>61</v>
      </c>
      <c r="P901" s="2" t="s">
        <v>37</v>
      </c>
      <c r="Q901">
        <v>1</v>
      </c>
      <c r="R901">
        <v>1</v>
      </c>
      <c r="S901">
        <v>2262</v>
      </c>
      <c r="T901" s="2" t="s">
        <v>38</v>
      </c>
    </row>
    <row r="902" spans="1:20" x14ac:dyDescent="0.3">
      <c r="A902" s="1">
        <v>45640</v>
      </c>
      <c r="B902" s="2" t="s">
        <v>71</v>
      </c>
      <c r="C902" s="2" t="s">
        <v>32</v>
      </c>
      <c r="D902" s="2" t="s">
        <v>53</v>
      </c>
      <c r="E902">
        <v>7612</v>
      </c>
      <c r="F902" t="b">
        <v>0</v>
      </c>
      <c r="G902" s="2" t="s">
        <v>65</v>
      </c>
      <c r="H902" s="2" t="s">
        <v>24</v>
      </c>
      <c r="I902" s="2" t="s">
        <v>47</v>
      </c>
      <c r="J902" s="2" t="s">
        <v>43</v>
      </c>
      <c r="K902">
        <v>4</v>
      </c>
      <c r="L902" s="2" t="s">
        <v>36</v>
      </c>
      <c r="M902" s="2" t="s">
        <v>73</v>
      </c>
      <c r="N902" t="b">
        <v>1</v>
      </c>
      <c r="O902">
        <v>105</v>
      </c>
      <c r="P902" s="2" t="s">
        <v>29</v>
      </c>
      <c r="Q902">
        <v>3</v>
      </c>
      <c r="R902">
        <v>3</v>
      </c>
      <c r="S902">
        <v>3517</v>
      </c>
      <c r="T902" s="2" t="s">
        <v>30</v>
      </c>
    </row>
    <row r="903" spans="1:20" x14ac:dyDescent="0.3">
      <c r="A903" s="1">
        <v>45640</v>
      </c>
      <c r="B903" s="2" t="s">
        <v>71</v>
      </c>
      <c r="C903" s="2" t="s">
        <v>60</v>
      </c>
      <c r="D903" s="2" t="s">
        <v>46</v>
      </c>
      <c r="E903">
        <v>1509</v>
      </c>
      <c r="F903" t="b">
        <v>0</v>
      </c>
      <c r="G903" s="2" t="s">
        <v>40</v>
      </c>
      <c r="H903" s="2" t="s">
        <v>24</v>
      </c>
      <c r="I903" s="2" t="s">
        <v>59</v>
      </c>
      <c r="J903" s="2" t="s">
        <v>43</v>
      </c>
      <c r="K903">
        <v>1</v>
      </c>
      <c r="L903" s="2" t="s">
        <v>49</v>
      </c>
      <c r="M903" s="2" t="s">
        <v>66</v>
      </c>
      <c r="N903" t="b">
        <v>0</v>
      </c>
      <c r="O903">
        <v>78</v>
      </c>
      <c r="P903" s="2" t="s">
        <v>63</v>
      </c>
      <c r="Q903">
        <v>7</v>
      </c>
      <c r="R903">
        <v>3</v>
      </c>
      <c r="S903">
        <v>2090</v>
      </c>
      <c r="T903" s="2" t="s">
        <v>51</v>
      </c>
    </row>
    <row r="904" spans="1:20" x14ac:dyDescent="0.3">
      <c r="A904" s="1">
        <v>45640</v>
      </c>
      <c r="B904" s="2" t="s">
        <v>76</v>
      </c>
      <c r="C904" s="2" t="s">
        <v>60</v>
      </c>
      <c r="D904" s="2" t="s">
        <v>33</v>
      </c>
      <c r="E904">
        <v>3166</v>
      </c>
      <c r="F904" t="b">
        <v>0</v>
      </c>
      <c r="G904" s="2" t="s">
        <v>34</v>
      </c>
      <c r="H904" s="2" t="s">
        <v>35</v>
      </c>
      <c r="I904" s="2" t="s">
        <v>59</v>
      </c>
      <c r="J904" s="2" t="s">
        <v>26</v>
      </c>
      <c r="K904">
        <v>2</v>
      </c>
      <c r="L904" s="2" t="s">
        <v>27</v>
      </c>
      <c r="M904" s="2" t="s">
        <v>73</v>
      </c>
      <c r="N904" t="b">
        <v>1</v>
      </c>
      <c r="O904">
        <v>120</v>
      </c>
      <c r="P904" s="2" t="s">
        <v>37</v>
      </c>
      <c r="Q904">
        <v>8</v>
      </c>
      <c r="R904">
        <v>2</v>
      </c>
      <c r="S904">
        <v>4858</v>
      </c>
      <c r="T904" s="2" t="s">
        <v>30</v>
      </c>
    </row>
    <row r="905" spans="1:20" x14ac:dyDescent="0.3">
      <c r="A905" s="1">
        <v>45640</v>
      </c>
      <c r="B905" s="2" t="s">
        <v>77</v>
      </c>
      <c r="C905" s="2" t="s">
        <v>21</v>
      </c>
      <c r="D905" s="2" t="s">
        <v>57</v>
      </c>
      <c r="E905">
        <v>1000</v>
      </c>
      <c r="F905" t="b">
        <v>0</v>
      </c>
      <c r="G905" s="2" t="s">
        <v>34</v>
      </c>
      <c r="H905" s="2" t="s">
        <v>35</v>
      </c>
      <c r="I905" s="2" t="s">
        <v>25</v>
      </c>
      <c r="J905" s="2" t="s">
        <v>48</v>
      </c>
      <c r="K905">
        <v>4</v>
      </c>
      <c r="L905" s="2" t="s">
        <v>36</v>
      </c>
      <c r="M905" s="2" t="s">
        <v>66</v>
      </c>
      <c r="N905" t="b">
        <v>1</v>
      </c>
      <c r="O905">
        <v>18</v>
      </c>
      <c r="P905" s="2" t="s">
        <v>50</v>
      </c>
      <c r="Q905">
        <v>2</v>
      </c>
      <c r="R905">
        <v>3</v>
      </c>
      <c r="S905">
        <v>1157</v>
      </c>
      <c r="T905" s="2" t="s">
        <v>30</v>
      </c>
    </row>
    <row r="906" spans="1:20" x14ac:dyDescent="0.3">
      <c r="A906" s="1">
        <v>45640</v>
      </c>
      <c r="B906" s="2" t="s">
        <v>52</v>
      </c>
      <c r="C906" s="2" t="s">
        <v>45</v>
      </c>
      <c r="D906" s="2" t="s">
        <v>33</v>
      </c>
      <c r="E906">
        <v>2848</v>
      </c>
      <c r="F906" t="b">
        <v>0</v>
      </c>
      <c r="G906" s="2" t="s">
        <v>64</v>
      </c>
      <c r="H906" s="2" t="s">
        <v>41</v>
      </c>
      <c r="I906" s="2" t="s">
        <v>47</v>
      </c>
      <c r="J906" s="2" t="s">
        <v>48</v>
      </c>
      <c r="K906">
        <v>0</v>
      </c>
      <c r="L906" s="2" t="s">
        <v>27</v>
      </c>
      <c r="M906" s="2" t="s">
        <v>58</v>
      </c>
      <c r="N906" t="b">
        <v>1</v>
      </c>
      <c r="O906">
        <v>113</v>
      </c>
      <c r="P906" s="2" t="s">
        <v>50</v>
      </c>
      <c r="Q906">
        <v>8</v>
      </c>
      <c r="R906">
        <v>2</v>
      </c>
      <c r="S906">
        <v>2983</v>
      </c>
      <c r="T906" s="2" t="s">
        <v>30</v>
      </c>
    </row>
    <row r="907" spans="1:20" x14ac:dyDescent="0.3">
      <c r="A907" s="1">
        <v>45641</v>
      </c>
      <c r="B907" s="2" t="s">
        <v>75</v>
      </c>
      <c r="C907" s="2" t="s">
        <v>56</v>
      </c>
      <c r="D907" s="2" t="s">
        <v>22</v>
      </c>
      <c r="E907">
        <v>9777</v>
      </c>
      <c r="F907" t="b">
        <v>0</v>
      </c>
      <c r="G907" s="2" t="s">
        <v>65</v>
      </c>
      <c r="H907" s="2" t="s">
        <v>70</v>
      </c>
      <c r="I907" s="2" t="s">
        <v>25</v>
      </c>
      <c r="J907" s="2" t="s">
        <v>48</v>
      </c>
      <c r="K907">
        <v>5</v>
      </c>
      <c r="L907" s="2" t="s">
        <v>36</v>
      </c>
      <c r="M907" s="2" t="s">
        <v>28</v>
      </c>
      <c r="N907" t="b">
        <v>1</v>
      </c>
      <c r="O907">
        <v>99</v>
      </c>
      <c r="P907" s="2" t="s">
        <v>37</v>
      </c>
      <c r="Q907">
        <v>3</v>
      </c>
      <c r="R907">
        <v>3</v>
      </c>
      <c r="S907">
        <v>4191</v>
      </c>
      <c r="T907" s="2" t="s">
        <v>51</v>
      </c>
    </row>
    <row r="908" spans="1:20" x14ac:dyDescent="0.3">
      <c r="A908" s="1">
        <v>45642</v>
      </c>
      <c r="B908" s="2" t="s">
        <v>44</v>
      </c>
      <c r="C908" s="2" t="s">
        <v>60</v>
      </c>
      <c r="D908" s="2" t="s">
        <v>61</v>
      </c>
      <c r="E908">
        <v>1000</v>
      </c>
      <c r="F908" t="b">
        <v>0</v>
      </c>
      <c r="G908" s="2" t="s">
        <v>34</v>
      </c>
      <c r="H908" s="2" t="s">
        <v>41</v>
      </c>
      <c r="I908" s="2" t="s">
        <v>25</v>
      </c>
      <c r="J908" s="2" t="s">
        <v>26</v>
      </c>
      <c r="K908">
        <v>3</v>
      </c>
      <c r="L908" s="2" t="s">
        <v>27</v>
      </c>
      <c r="M908" s="2" t="s">
        <v>66</v>
      </c>
      <c r="N908" t="b">
        <v>0</v>
      </c>
      <c r="O908">
        <v>107</v>
      </c>
      <c r="P908" s="2" t="s">
        <v>29</v>
      </c>
      <c r="Q908">
        <v>7</v>
      </c>
      <c r="R908">
        <v>3</v>
      </c>
      <c r="S908">
        <v>2747</v>
      </c>
      <c r="T908" s="2" t="s">
        <v>30</v>
      </c>
    </row>
    <row r="909" spans="1:20" x14ac:dyDescent="0.3">
      <c r="A909" s="1">
        <v>45642</v>
      </c>
      <c r="B909" s="2" t="s">
        <v>71</v>
      </c>
      <c r="C909" s="2" t="s">
        <v>45</v>
      </c>
      <c r="D909" s="2" t="s">
        <v>46</v>
      </c>
      <c r="E909">
        <v>2682</v>
      </c>
      <c r="F909" t="b">
        <v>0</v>
      </c>
      <c r="G909" s="2" t="s">
        <v>65</v>
      </c>
      <c r="H909" s="2" t="s">
        <v>35</v>
      </c>
      <c r="I909" s="2" t="s">
        <v>25</v>
      </c>
      <c r="J909" s="2" t="s">
        <v>48</v>
      </c>
      <c r="K909">
        <v>5</v>
      </c>
      <c r="L909" s="2" t="s">
        <v>49</v>
      </c>
      <c r="M909" s="2" t="s">
        <v>28</v>
      </c>
      <c r="N909" t="b">
        <v>0</v>
      </c>
      <c r="O909">
        <v>91</v>
      </c>
      <c r="P909" s="2" t="s">
        <v>63</v>
      </c>
      <c r="Q909">
        <v>10</v>
      </c>
      <c r="R909">
        <v>1</v>
      </c>
      <c r="S909">
        <v>4847</v>
      </c>
      <c r="T909" s="2" t="s">
        <v>51</v>
      </c>
    </row>
    <row r="910" spans="1:20" x14ac:dyDescent="0.3">
      <c r="A910" s="1">
        <v>45642</v>
      </c>
      <c r="B910" s="2" t="s">
        <v>20</v>
      </c>
      <c r="C910" s="2" t="s">
        <v>32</v>
      </c>
      <c r="D910" s="2" t="s">
        <v>22</v>
      </c>
      <c r="E910">
        <v>7609</v>
      </c>
      <c r="F910" t="b">
        <v>0</v>
      </c>
      <c r="G910" s="2" t="s">
        <v>40</v>
      </c>
      <c r="H910" s="2" t="s">
        <v>24</v>
      </c>
      <c r="I910" s="2" t="s">
        <v>42</v>
      </c>
      <c r="J910" s="2" t="s">
        <v>54</v>
      </c>
      <c r="K910">
        <v>1</v>
      </c>
      <c r="L910" s="2" t="s">
        <v>27</v>
      </c>
      <c r="M910" s="2" t="s">
        <v>28</v>
      </c>
      <c r="N910" t="b">
        <v>0</v>
      </c>
      <c r="O910">
        <v>83</v>
      </c>
      <c r="P910" s="2" t="s">
        <v>63</v>
      </c>
      <c r="Q910">
        <v>5</v>
      </c>
      <c r="R910">
        <v>1</v>
      </c>
      <c r="S910">
        <v>4706</v>
      </c>
      <c r="T910" s="2" t="s">
        <v>38</v>
      </c>
    </row>
    <row r="911" spans="1:20" x14ac:dyDescent="0.3">
      <c r="A911" s="1">
        <v>45642</v>
      </c>
      <c r="B911" s="2" t="s">
        <v>68</v>
      </c>
      <c r="C911" s="2" t="s">
        <v>56</v>
      </c>
      <c r="D911" s="2" t="s">
        <v>53</v>
      </c>
      <c r="E911">
        <v>2386</v>
      </c>
      <c r="F911" t="b">
        <v>0</v>
      </c>
      <c r="G911" s="2" t="s">
        <v>40</v>
      </c>
      <c r="H911" s="2" t="s">
        <v>70</v>
      </c>
      <c r="I911" s="2" t="s">
        <v>25</v>
      </c>
      <c r="J911" s="2" t="s">
        <v>26</v>
      </c>
      <c r="K911">
        <v>4</v>
      </c>
      <c r="L911" s="2" t="s">
        <v>49</v>
      </c>
      <c r="M911" s="2" t="s">
        <v>66</v>
      </c>
      <c r="N911" t="b">
        <v>1</v>
      </c>
      <c r="O911">
        <v>120</v>
      </c>
      <c r="P911" s="2" t="s">
        <v>29</v>
      </c>
      <c r="Q911">
        <v>9</v>
      </c>
      <c r="R911">
        <v>2</v>
      </c>
      <c r="S911">
        <v>2520</v>
      </c>
      <c r="T911" s="2" t="s">
        <v>51</v>
      </c>
    </row>
    <row r="912" spans="1:20" x14ac:dyDescent="0.3">
      <c r="A912" s="1">
        <v>45642</v>
      </c>
      <c r="B912" s="2" t="s">
        <v>20</v>
      </c>
      <c r="C912" s="2" t="s">
        <v>32</v>
      </c>
      <c r="D912" s="2" t="s">
        <v>46</v>
      </c>
      <c r="E912">
        <v>1373</v>
      </c>
      <c r="F912" t="b">
        <v>0</v>
      </c>
      <c r="G912" s="2" t="s">
        <v>65</v>
      </c>
      <c r="H912" s="2" t="s">
        <v>35</v>
      </c>
      <c r="I912" s="2" t="s">
        <v>59</v>
      </c>
      <c r="J912" s="2" t="s">
        <v>26</v>
      </c>
      <c r="K912">
        <v>0</v>
      </c>
      <c r="L912" s="2" t="s">
        <v>36</v>
      </c>
      <c r="M912" s="2" t="s">
        <v>66</v>
      </c>
      <c r="N912" t="b">
        <v>0</v>
      </c>
      <c r="O912">
        <v>21</v>
      </c>
      <c r="P912" s="2" t="s">
        <v>29</v>
      </c>
      <c r="Q912">
        <v>8</v>
      </c>
      <c r="R912">
        <v>3</v>
      </c>
      <c r="S912">
        <v>959</v>
      </c>
      <c r="T912" s="2" t="s">
        <v>51</v>
      </c>
    </row>
    <row r="913" spans="1:20" x14ac:dyDescent="0.3">
      <c r="A913" s="1">
        <v>45642</v>
      </c>
      <c r="B913" s="2" t="s">
        <v>69</v>
      </c>
      <c r="C913" s="2" t="s">
        <v>45</v>
      </c>
      <c r="D913" s="2" t="s">
        <v>46</v>
      </c>
      <c r="E913">
        <v>2252</v>
      </c>
      <c r="F913" t="b">
        <v>1</v>
      </c>
      <c r="G913" s="2" t="s">
        <v>64</v>
      </c>
      <c r="H913" s="2" t="s">
        <v>70</v>
      </c>
      <c r="I913" s="2" t="s">
        <v>25</v>
      </c>
      <c r="J913" s="2" t="s">
        <v>54</v>
      </c>
      <c r="K913">
        <v>3</v>
      </c>
      <c r="L913" s="2" t="s">
        <v>36</v>
      </c>
      <c r="M913" s="2" t="s">
        <v>28</v>
      </c>
      <c r="N913" t="b">
        <v>0</v>
      </c>
      <c r="O913">
        <v>75</v>
      </c>
      <c r="P913" s="2" t="s">
        <v>29</v>
      </c>
      <c r="Q913">
        <v>5</v>
      </c>
      <c r="R913">
        <v>1</v>
      </c>
      <c r="S913">
        <v>2661</v>
      </c>
      <c r="T913" s="2" t="s">
        <v>51</v>
      </c>
    </row>
    <row r="914" spans="1:20" x14ac:dyDescent="0.3">
      <c r="A914" s="1">
        <v>45642</v>
      </c>
      <c r="B914" s="2" t="s">
        <v>75</v>
      </c>
      <c r="C914" s="2" t="s">
        <v>32</v>
      </c>
      <c r="D914" s="2" t="s">
        <v>57</v>
      </c>
      <c r="E914">
        <v>1000</v>
      </c>
      <c r="F914" t="b">
        <v>1</v>
      </c>
      <c r="G914" s="2" t="s">
        <v>65</v>
      </c>
      <c r="H914" s="2" t="s">
        <v>41</v>
      </c>
      <c r="I914" s="2" t="s">
        <v>59</v>
      </c>
      <c r="J914" s="2" t="s">
        <v>43</v>
      </c>
      <c r="K914">
        <v>4</v>
      </c>
      <c r="L914" s="2" t="s">
        <v>49</v>
      </c>
      <c r="M914" s="2" t="s">
        <v>73</v>
      </c>
      <c r="N914" t="b">
        <v>1</v>
      </c>
      <c r="O914">
        <v>48</v>
      </c>
      <c r="P914" s="2" t="s">
        <v>50</v>
      </c>
      <c r="Q914">
        <v>4</v>
      </c>
      <c r="R914">
        <v>3</v>
      </c>
      <c r="S914">
        <v>3818</v>
      </c>
      <c r="T914" s="2" t="s">
        <v>38</v>
      </c>
    </row>
    <row r="915" spans="1:20" x14ac:dyDescent="0.3">
      <c r="A915" s="1">
        <v>45643</v>
      </c>
      <c r="B915" s="2" t="s">
        <v>72</v>
      </c>
      <c r="C915" s="2" t="s">
        <v>56</v>
      </c>
      <c r="D915" s="2" t="s">
        <v>57</v>
      </c>
      <c r="E915">
        <v>1000</v>
      </c>
      <c r="F915" t="b">
        <v>0</v>
      </c>
      <c r="G915" s="2" t="s">
        <v>23</v>
      </c>
      <c r="H915" s="2" t="s">
        <v>70</v>
      </c>
      <c r="I915" s="2" t="s">
        <v>59</v>
      </c>
      <c r="J915" s="2" t="s">
        <v>48</v>
      </c>
      <c r="K915">
        <v>1</v>
      </c>
      <c r="L915" s="2" t="s">
        <v>49</v>
      </c>
      <c r="M915" s="2" t="s">
        <v>73</v>
      </c>
      <c r="N915" t="b">
        <v>0</v>
      </c>
      <c r="O915">
        <v>57</v>
      </c>
      <c r="P915" s="2" t="s">
        <v>63</v>
      </c>
      <c r="Q915">
        <v>5</v>
      </c>
      <c r="R915">
        <v>2</v>
      </c>
      <c r="S915">
        <v>4345</v>
      </c>
      <c r="T915" s="2" t="s">
        <v>30</v>
      </c>
    </row>
    <row r="916" spans="1:20" x14ac:dyDescent="0.3">
      <c r="A916" s="1">
        <v>45643</v>
      </c>
      <c r="B916" s="2" t="s">
        <v>72</v>
      </c>
      <c r="C916" s="2" t="s">
        <v>56</v>
      </c>
      <c r="D916" s="2" t="s">
        <v>53</v>
      </c>
      <c r="E916">
        <v>2658</v>
      </c>
      <c r="F916" t="b">
        <v>0</v>
      </c>
      <c r="G916" s="2" t="s">
        <v>64</v>
      </c>
      <c r="H916" s="2" t="s">
        <v>35</v>
      </c>
      <c r="I916" s="2" t="s">
        <v>47</v>
      </c>
      <c r="J916" s="2" t="s">
        <v>54</v>
      </c>
      <c r="K916">
        <v>2</v>
      </c>
      <c r="L916" s="2" t="s">
        <v>27</v>
      </c>
      <c r="M916" s="2" t="s">
        <v>73</v>
      </c>
      <c r="N916" t="b">
        <v>1</v>
      </c>
      <c r="O916">
        <v>11</v>
      </c>
      <c r="P916" s="2" t="s">
        <v>67</v>
      </c>
      <c r="Q916">
        <v>4</v>
      </c>
      <c r="R916">
        <v>3</v>
      </c>
      <c r="S916">
        <v>549</v>
      </c>
      <c r="T916" s="2" t="s">
        <v>38</v>
      </c>
    </row>
    <row r="917" spans="1:20" x14ac:dyDescent="0.3">
      <c r="A917" s="1">
        <v>45643</v>
      </c>
      <c r="B917" s="2" t="s">
        <v>77</v>
      </c>
      <c r="C917" s="2" t="s">
        <v>21</v>
      </c>
      <c r="D917" s="2" t="s">
        <v>46</v>
      </c>
      <c r="E917">
        <v>2927</v>
      </c>
      <c r="F917" t="b">
        <v>1</v>
      </c>
      <c r="G917" s="2" t="s">
        <v>64</v>
      </c>
      <c r="H917" s="2" t="s">
        <v>24</v>
      </c>
      <c r="I917" s="2" t="s">
        <v>47</v>
      </c>
      <c r="J917" s="2" t="s">
        <v>26</v>
      </c>
      <c r="K917">
        <v>1</v>
      </c>
      <c r="L917" s="2" t="s">
        <v>27</v>
      </c>
      <c r="M917" s="2" t="s">
        <v>66</v>
      </c>
      <c r="N917" t="b">
        <v>1</v>
      </c>
      <c r="O917">
        <v>66</v>
      </c>
      <c r="P917" s="2" t="s">
        <v>37</v>
      </c>
      <c r="Q917">
        <v>4</v>
      </c>
      <c r="R917">
        <v>1</v>
      </c>
      <c r="S917">
        <v>3337</v>
      </c>
      <c r="T917" s="2" t="s">
        <v>51</v>
      </c>
    </row>
    <row r="918" spans="1:20" x14ac:dyDescent="0.3">
      <c r="A918" s="1">
        <v>45643</v>
      </c>
      <c r="B918" s="2" t="s">
        <v>39</v>
      </c>
      <c r="C918" s="2" t="s">
        <v>56</v>
      </c>
      <c r="D918" s="2" t="s">
        <v>57</v>
      </c>
      <c r="E918">
        <v>1000</v>
      </c>
      <c r="F918" t="b">
        <v>1</v>
      </c>
      <c r="G918" s="2" t="s">
        <v>34</v>
      </c>
      <c r="H918" s="2" t="s">
        <v>41</v>
      </c>
      <c r="I918" s="2" t="s">
        <v>25</v>
      </c>
      <c r="J918" s="2" t="s">
        <v>48</v>
      </c>
      <c r="K918">
        <v>5</v>
      </c>
      <c r="L918" s="2" t="s">
        <v>36</v>
      </c>
      <c r="M918" s="2" t="s">
        <v>58</v>
      </c>
      <c r="N918" t="b">
        <v>1</v>
      </c>
      <c r="O918">
        <v>80</v>
      </c>
      <c r="P918" s="2" t="s">
        <v>29</v>
      </c>
      <c r="Q918">
        <v>1</v>
      </c>
      <c r="R918">
        <v>1</v>
      </c>
      <c r="S918">
        <v>4974</v>
      </c>
      <c r="T918" s="2" t="s">
        <v>30</v>
      </c>
    </row>
    <row r="919" spans="1:20" x14ac:dyDescent="0.3">
      <c r="A919" s="1">
        <v>45644</v>
      </c>
      <c r="B919" s="2" t="s">
        <v>72</v>
      </c>
      <c r="C919" s="2" t="s">
        <v>21</v>
      </c>
      <c r="D919" s="2" t="s">
        <v>22</v>
      </c>
      <c r="E919">
        <v>6565</v>
      </c>
      <c r="F919" t="b">
        <v>0</v>
      </c>
      <c r="G919" s="2" t="s">
        <v>34</v>
      </c>
      <c r="H919" s="2" t="s">
        <v>24</v>
      </c>
      <c r="I919" s="2" t="s">
        <v>25</v>
      </c>
      <c r="J919" s="2" t="s">
        <v>26</v>
      </c>
      <c r="K919">
        <v>1</v>
      </c>
      <c r="L919" s="2" t="s">
        <v>36</v>
      </c>
      <c r="M919" s="2" t="s">
        <v>28</v>
      </c>
      <c r="N919" t="b">
        <v>0</v>
      </c>
      <c r="O919">
        <v>33</v>
      </c>
      <c r="P919" s="2" t="s">
        <v>50</v>
      </c>
      <c r="Q919">
        <v>6</v>
      </c>
      <c r="R919">
        <v>1</v>
      </c>
      <c r="S919">
        <v>677</v>
      </c>
      <c r="T919" s="2" t="s">
        <v>38</v>
      </c>
    </row>
    <row r="920" spans="1:20" x14ac:dyDescent="0.3">
      <c r="A920" s="1">
        <v>45645</v>
      </c>
      <c r="B920" s="2" t="s">
        <v>76</v>
      </c>
      <c r="C920" s="2" t="s">
        <v>32</v>
      </c>
      <c r="D920" s="2" t="s">
        <v>57</v>
      </c>
      <c r="E920">
        <v>1000</v>
      </c>
      <c r="F920" t="b">
        <v>0</v>
      </c>
      <c r="G920" s="2" t="s">
        <v>40</v>
      </c>
      <c r="H920" s="2" t="s">
        <v>70</v>
      </c>
      <c r="I920" s="2" t="s">
        <v>25</v>
      </c>
      <c r="J920" s="2" t="s">
        <v>48</v>
      </c>
      <c r="K920">
        <v>5</v>
      </c>
      <c r="L920" s="2" t="s">
        <v>27</v>
      </c>
      <c r="M920" s="2" t="s">
        <v>58</v>
      </c>
      <c r="N920" t="b">
        <v>0</v>
      </c>
      <c r="O920">
        <v>85</v>
      </c>
      <c r="P920" s="2" t="s">
        <v>29</v>
      </c>
      <c r="Q920">
        <v>3</v>
      </c>
      <c r="R920">
        <v>2</v>
      </c>
      <c r="S920">
        <v>1543</v>
      </c>
      <c r="T920" s="2" t="s">
        <v>30</v>
      </c>
    </row>
    <row r="921" spans="1:20" x14ac:dyDescent="0.3">
      <c r="A921" s="1">
        <v>45645</v>
      </c>
      <c r="B921" s="2" t="s">
        <v>71</v>
      </c>
      <c r="C921" s="2" t="s">
        <v>32</v>
      </c>
      <c r="D921" s="2" t="s">
        <v>53</v>
      </c>
      <c r="E921">
        <v>5401</v>
      </c>
      <c r="F921" t="b">
        <v>0</v>
      </c>
      <c r="G921" s="2" t="s">
        <v>34</v>
      </c>
      <c r="H921" s="2" t="s">
        <v>24</v>
      </c>
      <c r="I921" s="2" t="s">
        <v>25</v>
      </c>
      <c r="J921" s="2" t="s">
        <v>26</v>
      </c>
      <c r="K921">
        <v>5</v>
      </c>
      <c r="L921" s="2" t="s">
        <v>27</v>
      </c>
      <c r="M921" s="2" t="s">
        <v>66</v>
      </c>
      <c r="N921" t="b">
        <v>1</v>
      </c>
      <c r="O921">
        <v>3</v>
      </c>
      <c r="P921" s="2" t="s">
        <v>37</v>
      </c>
      <c r="Q921">
        <v>6</v>
      </c>
      <c r="R921">
        <v>3</v>
      </c>
      <c r="S921">
        <v>4212</v>
      </c>
      <c r="T921" s="2" t="s">
        <v>51</v>
      </c>
    </row>
    <row r="922" spans="1:20" x14ac:dyDescent="0.3">
      <c r="A922" s="1">
        <v>45646</v>
      </c>
      <c r="B922" s="2" t="s">
        <v>52</v>
      </c>
      <c r="C922" s="2" t="s">
        <v>21</v>
      </c>
      <c r="D922" s="2" t="s">
        <v>33</v>
      </c>
      <c r="E922">
        <v>2751</v>
      </c>
      <c r="F922" t="b">
        <v>0</v>
      </c>
      <c r="G922" s="2" t="s">
        <v>65</v>
      </c>
      <c r="H922" s="2" t="s">
        <v>70</v>
      </c>
      <c r="I922" s="2" t="s">
        <v>59</v>
      </c>
      <c r="J922" s="2" t="s">
        <v>26</v>
      </c>
      <c r="K922">
        <v>1</v>
      </c>
      <c r="L922" s="2" t="s">
        <v>36</v>
      </c>
      <c r="M922" s="2" t="s">
        <v>28</v>
      </c>
      <c r="N922" t="b">
        <v>0</v>
      </c>
      <c r="O922">
        <v>112</v>
      </c>
      <c r="P922" s="2" t="s">
        <v>50</v>
      </c>
      <c r="Q922">
        <v>7</v>
      </c>
      <c r="R922">
        <v>2</v>
      </c>
      <c r="S922">
        <v>4654</v>
      </c>
      <c r="T922" s="2" t="s">
        <v>51</v>
      </c>
    </row>
    <row r="923" spans="1:20" x14ac:dyDescent="0.3">
      <c r="A923" s="1">
        <v>45646</v>
      </c>
      <c r="B923" s="2" t="s">
        <v>62</v>
      </c>
      <c r="C923" s="2" t="s">
        <v>56</v>
      </c>
      <c r="D923" s="2" t="s">
        <v>22</v>
      </c>
      <c r="E923">
        <v>8532</v>
      </c>
      <c r="F923" t="b">
        <v>1</v>
      </c>
      <c r="G923" s="2" t="s">
        <v>64</v>
      </c>
      <c r="H923" s="2" t="s">
        <v>70</v>
      </c>
      <c r="I923" s="2" t="s">
        <v>59</v>
      </c>
      <c r="J923" s="2" t="s">
        <v>26</v>
      </c>
      <c r="K923">
        <v>2</v>
      </c>
      <c r="L923" s="2" t="s">
        <v>49</v>
      </c>
      <c r="M923" s="2" t="s">
        <v>58</v>
      </c>
      <c r="N923" t="b">
        <v>0</v>
      </c>
      <c r="O923">
        <v>115</v>
      </c>
      <c r="P923" s="2" t="s">
        <v>37</v>
      </c>
      <c r="Q923">
        <v>10</v>
      </c>
      <c r="R923">
        <v>2</v>
      </c>
      <c r="S923">
        <v>3259</v>
      </c>
      <c r="T923" s="2" t="s">
        <v>30</v>
      </c>
    </row>
    <row r="924" spans="1:20" x14ac:dyDescent="0.3">
      <c r="A924" s="1">
        <v>45646</v>
      </c>
      <c r="B924" s="2" t="s">
        <v>69</v>
      </c>
      <c r="C924" s="2" t="s">
        <v>32</v>
      </c>
      <c r="D924" s="2" t="s">
        <v>53</v>
      </c>
      <c r="E924">
        <v>2415</v>
      </c>
      <c r="F924" t="b">
        <v>0</v>
      </c>
      <c r="G924" s="2" t="s">
        <v>40</v>
      </c>
      <c r="H924" s="2" t="s">
        <v>70</v>
      </c>
      <c r="I924" s="2" t="s">
        <v>47</v>
      </c>
      <c r="J924" s="2" t="s">
        <v>43</v>
      </c>
      <c r="K924">
        <v>1</v>
      </c>
      <c r="L924" s="2" t="s">
        <v>36</v>
      </c>
      <c r="M924" s="2" t="s">
        <v>73</v>
      </c>
      <c r="N924" t="b">
        <v>1</v>
      </c>
      <c r="O924">
        <v>62</v>
      </c>
      <c r="P924" s="2" t="s">
        <v>50</v>
      </c>
      <c r="Q924">
        <v>1</v>
      </c>
      <c r="R924">
        <v>3</v>
      </c>
      <c r="S924">
        <v>1541</v>
      </c>
      <c r="T924" s="2" t="s">
        <v>51</v>
      </c>
    </row>
    <row r="925" spans="1:20" x14ac:dyDescent="0.3">
      <c r="A925" s="1">
        <v>45646</v>
      </c>
      <c r="B925" s="2" t="s">
        <v>71</v>
      </c>
      <c r="C925" s="2" t="s">
        <v>32</v>
      </c>
      <c r="D925" s="2" t="s">
        <v>53</v>
      </c>
      <c r="E925">
        <v>3600</v>
      </c>
      <c r="F925" t="b">
        <v>0</v>
      </c>
      <c r="G925" s="2" t="s">
        <v>64</v>
      </c>
      <c r="H925" s="2" t="s">
        <v>24</v>
      </c>
      <c r="I925" s="2" t="s">
        <v>25</v>
      </c>
      <c r="J925" s="2" t="s">
        <v>48</v>
      </c>
      <c r="K925">
        <v>5</v>
      </c>
      <c r="L925" s="2" t="s">
        <v>27</v>
      </c>
      <c r="M925" s="2" t="s">
        <v>58</v>
      </c>
      <c r="N925" t="b">
        <v>0</v>
      </c>
      <c r="O925">
        <v>1</v>
      </c>
      <c r="P925" s="2" t="s">
        <v>63</v>
      </c>
      <c r="Q925">
        <v>4</v>
      </c>
      <c r="R925">
        <v>3</v>
      </c>
      <c r="S925">
        <v>4887</v>
      </c>
      <c r="T925" s="2" t="s">
        <v>30</v>
      </c>
    </row>
    <row r="926" spans="1:20" x14ac:dyDescent="0.3">
      <c r="A926" s="1">
        <v>45647</v>
      </c>
      <c r="B926" s="2" t="s">
        <v>77</v>
      </c>
      <c r="C926" s="2" t="s">
        <v>56</v>
      </c>
      <c r="D926" s="2" t="s">
        <v>53</v>
      </c>
      <c r="E926">
        <v>5038</v>
      </c>
      <c r="F926" t="b">
        <v>0</v>
      </c>
      <c r="G926" s="2" t="s">
        <v>34</v>
      </c>
      <c r="H926" s="2" t="s">
        <v>24</v>
      </c>
      <c r="I926" s="2" t="s">
        <v>42</v>
      </c>
      <c r="J926" s="2" t="s">
        <v>43</v>
      </c>
      <c r="K926">
        <v>2</v>
      </c>
      <c r="L926" s="2" t="s">
        <v>49</v>
      </c>
      <c r="M926" s="2" t="s">
        <v>58</v>
      </c>
      <c r="N926" t="b">
        <v>1</v>
      </c>
      <c r="O926">
        <v>15</v>
      </c>
      <c r="P926" s="2" t="s">
        <v>50</v>
      </c>
      <c r="Q926">
        <v>1</v>
      </c>
      <c r="R926">
        <v>1</v>
      </c>
      <c r="S926">
        <v>1858</v>
      </c>
      <c r="T926" s="2" t="s">
        <v>51</v>
      </c>
    </row>
    <row r="927" spans="1:20" x14ac:dyDescent="0.3">
      <c r="A927" s="1">
        <v>45647</v>
      </c>
      <c r="B927" s="2" t="s">
        <v>20</v>
      </c>
      <c r="C927" s="2" t="s">
        <v>60</v>
      </c>
      <c r="D927" s="2" t="s">
        <v>22</v>
      </c>
      <c r="E927">
        <v>5828</v>
      </c>
      <c r="F927" t="b">
        <v>0</v>
      </c>
      <c r="G927" s="2" t="s">
        <v>34</v>
      </c>
      <c r="H927" s="2" t="s">
        <v>24</v>
      </c>
      <c r="I927" s="2" t="s">
        <v>59</v>
      </c>
      <c r="J927" s="2" t="s">
        <v>26</v>
      </c>
      <c r="K927">
        <v>1</v>
      </c>
      <c r="L927" s="2" t="s">
        <v>36</v>
      </c>
      <c r="M927" s="2" t="s">
        <v>58</v>
      </c>
      <c r="N927" t="b">
        <v>1</v>
      </c>
      <c r="O927">
        <v>46</v>
      </c>
      <c r="P927" s="2" t="s">
        <v>67</v>
      </c>
      <c r="Q927">
        <v>9</v>
      </c>
      <c r="R927">
        <v>1</v>
      </c>
      <c r="S927">
        <v>4176</v>
      </c>
      <c r="T927" s="2" t="s">
        <v>30</v>
      </c>
    </row>
    <row r="928" spans="1:20" x14ac:dyDescent="0.3">
      <c r="A928" s="1">
        <v>45647</v>
      </c>
      <c r="B928" s="2" t="s">
        <v>72</v>
      </c>
      <c r="C928" s="2" t="s">
        <v>21</v>
      </c>
      <c r="D928" s="2" t="s">
        <v>22</v>
      </c>
      <c r="E928">
        <v>7858</v>
      </c>
      <c r="F928" t="b">
        <v>1</v>
      </c>
      <c r="G928" s="2" t="s">
        <v>64</v>
      </c>
      <c r="H928" s="2" t="s">
        <v>41</v>
      </c>
      <c r="I928" s="2" t="s">
        <v>25</v>
      </c>
      <c r="J928" s="2" t="s">
        <v>26</v>
      </c>
      <c r="K928">
        <v>0</v>
      </c>
      <c r="L928" s="2" t="s">
        <v>27</v>
      </c>
      <c r="M928" s="2" t="s">
        <v>58</v>
      </c>
      <c r="N928" t="b">
        <v>0</v>
      </c>
      <c r="O928">
        <v>34</v>
      </c>
      <c r="P928" s="2" t="s">
        <v>37</v>
      </c>
      <c r="Q928">
        <v>2</v>
      </c>
      <c r="R928">
        <v>1</v>
      </c>
      <c r="S928">
        <v>3615</v>
      </c>
      <c r="T928" s="2" t="s">
        <v>51</v>
      </c>
    </row>
    <row r="929" spans="1:20" x14ac:dyDescent="0.3">
      <c r="A929" s="1">
        <v>45647</v>
      </c>
      <c r="B929" s="2" t="s">
        <v>62</v>
      </c>
      <c r="C929" s="2" t="s">
        <v>56</v>
      </c>
      <c r="D929" s="2" t="s">
        <v>33</v>
      </c>
      <c r="E929">
        <v>3051</v>
      </c>
      <c r="F929" t="b">
        <v>0</v>
      </c>
      <c r="G929" s="2" t="s">
        <v>40</v>
      </c>
      <c r="H929" s="2" t="s">
        <v>41</v>
      </c>
      <c r="I929" s="2" t="s">
        <v>42</v>
      </c>
      <c r="J929" s="2" t="s">
        <v>26</v>
      </c>
      <c r="K929">
        <v>5</v>
      </c>
      <c r="L929" s="2" t="s">
        <v>27</v>
      </c>
      <c r="M929" s="2" t="s">
        <v>28</v>
      </c>
      <c r="N929" t="b">
        <v>0</v>
      </c>
      <c r="O929">
        <v>46</v>
      </c>
      <c r="P929" s="2" t="s">
        <v>37</v>
      </c>
      <c r="Q929">
        <v>3</v>
      </c>
      <c r="R929">
        <v>2</v>
      </c>
      <c r="S929">
        <v>3823</v>
      </c>
      <c r="T929" s="2" t="s">
        <v>38</v>
      </c>
    </row>
    <row r="930" spans="1:20" x14ac:dyDescent="0.3">
      <c r="A930" s="1">
        <v>45648</v>
      </c>
      <c r="B930" s="2" t="s">
        <v>69</v>
      </c>
      <c r="C930" s="2" t="s">
        <v>60</v>
      </c>
      <c r="D930" s="2" t="s">
        <v>33</v>
      </c>
      <c r="E930">
        <v>3044</v>
      </c>
      <c r="F930" t="b">
        <v>0</v>
      </c>
      <c r="G930" s="2" t="s">
        <v>65</v>
      </c>
      <c r="H930" s="2" t="s">
        <v>24</v>
      </c>
      <c r="I930" s="2" t="s">
        <v>59</v>
      </c>
      <c r="J930" s="2" t="s">
        <v>26</v>
      </c>
      <c r="K930">
        <v>4</v>
      </c>
      <c r="L930" s="2" t="s">
        <v>49</v>
      </c>
      <c r="M930" s="2" t="s">
        <v>73</v>
      </c>
      <c r="N930" t="b">
        <v>1</v>
      </c>
      <c r="O930">
        <v>61</v>
      </c>
      <c r="P930" s="2" t="s">
        <v>37</v>
      </c>
      <c r="Q930">
        <v>4</v>
      </c>
      <c r="R930">
        <v>1</v>
      </c>
      <c r="S930">
        <v>1400</v>
      </c>
      <c r="T930" s="2" t="s">
        <v>51</v>
      </c>
    </row>
    <row r="931" spans="1:20" x14ac:dyDescent="0.3">
      <c r="A931" s="1">
        <v>45648</v>
      </c>
      <c r="B931" s="2" t="s">
        <v>75</v>
      </c>
      <c r="C931" s="2" t="s">
        <v>56</v>
      </c>
      <c r="D931" s="2" t="s">
        <v>57</v>
      </c>
      <c r="E931">
        <v>1000</v>
      </c>
      <c r="F931" t="b">
        <v>0</v>
      </c>
      <c r="G931" s="2" t="s">
        <v>34</v>
      </c>
      <c r="H931" s="2" t="s">
        <v>24</v>
      </c>
      <c r="I931" s="2" t="s">
        <v>59</v>
      </c>
      <c r="J931" s="2" t="s">
        <v>26</v>
      </c>
      <c r="K931">
        <v>0</v>
      </c>
      <c r="L931" s="2" t="s">
        <v>27</v>
      </c>
      <c r="M931" s="2" t="s">
        <v>66</v>
      </c>
      <c r="N931" t="b">
        <v>1</v>
      </c>
      <c r="O931">
        <v>84</v>
      </c>
      <c r="P931" s="2" t="s">
        <v>29</v>
      </c>
      <c r="Q931">
        <v>9</v>
      </c>
      <c r="R931">
        <v>3</v>
      </c>
      <c r="S931">
        <v>3382</v>
      </c>
      <c r="T931" s="2" t="s">
        <v>38</v>
      </c>
    </row>
    <row r="932" spans="1:20" x14ac:dyDescent="0.3">
      <c r="A932" s="1">
        <v>45648</v>
      </c>
      <c r="B932" s="2" t="s">
        <v>62</v>
      </c>
      <c r="C932" s="2" t="s">
        <v>32</v>
      </c>
      <c r="D932" s="2" t="s">
        <v>46</v>
      </c>
      <c r="E932">
        <v>4339</v>
      </c>
      <c r="F932" t="b">
        <v>0</v>
      </c>
      <c r="G932" s="2" t="s">
        <v>23</v>
      </c>
      <c r="H932" s="2" t="s">
        <v>35</v>
      </c>
      <c r="I932" s="2" t="s">
        <v>42</v>
      </c>
      <c r="J932" s="2" t="s">
        <v>48</v>
      </c>
      <c r="K932">
        <v>4</v>
      </c>
      <c r="L932" s="2" t="s">
        <v>36</v>
      </c>
      <c r="M932" s="2" t="s">
        <v>66</v>
      </c>
      <c r="N932" t="b">
        <v>1</v>
      </c>
      <c r="O932">
        <v>37</v>
      </c>
      <c r="P932" s="2" t="s">
        <v>37</v>
      </c>
      <c r="Q932">
        <v>1</v>
      </c>
      <c r="R932">
        <v>1</v>
      </c>
      <c r="S932">
        <v>2038</v>
      </c>
      <c r="T932" s="2" t="s">
        <v>51</v>
      </c>
    </row>
    <row r="933" spans="1:20" x14ac:dyDescent="0.3">
      <c r="A933" s="1">
        <v>45649</v>
      </c>
      <c r="B933" s="2" t="s">
        <v>20</v>
      </c>
      <c r="C933" s="2" t="s">
        <v>45</v>
      </c>
      <c r="D933" s="2" t="s">
        <v>46</v>
      </c>
      <c r="E933">
        <v>1441</v>
      </c>
      <c r="F933" t="b">
        <v>0</v>
      </c>
      <c r="G933" s="2" t="s">
        <v>65</v>
      </c>
      <c r="H933" s="2" t="s">
        <v>35</v>
      </c>
      <c r="I933" s="2" t="s">
        <v>25</v>
      </c>
      <c r="J933" s="2" t="s">
        <v>26</v>
      </c>
      <c r="K933">
        <v>1</v>
      </c>
      <c r="L933" s="2" t="s">
        <v>36</v>
      </c>
      <c r="M933" s="2" t="s">
        <v>28</v>
      </c>
      <c r="N933" t="b">
        <v>0</v>
      </c>
      <c r="O933">
        <v>78</v>
      </c>
      <c r="P933" s="2" t="s">
        <v>29</v>
      </c>
      <c r="Q933">
        <v>8</v>
      </c>
      <c r="R933">
        <v>3</v>
      </c>
      <c r="S933">
        <v>4371</v>
      </c>
      <c r="T933" s="2" t="s">
        <v>51</v>
      </c>
    </row>
    <row r="934" spans="1:20" x14ac:dyDescent="0.3">
      <c r="A934" s="1">
        <v>45649</v>
      </c>
      <c r="B934" s="2" t="s">
        <v>71</v>
      </c>
      <c r="C934" s="2" t="s">
        <v>56</v>
      </c>
      <c r="D934" s="2" t="s">
        <v>22</v>
      </c>
      <c r="E934">
        <v>7370</v>
      </c>
      <c r="F934" t="b">
        <v>1</v>
      </c>
      <c r="G934" s="2" t="s">
        <v>64</v>
      </c>
      <c r="H934" s="2" t="s">
        <v>41</v>
      </c>
      <c r="I934" s="2" t="s">
        <v>42</v>
      </c>
      <c r="J934" s="2" t="s">
        <v>48</v>
      </c>
      <c r="K934">
        <v>2</v>
      </c>
      <c r="L934" s="2" t="s">
        <v>49</v>
      </c>
      <c r="M934" s="2" t="s">
        <v>28</v>
      </c>
      <c r="N934" t="b">
        <v>0</v>
      </c>
      <c r="O934">
        <v>9</v>
      </c>
      <c r="P934" s="2" t="s">
        <v>37</v>
      </c>
      <c r="Q934">
        <v>2</v>
      </c>
      <c r="R934">
        <v>2</v>
      </c>
      <c r="S934">
        <v>3012</v>
      </c>
      <c r="T934" s="2" t="s">
        <v>38</v>
      </c>
    </row>
    <row r="935" spans="1:20" x14ac:dyDescent="0.3">
      <c r="A935" s="1">
        <v>45649</v>
      </c>
      <c r="B935" s="2" t="s">
        <v>39</v>
      </c>
      <c r="C935" s="2" t="s">
        <v>45</v>
      </c>
      <c r="D935" s="2" t="s">
        <v>46</v>
      </c>
      <c r="E935">
        <v>3435</v>
      </c>
      <c r="F935" t="b">
        <v>0</v>
      </c>
      <c r="G935" s="2" t="s">
        <v>40</v>
      </c>
      <c r="H935" s="2" t="s">
        <v>35</v>
      </c>
      <c r="I935" s="2" t="s">
        <v>42</v>
      </c>
      <c r="J935" s="2" t="s">
        <v>54</v>
      </c>
      <c r="K935">
        <v>1</v>
      </c>
      <c r="L935" s="2" t="s">
        <v>36</v>
      </c>
      <c r="M935" s="2" t="s">
        <v>28</v>
      </c>
      <c r="N935" t="b">
        <v>1</v>
      </c>
      <c r="O935">
        <v>21</v>
      </c>
      <c r="P935" s="2" t="s">
        <v>29</v>
      </c>
      <c r="Q935">
        <v>2</v>
      </c>
      <c r="R935">
        <v>1</v>
      </c>
      <c r="S935">
        <v>2559</v>
      </c>
      <c r="T935" s="2" t="s">
        <v>38</v>
      </c>
    </row>
    <row r="936" spans="1:20" x14ac:dyDescent="0.3">
      <c r="A936" s="1">
        <v>45650</v>
      </c>
      <c r="B936" s="2" t="s">
        <v>20</v>
      </c>
      <c r="C936" s="2" t="s">
        <v>60</v>
      </c>
      <c r="D936" s="2" t="s">
        <v>46</v>
      </c>
      <c r="E936">
        <v>3506</v>
      </c>
      <c r="F936" t="b">
        <v>0</v>
      </c>
      <c r="G936" s="2" t="s">
        <v>40</v>
      </c>
      <c r="H936" s="2" t="s">
        <v>35</v>
      </c>
      <c r="I936" s="2" t="s">
        <v>25</v>
      </c>
      <c r="J936" s="2" t="s">
        <v>48</v>
      </c>
      <c r="K936">
        <v>0</v>
      </c>
      <c r="L936" s="2" t="s">
        <v>49</v>
      </c>
      <c r="M936" s="2" t="s">
        <v>58</v>
      </c>
      <c r="N936" t="b">
        <v>1</v>
      </c>
      <c r="O936">
        <v>105</v>
      </c>
      <c r="P936" s="2" t="s">
        <v>37</v>
      </c>
      <c r="Q936">
        <v>7</v>
      </c>
      <c r="R936">
        <v>3</v>
      </c>
      <c r="S936">
        <v>564</v>
      </c>
      <c r="T936" s="2" t="s">
        <v>38</v>
      </c>
    </row>
    <row r="937" spans="1:20" x14ac:dyDescent="0.3">
      <c r="A937" s="1">
        <v>45650</v>
      </c>
      <c r="B937" s="2" t="s">
        <v>44</v>
      </c>
      <c r="C937" s="2" t="s">
        <v>60</v>
      </c>
      <c r="D937" s="2" t="s">
        <v>53</v>
      </c>
      <c r="E937">
        <v>4632</v>
      </c>
      <c r="F937" t="b">
        <v>0</v>
      </c>
      <c r="G937" s="2" t="s">
        <v>65</v>
      </c>
      <c r="H937" s="2" t="s">
        <v>24</v>
      </c>
      <c r="I937" s="2" t="s">
        <v>25</v>
      </c>
      <c r="J937" s="2" t="s">
        <v>54</v>
      </c>
      <c r="K937">
        <v>4</v>
      </c>
      <c r="L937" s="2" t="s">
        <v>49</v>
      </c>
      <c r="M937" s="2" t="s">
        <v>28</v>
      </c>
      <c r="N937" t="b">
        <v>1</v>
      </c>
      <c r="O937">
        <v>11</v>
      </c>
      <c r="P937" s="2" t="s">
        <v>63</v>
      </c>
      <c r="Q937">
        <v>4</v>
      </c>
      <c r="R937">
        <v>2</v>
      </c>
      <c r="S937">
        <v>2337</v>
      </c>
      <c r="T937" s="2" t="s">
        <v>38</v>
      </c>
    </row>
    <row r="938" spans="1:20" x14ac:dyDescent="0.3">
      <c r="A938" s="1">
        <v>45650</v>
      </c>
      <c r="B938" s="2" t="s">
        <v>68</v>
      </c>
      <c r="C938" s="2" t="s">
        <v>56</v>
      </c>
      <c r="D938" s="2" t="s">
        <v>53</v>
      </c>
      <c r="E938">
        <v>7986</v>
      </c>
      <c r="F938" t="b">
        <v>0</v>
      </c>
      <c r="G938" s="2" t="s">
        <v>34</v>
      </c>
      <c r="H938" s="2" t="s">
        <v>35</v>
      </c>
      <c r="I938" s="2" t="s">
        <v>47</v>
      </c>
      <c r="J938" s="2" t="s">
        <v>43</v>
      </c>
      <c r="K938">
        <v>5</v>
      </c>
      <c r="L938" s="2" t="s">
        <v>36</v>
      </c>
      <c r="M938" s="2" t="s">
        <v>73</v>
      </c>
      <c r="N938" t="b">
        <v>0</v>
      </c>
      <c r="O938">
        <v>90</v>
      </c>
      <c r="P938" s="2" t="s">
        <v>63</v>
      </c>
      <c r="Q938">
        <v>7</v>
      </c>
      <c r="R938">
        <v>2</v>
      </c>
      <c r="S938">
        <v>3459</v>
      </c>
      <c r="T938" s="2" t="s">
        <v>51</v>
      </c>
    </row>
    <row r="939" spans="1:20" x14ac:dyDescent="0.3">
      <c r="A939" s="1">
        <v>45650</v>
      </c>
      <c r="B939" s="2" t="s">
        <v>69</v>
      </c>
      <c r="C939" s="2" t="s">
        <v>21</v>
      </c>
      <c r="D939" s="2" t="s">
        <v>22</v>
      </c>
      <c r="E939">
        <v>8866</v>
      </c>
      <c r="F939" t="b">
        <v>0</v>
      </c>
      <c r="G939" s="2" t="s">
        <v>23</v>
      </c>
      <c r="H939" s="2" t="s">
        <v>35</v>
      </c>
      <c r="I939" s="2" t="s">
        <v>47</v>
      </c>
      <c r="J939" s="2" t="s">
        <v>26</v>
      </c>
      <c r="K939">
        <v>1</v>
      </c>
      <c r="L939" s="2" t="s">
        <v>49</v>
      </c>
      <c r="M939" s="2" t="s">
        <v>66</v>
      </c>
      <c r="N939" t="b">
        <v>0</v>
      </c>
      <c r="O939">
        <v>90</v>
      </c>
      <c r="P939" s="2" t="s">
        <v>63</v>
      </c>
      <c r="Q939">
        <v>9</v>
      </c>
      <c r="R939">
        <v>1</v>
      </c>
      <c r="S939">
        <v>903</v>
      </c>
      <c r="T939" s="2" t="s">
        <v>30</v>
      </c>
    </row>
    <row r="940" spans="1:20" x14ac:dyDescent="0.3">
      <c r="A940" s="1">
        <v>45652</v>
      </c>
      <c r="B940" s="2" t="s">
        <v>77</v>
      </c>
      <c r="C940" s="2" t="s">
        <v>21</v>
      </c>
      <c r="D940" s="2" t="s">
        <v>46</v>
      </c>
      <c r="E940">
        <v>1342</v>
      </c>
      <c r="F940" t="b">
        <v>0</v>
      </c>
      <c r="G940" s="2" t="s">
        <v>40</v>
      </c>
      <c r="H940" s="2" t="s">
        <v>41</v>
      </c>
      <c r="I940" s="2" t="s">
        <v>59</v>
      </c>
      <c r="J940" s="2" t="s">
        <v>43</v>
      </c>
      <c r="K940">
        <v>5</v>
      </c>
      <c r="L940" s="2" t="s">
        <v>49</v>
      </c>
      <c r="M940" s="2" t="s">
        <v>28</v>
      </c>
      <c r="N940" t="b">
        <v>1</v>
      </c>
      <c r="O940">
        <v>117</v>
      </c>
      <c r="P940" s="2" t="s">
        <v>67</v>
      </c>
      <c r="Q940">
        <v>5</v>
      </c>
      <c r="R940">
        <v>3</v>
      </c>
      <c r="S940">
        <v>3186</v>
      </c>
      <c r="T940" s="2" t="s">
        <v>38</v>
      </c>
    </row>
    <row r="941" spans="1:20" x14ac:dyDescent="0.3">
      <c r="A941" s="1">
        <v>45652</v>
      </c>
      <c r="B941" s="2" t="s">
        <v>71</v>
      </c>
      <c r="C941" s="2" t="s">
        <v>60</v>
      </c>
      <c r="D941" s="2" t="s">
        <v>22</v>
      </c>
      <c r="E941">
        <v>7507</v>
      </c>
      <c r="F941" t="b">
        <v>0</v>
      </c>
      <c r="G941" s="2" t="s">
        <v>40</v>
      </c>
      <c r="H941" s="2" t="s">
        <v>70</v>
      </c>
      <c r="I941" s="2" t="s">
        <v>42</v>
      </c>
      <c r="J941" s="2" t="s">
        <v>26</v>
      </c>
      <c r="K941">
        <v>1</v>
      </c>
      <c r="L941" s="2" t="s">
        <v>49</v>
      </c>
      <c r="M941" s="2" t="s">
        <v>58</v>
      </c>
      <c r="N941" t="b">
        <v>0</v>
      </c>
      <c r="O941">
        <v>15</v>
      </c>
      <c r="P941" s="2" t="s">
        <v>63</v>
      </c>
      <c r="Q941">
        <v>2</v>
      </c>
      <c r="R941">
        <v>3</v>
      </c>
      <c r="S941">
        <v>4940</v>
      </c>
      <c r="T941" s="2" t="s">
        <v>38</v>
      </c>
    </row>
    <row r="942" spans="1:20" x14ac:dyDescent="0.3">
      <c r="A942" s="1">
        <v>45653</v>
      </c>
      <c r="B942" s="2" t="s">
        <v>77</v>
      </c>
      <c r="C942" s="2" t="s">
        <v>21</v>
      </c>
      <c r="D942" s="2" t="s">
        <v>22</v>
      </c>
      <c r="E942">
        <v>6912</v>
      </c>
      <c r="F942" t="b">
        <v>0</v>
      </c>
      <c r="G942" s="2" t="s">
        <v>65</v>
      </c>
      <c r="H942" s="2" t="s">
        <v>70</v>
      </c>
      <c r="I942" s="2" t="s">
        <v>25</v>
      </c>
      <c r="J942" s="2" t="s">
        <v>54</v>
      </c>
      <c r="K942">
        <v>0</v>
      </c>
      <c r="L942" s="2" t="s">
        <v>27</v>
      </c>
      <c r="M942" s="2" t="s">
        <v>28</v>
      </c>
      <c r="N942" t="b">
        <v>1</v>
      </c>
      <c r="O942">
        <v>35</v>
      </c>
      <c r="P942" s="2" t="s">
        <v>50</v>
      </c>
      <c r="Q942">
        <v>1</v>
      </c>
      <c r="R942">
        <v>2</v>
      </c>
      <c r="S942">
        <v>3912</v>
      </c>
      <c r="T942" s="2" t="s">
        <v>51</v>
      </c>
    </row>
    <row r="943" spans="1:20" x14ac:dyDescent="0.3">
      <c r="A943" s="1">
        <v>45653</v>
      </c>
      <c r="B943" s="2" t="s">
        <v>44</v>
      </c>
      <c r="C943" s="2" t="s">
        <v>21</v>
      </c>
      <c r="D943" s="2" t="s">
        <v>33</v>
      </c>
      <c r="E943">
        <v>2151</v>
      </c>
      <c r="F943" t="b">
        <v>1</v>
      </c>
      <c r="G943" s="2" t="s">
        <v>65</v>
      </c>
      <c r="H943" s="2" t="s">
        <v>41</v>
      </c>
      <c r="I943" s="2" t="s">
        <v>42</v>
      </c>
      <c r="J943" s="2" t="s">
        <v>48</v>
      </c>
      <c r="K943">
        <v>3</v>
      </c>
      <c r="L943" s="2" t="s">
        <v>49</v>
      </c>
      <c r="M943" s="2" t="s">
        <v>58</v>
      </c>
      <c r="N943" t="b">
        <v>0</v>
      </c>
      <c r="O943">
        <v>106</v>
      </c>
      <c r="P943" s="2" t="s">
        <v>50</v>
      </c>
      <c r="Q943">
        <v>1</v>
      </c>
      <c r="R943">
        <v>2</v>
      </c>
      <c r="S943">
        <v>4389</v>
      </c>
      <c r="T943" s="2" t="s">
        <v>51</v>
      </c>
    </row>
    <row r="944" spans="1:20" x14ac:dyDescent="0.3">
      <c r="A944" s="1">
        <v>45653</v>
      </c>
      <c r="B944" s="2" t="s">
        <v>69</v>
      </c>
      <c r="C944" s="2" t="s">
        <v>56</v>
      </c>
      <c r="D944" s="2" t="s">
        <v>53</v>
      </c>
      <c r="E944">
        <v>4843</v>
      </c>
      <c r="F944" t="b">
        <v>0</v>
      </c>
      <c r="G944" s="2" t="s">
        <v>40</v>
      </c>
      <c r="H944" s="2" t="s">
        <v>41</v>
      </c>
      <c r="I944" s="2" t="s">
        <v>42</v>
      </c>
      <c r="J944" s="2" t="s">
        <v>54</v>
      </c>
      <c r="K944">
        <v>4</v>
      </c>
      <c r="L944" s="2" t="s">
        <v>49</v>
      </c>
      <c r="M944" s="2" t="s">
        <v>66</v>
      </c>
      <c r="N944" t="b">
        <v>1</v>
      </c>
      <c r="O944">
        <v>115</v>
      </c>
      <c r="P944" s="2" t="s">
        <v>67</v>
      </c>
      <c r="Q944">
        <v>4</v>
      </c>
      <c r="R944">
        <v>3</v>
      </c>
      <c r="S944">
        <v>3842</v>
      </c>
      <c r="T944" s="2" t="s">
        <v>51</v>
      </c>
    </row>
    <row r="945" spans="1:20" x14ac:dyDescent="0.3">
      <c r="A945" s="1">
        <v>45653</v>
      </c>
      <c r="B945" s="2" t="s">
        <v>75</v>
      </c>
      <c r="C945" s="2" t="s">
        <v>21</v>
      </c>
      <c r="D945" s="2" t="s">
        <v>57</v>
      </c>
      <c r="E945">
        <v>1000</v>
      </c>
      <c r="F945" t="b">
        <v>0</v>
      </c>
      <c r="G945" s="2" t="s">
        <v>64</v>
      </c>
      <c r="H945" s="2" t="s">
        <v>41</v>
      </c>
      <c r="I945" s="2" t="s">
        <v>47</v>
      </c>
      <c r="J945" s="2" t="s">
        <v>26</v>
      </c>
      <c r="K945">
        <v>4</v>
      </c>
      <c r="L945" s="2" t="s">
        <v>49</v>
      </c>
      <c r="M945" s="2" t="s">
        <v>58</v>
      </c>
      <c r="N945" t="b">
        <v>0</v>
      </c>
      <c r="O945">
        <v>24</v>
      </c>
      <c r="P945" s="2" t="s">
        <v>50</v>
      </c>
      <c r="Q945">
        <v>2</v>
      </c>
      <c r="R945">
        <v>1</v>
      </c>
      <c r="S945">
        <v>1886</v>
      </c>
      <c r="T945" s="2" t="s">
        <v>30</v>
      </c>
    </row>
    <row r="946" spans="1:20" x14ac:dyDescent="0.3">
      <c r="A946" s="1">
        <v>45654</v>
      </c>
      <c r="B946" s="2" t="s">
        <v>62</v>
      </c>
      <c r="C946" s="2" t="s">
        <v>45</v>
      </c>
      <c r="D946" s="2" t="s">
        <v>33</v>
      </c>
      <c r="E946">
        <v>2362</v>
      </c>
      <c r="F946" t="b">
        <v>1</v>
      </c>
      <c r="G946" s="2" t="s">
        <v>23</v>
      </c>
      <c r="H946" s="2" t="s">
        <v>70</v>
      </c>
      <c r="I946" s="2" t="s">
        <v>47</v>
      </c>
      <c r="J946" s="2" t="s">
        <v>54</v>
      </c>
      <c r="K946">
        <v>0</v>
      </c>
      <c r="L946" s="2" t="s">
        <v>49</v>
      </c>
      <c r="M946" s="2" t="s">
        <v>73</v>
      </c>
      <c r="N946" t="b">
        <v>0</v>
      </c>
      <c r="O946">
        <v>29</v>
      </c>
      <c r="P946" s="2" t="s">
        <v>29</v>
      </c>
      <c r="Q946">
        <v>6</v>
      </c>
      <c r="R946">
        <v>3</v>
      </c>
      <c r="S946">
        <v>1460</v>
      </c>
      <c r="T946" s="2" t="s">
        <v>38</v>
      </c>
    </row>
    <row r="947" spans="1:20" x14ac:dyDescent="0.3">
      <c r="A947" s="1">
        <v>45654</v>
      </c>
      <c r="B947" s="2" t="s">
        <v>44</v>
      </c>
      <c r="C947" s="2" t="s">
        <v>32</v>
      </c>
      <c r="D947" s="2" t="s">
        <v>46</v>
      </c>
      <c r="E947">
        <v>2353</v>
      </c>
      <c r="F947" t="b">
        <v>0</v>
      </c>
      <c r="G947" s="2" t="s">
        <v>40</v>
      </c>
      <c r="H947" s="2" t="s">
        <v>70</v>
      </c>
      <c r="I947" s="2" t="s">
        <v>42</v>
      </c>
      <c r="J947" s="2" t="s">
        <v>26</v>
      </c>
      <c r="K947">
        <v>2</v>
      </c>
      <c r="L947" s="2" t="s">
        <v>36</v>
      </c>
      <c r="M947" s="2" t="s">
        <v>58</v>
      </c>
      <c r="N947" t="b">
        <v>0</v>
      </c>
      <c r="O947">
        <v>24</v>
      </c>
      <c r="P947" s="2" t="s">
        <v>37</v>
      </c>
      <c r="Q947">
        <v>1</v>
      </c>
      <c r="R947">
        <v>3</v>
      </c>
      <c r="S947">
        <v>1803</v>
      </c>
      <c r="T947" s="2" t="s">
        <v>38</v>
      </c>
    </row>
    <row r="948" spans="1:20" x14ac:dyDescent="0.3">
      <c r="A948" s="1">
        <v>45654</v>
      </c>
      <c r="B948" s="2" t="s">
        <v>75</v>
      </c>
      <c r="C948" s="2" t="s">
        <v>21</v>
      </c>
      <c r="D948" s="2" t="s">
        <v>57</v>
      </c>
      <c r="E948">
        <v>1000</v>
      </c>
      <c r="F948" t="b">
        <v>0</v>
      </c>
      <c r="G948" s="2" t="s">
        <v>34</v>
      </c>
      <c r="H948" s="2" t="s">
        <v>24</v>
      </c>
      <c r="I948" s="2" t="s">
        <v>47</v>
      </c>
      <c r="J948" s="2" t="s">
        <v>54</v>
      </c>
      <c r="K948">
        <v>2</v>
      </c>
      <c r="L948" s="2" t="s">
        <v>27</v>
      </c>
      <c r="M948" s="2" t="s">
        <v>66</v>
      </c>
      <c r="N948" t="b">
        <v>1</v>
      </c>
      <c r="O948">
        <v>3</v>
      </c>
      <c r="P948" s="2" t="s">
        <v>29</v>
      </c>
      <c r="Q948">
        <v>3</v>
      </c>
      <c r="R948">
        <v>2</v>
      </c>
      <c r="S948">
        <v>2834</v>
      </c>
      <c r="T948" s="2" t="s">
        <v>38</v>
      </c>
    </row>
    <row r="949" spans="1:20" x14ac:dyDescent="0.3">
      <c r="A949" s="1">
        <v>45654</v>
      </c>
      <c r="B949" s="2" t="s">
        <v>75</v>
      </c>
      <c r="C949" s="2" t="s">
        <v>32</v>
      </c>
      <c r="D949" s="2" t="s">
        <v>33</v>
      </c>
      <c r="E949">
        <v>3218</v>
      </c>
      <c r="F949" t="b">
        <v>0</v>
      </c>
      <c r="G949" s="2" t="s">
        <v>40</v>
      </c>
      <c r="H949" s="2" t="s">
        <v>41</v>
      </c>
      <c r="I949" s="2" t="s">
        <v>42</v>
      </c>
      <c r="J949" s="2" t="s">
        <v>26</v>
      </c>
      <c r="K949">
        <v>3</v>
      </c>
      <c r="L949" s="2" t="s">
        <v>49</v>
      </c>
      <c r="M949" s="2" t="s">
        <v>58</v>
      </c>
      <c r="N949" t="b">
        <v>0</v>
      </c>
      <c r="O949">
        <v>55</v>
      </c>
      <c r="P949" s="2" t="s">
        <v>37</v>
      </c>
      <c r="Q949">
        <v>2</v>
      </c>
      <c r="R949">
        <v>1</v>
      </c>
      <c r="S949">
        <v>3937</v>
      </c>
      <c r="T949" s="2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7A2CA-526E-4D98-B4F2-F120EA9BB8F0}">
  <dimension ref="A1:V949"/>
  <sheetViews>
    <sheetView topLeftCell="A2" workbookViewId="0">
      <selection activeCell="C14" sqref="C14"/>
    </sheetView>
  </sheetViews>
  <sheetFormatPr defaultRowHeight="14.4" x14ac:dyDescent="0.3"/>
  <cols>
    <col min="1" max="1" width="10.33203125" bestFit="1" customWidth="1"/>
    <col min="2" max="2" width="25.88671875" bestFit="1" customWidth="1"/>
    <col min="3" max="3" width="14.109375" bestFit="1" customWidth="1"/>
    <col min="4" max="4" width="15.44140625" bestFit="1" customWidth="1"/>
    <col min="5" max="5" width="16.77734375" bestFit="1" customWidth="1"/>
    <col min="6" max="6" width="17.21875" bestFit="1" customWidth="1"/>
    <col min="7" max="7" width="19.21875" bestFit="1" customWidth="1"/>
    <col min="8" max="8" width="13.5546875" bestFit="1" customWidth="1"/>
    <col min="9" max="9" width="16.44140625" bestFit="1" customWidth="1"/>
    <col min="10" max="10" width="18" bestFit="1" customWidth="1"/>
    <col min="11" max="11" width="18.33203125" bestFit="1" customWidth="1"/>
    <col min="12" max="12" width="15.5546875" bestFit="1" customWidth="1"/>
    <col min="13" max="13" width="15.77734375" bestFit="1" customWidth="1"/>
    <col min="14" max="14" width="18.5546875" bestFit="1" customWidth="1"/>
    <col min="15" max="15" width="23.6640625" bestFit="1" customWidth="1"/>
    <col min="16" max="16" width="25.77734375" bestFit="1" customWidth="1"/>
    <col min="17" max="17" width="11.44140625" bestFit="1" customWidth="1"/>
    <col min="18" max="18" width="19.6640625" bestFit="1" customWidth="1"/>
    <col min="19" max="20" width="21.21875" bestFit="1" customWidth="1"/>
    <col min="21" max="21" width="16.21875" customWidth="1"/>
    <col min="22" max="22" width="10.6640625" customWidth="1"/>
  </cols>
  <sheetData>
    <row r="1" spans="1:2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6" t="s">
        <v>19</v>
      </c>
      <c r="U1" s="11" t="s">
        <v>86</v>
      </c>
      <c r="V1" s="11" t="s">
        <v>101</v>
      </c>
    </row>
    <row r="2" spans="1:22" x14ac:dyDescent="0.3">
      <c r="A2" s="23">
        <v>45292</v>
      </c>
      <c r="B2" s="7" t="s">
        <v>75</v>
      </c>
      <c r="C2" s="7" t="s">
        <v>60</v>
      </c>
      <c r="D2" s="7" t="s">
        <v>61</v>
      </c>
      <c r="E2" s="4">
        <v>1000</v>
      </c>
      <c r="F2" s="4" t="b">
        <v>0</v>
      </c>
      <c r="G2" s="7" t="s">
        <v>65</v>
      </c>
      <c r="H2" s="7" t="s">
        <v>24</v>
      </c>
      <c r="I2" s="7" t="s">
        <v>47</v>
      </c>
      <c r="J2" s="7" t="s">
        <v>26</v>
      </c>
      <c r="K2" s="4">
        <v>0</v>
      </c>
      <c r="L2" s="7" t="s">
        <v>36</v>
      </c>
      <c r="M2" s="7" t="s">
        <v>66</v>
      </c>
      <c r="N2" s="4" t="b">
        <v>0</v>
      </c>
      <c r="O2" s="4">
        <v>103</v>
      </c>
      <c r="P2" s="7" t="s">
        <v>29</v>
      </c>
      <c r="Q2" s="4">
        <v>7</v>
      </c>
      <c r="R2" s="4">
        <v>3</v>
      </c>
      <c r="S2" s="4">
        <v>2190</v>
      </c>
      <c r="T2" s="8" t="s">
        <v>30</v>
      </c>
      <c r="U2" t="str">
        <f>IF(OR(E2&lt;'Q1'!$E$13,E2&gt;'Q1'!$E$14),"Outliers","Not an Outliers")</f>
        <v>Not an Outliers</v>
      </c>
      <c r="V2" t="str">
        <f>IF(WEEKDAY(A2,2)&gt;5,"Weekend","Weekday")</f>
        <v>Weekday</v>
      </c>
    </row>
    <row r="3" spans="1:22" x14ac:dyDescent="0.3">
      <c r="A3" s="24">
        <v>45292</v>
      </c>
      <c r="B3" s="9" t="s">
        <v>44</v>
      </c>
      <c r="C3" s="9" t="s">
        <v>45</v>
      </c>
      <c r="D3" s="9" t="s">
        <v>57</v>
      </c>
      <c r="E3" s="5">
        <v>1000</v>
      </c>
      <c r="F3" s="5" t="b">
        <v>0</v>
      </c>
      <c r="G3" s="9" t="s">
        <v>23</v>
      </c>
      <c r="H3" s="9" t="s">
        <v>70</v>
      </c>
      <c r="I3" s="9" t="s">
        <v>25</v>
      </c>
      <c r="J3" s="9" t="s">
        <v>26</v>
      </c>
      <c r="K3" s="5">
        <v>2</v>
      </c>
      <c r="L3" s="9" t="s">
        <v>36</v>
      </c>
      <c r="M3" s="9" t="s">
        <v>28</v>
      </c>
      <c r="N3" s="5" t="b">
        <v>1</v>
      </c>
      <c r="O3" s="5">
        <v>32</v>
      </c>
      <c r="P3" s="9" t="s">
        <v>29</v>
      </c>
      <c r="Q3" s="5">
        <v>7</v>
      </c>
      <c r="R3" s="5">
        <v>2</v>
      </c>
      <c r="S3" s="5">
        <v>3386</v>
      </c>
      <c r="T3" s="10" t="s">
        <v>38</v>
      </c>
      <c r="U3" t="str">
        <f>IF(OR(E3&lt;'Q1'!$E$13,E3&gt;'Q1'!$E$14),"Outliers","Not an Outliers")</f>
        <v>Not an Outliers</v>
      </c>
      <c r="V3" t="str">
        <f t="shared" ref="V3:V66" si="0">IF(WEEKDAY(A3,2)&gt;5,"Weekend","Weekday")</f>
        <v>Weekday</v>
      </c>
    </row>
    <row r="4" spans="1:22" x14ac:dyDescent="0.3">
      <c r="A4" s="23">
        <v>45292</v>
      </c>
      <c r="B4" s="7" t="s">
        <v>62</v>
      </c>
      <c r="C4" s="7" t="s">
        <v>56</v>
      </c>
      <c r="D4" s="7" t="s">
        <v>57</v>
      </c>
      <c r="E4" s="4">
        <v>1000</v>
      </c>
      <c r="F4" s="4" t="b">
        <v>1</v>
      </c>
      <c r="G4" s="7" t="s">
        <v>34</v>
      </c>
      <c r="H4" s="7" t="s">
        <v>41</v>
      </c>
      <c r="I4" s="7" t="s">
        <v>42</v>
      </c>
      <c r="J4" s="7" t="s">
        <v>43</v>
      </c>
      <c r="K4" s="4">
        <v>5</v>
      </c>
      <c r="L4" s="7" t="s">
        <v>49</v>
      </c>
      <c r="M4" s="7" t="s">
        <v>66</v>
      </c>
      <c r="N4" s="4" t="b">
        <v>1</v>
      </c>
      <c r="O4" s="4">
        <v>120</v>
      </c>
      <c r="P4" s="7" t="s">
        <v>29</v>
      </c>
      <c r="Q4" s="4">
        <v>9</v>
      </c>
      <c r="R4" s="4">
        <v>2</v>
      </c>
      <c r="S4" s="4">
        <v>3053</v>
      </c>
      <c r="T4" s="8" t="s">
        <v>38</v>
      </c>
      <c r="U4" t="str">
        <f>IF(OR(E4&lt;'Q1'!$E$13,E4&gt;'Q1'!$E$14),"Outliers","Not an Outliers")</f>
        <v>Not an Outliers</v>
      </c>
      <c r="V4" t="str">
        <f t="shared" si="0"/>
        <v>Weekday</v>
      </c>
    </row>
    <row r="5" spans="1:22" x14ac:dyDescent="0.3">
      <c r="A5" s="24">
        <v>45292</v>
      </c>
      <c r="B5" s="9" t="s">
        <v>72</v>
      </c>
      <c r="C5" s="9" t="s">
        <v>21</v>
      </c>
      <c r="D5" s="9" t="s">
        <v>46</v>
      </c>
      <c r="E5" s="5">
        <v>4050</v>
      </c>
      <c r="F5" s="5" t="b">
        <v>0</v>
      </c>
      <c r="G5" s="9" t="s">
        <v>40</v>
      </c>
      <c r="H5" s="9" t="s">
        <v>70</v>
      </c>
      <c r="I5" s="9" t="s">
        <v>42</v>
      </c>
      <c r="J5" s="9" t="s">
        <v>26</v>
      </c>
      <c r="K5" s="5">
        <v>2</v>
      </c>
      <c r="L5" s="9" t="s">
        <v>27</v>
      </c>
      <c r="M5" s="9" t="s">
        <v>58</v>
      </c>
      <c r="N5" s="5" t="b">
        <v>1</v>
      </c>
      <c r="O5" s="5">
        <v>72</v>
      </c>
      <c r="P5" s="9" t="s">
        <v>50</v>
      </c>
      <c r="Q5" s="5">
        <v>2</v>
      </c>
      <c r="R5" s="5">
        <v>2</v>
      </c>
      <c r="S5" s="5">
        <v>3796</v>
      </c>
      <c r="T5" s="10" t="s">
        <v>38</v>
      </c>
      <c r="U5" t="str">
        <f>IF(OR(E5&lt;'Q1'!$E$13,E5&gt;'Q1'!$E$14),"Outliers","Not an Outliers")</f>
        <v>Not an Outliers</v>
      </c>
      <c r="V5" t="str">
        <f t="shared" si="0"/>
        <v>Weekday</v>
      </c>
    </row>
    <row r="6" spans="1:22" x14ac:dyDescent="0.3">
      <c r="A6" s="23">
        <v>45292</v>
      </c>
      <c r="B6" s="7" t="s">
        <v>76</v>
      </c>
      <c r="C6" s="7" t="s">
        <v>56</v>
      </c>
      <c r="D6" s="7" t="s">
        <v>33</v>
      </c>
      <c r="E6" s="4">
        <v>2548</v>
      </c>
      <c r="F6" s="4" t="b">
        <v>0</v>
      </c>
      <c r="G6" s="7" t="s">
        <v>23</v>
      </c>
      <c r="H6" s="7" t="s">
        <v>35</v>
      </c>
      <c r="I6" s="7" t="s">
        <v>25</v>
      </c>
      <c r="J6" s="7" t="s">
        <v>54</v>
      </c>
      <c r="K6" s="4">
        <v>4</v>
      </c>
      <c r="L6" s="7" t="s">
        <v>36</v>
      </c>
      <c r="M6" s="7" t="s">
        <v>66</v>
      </c>
      <c r="N6" s="4" t="b">
        <v>1</v>
      </c>
      <c r="O6" s="4">
        <v>79</v>
      </c>
      <c r="P6" s="7" t="s">
        <v>63</v>
      </c>
      <c r="Q6" s="4">
        <v>8</v>
      </c>
      <c r="R6" s="4">
        <v>1</v>
      </c>
      <c r="S6" s="4">
        <v>4831</v>
      </c>
      <c r="T6" s="8" t="s">
        <v>51</v>
      </c>
      <c r="U6" t="str">
        <f>IF(OR(E6&lt;'Q1'!$E$13,E6&gt;'Q1'!$E$14),"Outliers","Not an Outliers")</f>
        <v>Not an Outliers</v>
      </c>
      <c r="V6" t="str">
        <f t="shared" si="0"/>
        <v>Weekday</v>
      </c>
    </row>
    <row r="7" spans="1:22" x14ac:dyDescent="0.3">
      <c r="A7" s="24">
        <v>45292</v>
      </c>
      <c r="B7" s="9" t="s">
        <v>76</v>
      </c>
      <c r="C7" s="9" t="s">
        <v>21</v>
      </c>
      <c r="D7" s="9" t="s">
        <v>22</v>
      </c>
      <c r="E7" s="5">
        <v>9039</v>
      </c>
      <c r="F7" s="5" t="b">
        <v>0</v>
      </c>
      <c r="G7" s="9" t="s">
        <v>65</v>
      </c>
      <c r="H7" s="9" t="s">
        <v>35</v>
      </c>
      <c r="I7" s="9" t="s">
        <v>25</v>
      </c>
      <c r="J7" s="9" t="s">
        <v>26</v>
      </c>
      <c r="K7" s="5">
        <v>2</v>
      </c>
      <c r="L7" s="9" t="s">
        <v>27</v>
      </c>
      <c r="M7" s="9" t="s">
        <v>66</v>
      </c>
      <c r="N7" s="5" t="b">
        <v>0</v>
      </c>
      <c r="O7" s="5">
        <v>18</v>
      </c>
      <c r="P7" s="9" t="s">
        <v>37</v>
      </c>
      <c r="Q7" s="5">
        <v>10</v>
      </c>
      <c r="R7" s="5">
        <v>3</v>
      </c>
      <c r="S7" s="5">
        <v>2437</v>
      </c>
      <c r="T7" s="10" t="s">
        <v>51</v>
      </c>
      <c r="U7" t="str">
        <f>IF(OR(E7&lt;'Q1'!$E$13,E7&gt;'Q1'!$E$14),"Outliers","Not an Outliers")</f>
        <v>Not an Outliers</v>
      </c>
      <c r="V7" t="str">
        <f t="shared" si="0"/>
        <v>Weekday</v>
      </c>
    </row>
    <row r="8" spans="1:22" x14ac:dyDescent="0.3">
      <c r="A8" s="23">
        <v>45292</v>
      </c>
      <c r="B8" s="7" t="s">
        <v>75</v>
      </c>
      <c r="C8" s="7" t="s">
        <v>45</v>
      </c>
      <c r="D8" s="7" t="s">
        <v>33</v>
      </c>
      <c r="E8" s="4">
        <v>3653</v>
      </c>
      <c r="F8" s="4" t="b">
        <v>0</v>
      </c>
      <c r="G8" s="7" t="s">
        <v>65</v>
      </c>
      <c r="H8" s="7" t="s">
        <v>70</v>
      </c>
      <c r="I8" s="7" t="s">
        <v>59</v>
      </c>
      <c r="J8" s="7" t="s">
        <v>26</v>
      </c>
      <c r="K8" s="4">
        <v>3</v>
      </c>
      <c r="L8" s="7" t="s">
        <v>36</v>
      </c>
      <c r="M8" s="7" t="s">
        <v>28</v>
      </c>
      <c r="N8" s="4" t="b">
        <v>0</v>
      </c>
      <c r="O8" s="4">
        <v>117</v>
      </c>
      <c r="P8" s="7" t="s">
        <v>67</v>
      </c>
      <c r="Q8" s="4">
        <v>10</v>
      </c>
      <c r="R8" s="4">
        <v>2</v>
      </c>
      <c r="S8" s="4">
        <v>573</v>
      </c>
      <c r="T8" s="8" t="s">
        <v>30</v>
      </c>
      <c r="U8" t="str">
        <f>IF(OR(E8&lt;'Q1'!$E$13,E8&gt;'Q1'!$E$14),"Outliers","Not an Outliers")</f>
        <v>Not an Outliers</v>
      </c>
      <c r="V8" t="str">
        <f t="shared" si="0"/>
        <v>Weekday</v>
      </c>
    </row>
    <row r="9" spans="1:22" x14ac:dyDescent="0.3">
      <c r="A9" s="24">
        <v>45293</v>
      </c>
      <c r="B9" s="9" t="s">
        <v>20</v>
      </c>
      <c r="C9" s="9" t="s">
        <v>21</v>
      </c>
      <c r="D9" s="9" t="s">
        <v>33</v>
      </c>
      <c r="E9" s="5">
        <v>1717</v>
      </c>
      <c r="F9" s="5" t="b">
        <v>0</v>
      </c>
      <c r="G9" s="9" t="s">
        <v>23</v>
      </c>
      <c r="H9" s="9" t="s">
        <v>35</v>
      </c>
      <c r="I9" s="9" t="s">
        <v>25</v>
      </c>
      <c r="J9" s="9" t="s">
        <v>54</v>
      </c>
      <c r="K9" s="5">
        <v>5</v>
      </c>
      <c r="L9" s="9" t="s">
        <v>49</v>
      </c>
      <c r="M9" s="9" t="s">
        <v>73</v>
      </c>
      <c r="N9" s="5" t="b">
        <v>1</v>
      </c>
      <c r="O9" s="5">
        <v>29</v>
      </c>
      <c r="P9" s="9" t="s">
        <v>67</v>
      </c>
      <c r="Q9" s="5">
        <v>8</v>
      </c>
      <c r="R9" s="5">
        <v>3</v>
      </c>
      <c r="S9" s="5">
        <v>1070</v>
      </c>
      <c r="T9" s="10" t="s">
        <v>51</v>
      </c>
      <c r="U9" t="str">
        <f>IF(OR(E9&lt;'Q1'!$E$13,E9&gt;'Q1'!$E$14),"Outliers","Not an Outliers")</f>
        <v>Not an Outliers</v>
      </c>
      <c r="V9" t="str">
        <f t="shared" si="0"/>
        <v>Weekday</v>
      </c>
    </row>
    <row r="10" spans="1:22" x14ac:dyDescent="0.3">
      <c r="A10" s="23">
        <v>45293</v>
      </c>
      <c r="B10" s="7" t="s">
        <v>55</v>
      </c>
      <c r="C10" s="7" t="s">
        <v>60</v>
      </c>
      <c r="D10" s="7" t="s">
        <v>61</v>
      </c>
      <c r="E10" s="4">
        <v>1000</v>
      </c>
      <c r="F10" s="4" t="b">
        <v>0</v>
      </c>
      <c r="G10" s="7" t="s">
        <v>34</v>
      </c>
      <c r="H10" s="7" t="s">
        <v>41</v>
      </c>
      <c r="I10" s="7" t="s">
        <v>25</v>
      </c>
      <c r="J10" s="7" t="s">
        <v>43</v>
      </c>
      <c r="K10" s="4">
        <v>2</v>
      </c>
      <c r="L10" s="7" t="s">
        <v>49</v>
      </c>
      <c r="M10" s="7" t="s">
        <v>66</v>
      </c>
      <c r="N10" s="4" t="b">
        <v>1</v>
      </c>
      <c r="O10" s="4">
        <v>11</v>
      </c>
      <c r="P10" s="7" t="s">
        <v>63</v>
      </c>
      <c r="Q10" s="4">
        <v>9</v>
      </c>
      <c r="R10" s="4">
        <v>3</v>
      </c>
      <c r="S10" s="4">
        <v>3939</v>
      </c>
      <c r="T10" s="8" t="s">
        <v>38</v>
      </c>
      <c r="U10" t="str">
        <f>IF(OR(E10&lt;'Q1'!$E$13,E10&gt;'Q1'!$E$14),"Outliers","Not an Outliers")</f>
        <v>Not an Outliers</v>
      </c>
      <c r="V10" t="str">
        <f t="shared" si="0"/>
        <v>Weekday</v>
      </c>
    </row>
    <row r="11" spans="1:22" x14ac:dyDescent="0.3">
      <c r="A11" s="24">
        <v>45293</v>
      </c>
      <c r="B11" s="9" t="s">
        <v>71</v>
      </c>
      <c r="C11" s="9" t="s">
        <v>32</v>
      </c>
      <c r="D11" s="9" t="s">
        <v>57</v>
      </c>
      <c r="E11" s="5">
        <v>1000</v>
      </c>
      <c r="F11" s="5" t="b">
        <v>0</v>
      </c>
      <c r="G11" s="9" t="s">
        <v>40</v>
      </c>
      <c r="H11" s="9" t="s">
        <v>24</v>
      </c>
      <c r="I11" s="9" t="s">
        <v>25</v>
      </c>
      <c r="J11" s="9" t="s">
        <v>26</v>
      </c>
      <c r="K11" s="5">
        <v>5</v>
      </c>
      <c r="L11" s="9" t="s">
        <v>27</v>
      </c>
      <c r="M11" s="9" t="s">
        <v>28</v>
      </c>
      <c r="N11" s="5" t="b">
        <v>1</v>
      </c>
      <c r="O11" s="5">
        <v>94</v>
      </c>
      <c r="P11" s="9" t="s">
        <v>67</v>
      </c>
      <c r="Q11" s="5">
        <v>1</v>
      </c>
      <c r="R11" s="5">
        <v>2</v>
      </c>
      <c r="S11" s="5">
        <v>4734</v>
      </c>
      <c r="T11" s="10" t="s">
        <v>51</v>
      </c>
      <c r="U11" t="str">
        <f>IF(OR(E11&lt;'Q1'!$E$13,E11&gt;'Q1'!$E$14),"Outliers","Not an Outliers")</f>
        <v>Not an Outliers</v>
      </c>
      <c r="V11" t="str">
        <f t="shared" si="0"/>
        <v>Weekday</v>
      </c>
    </row>
    <row r="12" spans="1:22" x14ac:dyDescent="0.3">
      <c r="A12" s="23">
        <v>45293</v>
      </c>
      <c r="B12" s="7" t="s">
        <v>20</v>
      </c>
      <c r="C12" s="7" t="s">
        <v>60</v>
      </c>
      <c r="D12" s="7" t="s">
        <v>46</v>
      </c>
      <c r="E12" s="4">
        <v>1522</v>
      </c>
      <c r="F12" s="4" t="b">
        <v>1</v>
      </c>
      <c r="G12" s="7" t="s">
        <v>40</v>
      </c>
      <c r="H12" s="7" t="s">
        <v>24</v>
      </c>
      <c r="I12" s="7" t="s">
        <v>59</v>
      </c>
      <c r="J12" s="7" t="s">
        <v>48</v>
      </c>
      <c r="K12" s="4">
        <v>3</v>
      </c>
      <c r="L12" s="7" t="s">
        <v>36</v>
      </c>
      <c r="M12" s="7" t="s">
        <v>58</v>
      </c>
      <c r="N12" s="4" t="b">
        <v>0</v>
      </c>
      <c r="O12" s="4">
        <v>86</v>
      </c>
      <c r="P12" s="7" t="s">
        <v>50</v>
      </c>
      <c r="Q12" s="4">
        <v>7</v>
      </c>
      <c r="R12" s="4">
        <v>3</v>
      </c>
      <c r="S12" s="4">
        <v>4737</v>
      </c>
      <c r="T12" s="8" t="s">
        <v>38</v>
      </c>
      <c r="U12" t="str">
        <f>IF(OR(E12&lt;'Q1'!$E$13,E12&gt;'Q1'!$E$14),"Outliers","Not an Outliers")</f>
        <v>Not an Outliers</v>
      </c>
      <c r="V12" t="str">
        <f t="shared" si="0"/>
        <v>Weekday</v>
      </c>
    </row>
    <row r="13" spans="1:22" x14ac:dyDescent="0.3">
      <c r="A13" s="24">
        <v>45294</v>
      </c>
      <c r="B13" s="9" t="s">
        <v>52</v>
      </c>
      <c r="C13" s="9" t="s">
        <v>45</v>
      </c>
      <c r="D13" s="9" t="s">
        <v>53</v>
      </c>
      <c r="E13" s="5">
        <v>3040</v>
      </c>
      <c r="F13" s="5" t="b">
        <v>1</v>
      </c>
      <c r="G13" s="9" t="s">
        <v>64</v>
      </c>
      <c r="H13" s="9" t="s">
        <v>35</v>
      </c>
      <c r="I13" s="9" t="s">
        <v>47</v>
      </c>
      <c r="J13" s="9" t="s">
        <v>48</v>
      </c>
      <c r="K13" s="5">
        <v>4</v>
      </c>
      <c r="L13" s="9" t="s">
        <v>27</v>
      </c>
      <c r="M13" s="9" t="s">
        <v>73</v>
      </c>
      <c r="N13" s="5" t="b">
        <v>0</v>
      </c>
      <c r="O13" s="5">
        <v>88</v>
      </c>
      <c r="P13" s="9" t="s">
        <v>50</v>
      </c>
      <c r="Q13" s="5">
        <v>4</v>
      </c>
      <c r="R13" s="5">
        <v>2</v>
      </c>
      <c r="S13" s="5">
        <v>764</v>
      </c>
      <c r="T13" s="10" t="s">
        <v>30</v>
      </c>
      <c r="U13" t="str">
        <f>IF(OR(E13&lt;'Q1'!$E$13,E13&gt;'Q1'!$E$14),"Outliers","Not an Outliers")</f>
        <v>Not an Outliers</v>
      </c>
      <c r="V13" t="str">
        <f t="shared" si="0"/>
        <v>Weekday</v>
      </c>
    </row>
    <row r="14" spans="1:22" x14ac:dyDescent="0.3">
      <c r="A14" s="23">
        <v>45295</v>
      </c>
      <c r="B14" s="7" t="s">
        <v>55</v>
      </c>
      <c r="C14" s="7" t="s">
        <v>56</v>
      </c>
      <c r="D14" s="7" t="s">
        <v>57</v>
      </c>
      <c r="E14" s="4">
        <v>1000</v>
      </c>
      <c r="F14" s="4" t="b">
        <v>1</v>
      </c>
      <c r="G14" s="7" t="s">
        <v>34</v>
      </c>
      <c r="H14" s="7" t="s">
        <v>35</v>
      </c>
      <c r="I14" s="7" t="s">
        <v>47</v>
      </c>
      <c r="J14" s="7" t="s">
        <v>43</v>
      </c>
      <c r="K14" s="4">
        <v>1</v>
      </c>
      <c r="L14" s="7" t="s">
        <v>36</v>
      </c>
      <c r="M14" s="7" t="s">
        <v>58</v>
      </c>
      <c r="N14" s="4" t="b">
        <v>1</v>
      </c>
      <c r="O14" s="4">
        <v>74</v>
      </c>
      <c r="P14" s="7" t="s">
        <v>37</v>
      </c>
      <c r="Q14" s="4">
        <v>6</v>
      </c>
      <c r="R14" s="4">
        <v>3</v>
      </c>
      <c r="S14" s="4">
        <v>4985</v>
      </c>
      <c r="T14" s="8" t="s">
        <v>51</v>
      </c>
      <c r="U14" t="str">
        <f>IF(OR(E14&lt;'Q1'!$E$13,E14&gt;'Q1'!$E$14),"Outliers","Not an Outliers")</f>
        <v>Not an Outliers</v>
      </c>
      <c r="V14" t="str">
        <f t="shared" si="0"/>
        <v>Weekday</v>
      </c>
    </row>
    <row r="15" spans="1:22" x14ac:dyDescent="0.3">
      <c r="A15" s="24">
        <v>45295</v>
      </c>
      <c r="B15" s="9" t="s">
        <v>62</v>
      </c>
      <c r="C15" s="9" t="s">
        <v>21</v>
      </c>
      <c r="D15" s="9" t="s">
        <v>46</v>
      </c>
      <c r="E15" s="5">
        <v>1399</v>
      </c>
      <c r="F15" s="5" t="b">
        <v>0</v>
      </c>
      <c r="G15" s="9" t="s">
        <v>34</v>
      </c>
      <c r="H15" s="9" t="s">
        <v>35</v>
      </c>
      <c r="I15" s="9" t="s">
        <v>25</v>
      </c>
      <c r="J15" s="9" t="s">
        <v>26</v>
      </c>
      <c r="K15" s="5">
        <v>0</v>
      </c>
      <c r="L15" s="9" t="s">
        <v>27</v>
      </c>
      <c r="M15" s="9" t="s">
        <v>58</v>
      </c>
      <c r="N15" s="5" t="b">
        <v>0</v>
      </c>
      <c r="O15" s="5">
        <v>64</v>
      </c>
      <c r="P15" s="9" t="s">
        <v>37</v>
      </c>
      <c r="Q15" s="5">
        <v>8</v>
      </c>
      <c r="R15" s="5">
        <v>3</v>
      </c>
      <c r="S15" s="5">
        <v>1885</v>
      </c>
      <c r="T15" s="10" t="s">
        <v>51</v>
      </c>
      <c r="U15" t="str">
        <f>IF(OR(E15&lt;'Q1'!$E$13,E15&gt;'Q1'!$E$14),"Outliers","Not an Outliers")</f>
        <v>Not an Outliers</v>
      </c>
      <c r="V15" t="str">
        <f t="shared" si="0"/>
        <v>Weekday</v>
      </c>
    </row>
    <row r="16" spans="1:22" x14ac:dyDescent="0.3">
      <c r="A16" s="23">
        <v>45295</v>
      </c>
      <c r="B16" s="7" t="s">
        <v>77</v>
      </c>
      <c r="C16" s="7" t="s">
        <v>60</v>
      </c>
      <c r="D16" s="7" t="s">
        <v>33</v>
      </c>
      <c r="E16" s="4">
        <v>2329</v>
      </c>
      <c r="F16" s="4" t="b">
        <v>0</v>
      </c>
      <c r="G16" s="7" t="s">
        <v>34</v>
      </c>
      <c r="H16" s="7" t="s">
        <v>41</v>
      </c>
      <c r="I16" s="7" t="s">
        <v>59</v>
      </c>
      <c r="J16" s="7" t="s">
        <v>26</v>
      </c>
      <c r="K16" s="4">
        <v>1</v>
      </c>
      <c r="L16" s="7" t="s">
        <v>49</v>
      </c>
      <c r="M16" s="7" t="s">
        <v>58</v>
      </c>
      <c r="N16" s="4" t="b">
        <v>0</v>
      </c>
      <c r="O16" s="4">
        <v>92</v>
      </c>
      <c r="P16" s="7" t="s">
        <v>67</v>
      </c>
      <c r="Q16" s="4">
        <v>1</v>
      </c>
      <c r="R16" s="4">
        <v>3</v>
      </c>
      <c r="S16" s="4">
        <v>3131</v>
      </c>
      <c r="T16" s="8" t="s">
        <v>51</v>
      </c>
      <c r="U16" t="str">
        <f>IF(OR(E16&lt;'Q1'!$E$13,E16&gt;'Q1'!$E$14),"Outliers","Not an Outliers")</f>
        <v>Not an Outliers</v>
      </c>
      <c r="V16" t="str">
        <f t="shared" si="0"/>
        <v>Weekday</v>
      </c>
    </row>
    <row r="17" spans="1:22" x14ac:dyDescent="0.3">
      <c r="A17" s="24">
        <v>45295</v>
      </c>
      <c r="B17" s="9" t="s">
        <v>55</v>
      </c>
      <c r="C17" s="9" t="s">
        <v>45</v>
      </c>
      <c r="D17" s="9" t="s">
        <v>33</v>
      </c>
      <c r="E17" s="5">
        <v>2780</v>
      </c>
      <c r="F17" s="5" t="b">
        <v>0</v>
      </c>
      <c r="G17" s="9" t="s">
        <v>34</v>
      </c>
      <c r="H17" s="9" t="s">
        <v>35</v>
      </c>
      <c r="I17" s="9" t="s">
        <v>47</v>
      </c>
      <c r="J17" s="9" t="s">
        <v>43</v>
      </c>
      <c r="K17" s="5">
        <v>5</v>
      </c>
      <c r="L17" s="9" t="s">
        <v>36</v>
      </c>
      <c r="M17" s="9" t="s">
        <v>28</v>
      </c>
      <c r="N17" s="5" t="b">
        <v>0</v>
      </c>
      <c r="O17" s="5">
        <v>119</v>
      </c>
      <c r="P17" s="9" t="s">
        <v>67</v>
      </c>
      <c r="Q17" s="5">
        <v>1</v>
      </c>
      <c r="R17" s="5">
        <v>1</v>
      </c>
      <c r="S17" s="5">
        <v>1438</v>
      </c>
      <c r="T17" s="10" t="s">
        <v>30</v>
      </c>
      <c r="U17" t="str">
        <f>IF(OR(E17&lt;'Q1'!$E$13,E17&gt;'Q1'!$E$14),"Outliers","Not an Outliers")</f>
        <v>Not an Outliers</v>
      </c>
      <c r="V17" t="str">
        <f t="shared" si="0"/>
        <v>Weekday</v>
      </c>
    </row>
    <row r="18" spans="1:22" x14ac:dyDescent="0.3">
      <c r="A18" s="23">
        <v>45296</v>
      </c>
      <c r="B18" s="7" t="s">
        <v>31</v>
      </c>
      <c r="C18" s="7" t="s">
        <v>21</v>
      </c>
      <c r="D18" s="7" t="s">
        <v>22</v>
      </c>
      <c r="E18" s="4">
        <v>6948</v>
      </c>
      <c r="F18" s="4" t="b">
        <v>1</v>
      </c>
      <c r="G18" s="7" t="s">
        <v>64</v>
      </c>
      <c r="H18" s="7" t="s">
        <v>70</v>
      </c>
      <c r="I18" s="7" t="s">
        <v>59</v>
      </c>
      <c r="J18" s="7" t="s">
        <v>26</v>
      </c>
      <c r="K18" s="4">
        <v>1</v>
      </c>
      <c r="L18" s="7" t="s">
        <v>27</v>
      </c>
      <c r="M18" s="7" t="s">
        <v>66</v>
      </c>
      <c r="N18" s="4" t="b">
        <v>0</v>
      </c>
      <c r="O18" s="4">
        <v>29</v>
      </c>
      <c r="P18" s="7" t="s">
        <v>37</v>
      </c>
      <c r="Q18" s="4">
        <v>9</v>
      </c>
      <c r="R18" s="4">
        <v>1</v>
      </c>
      <c r="S18" s="4">
        <v>4980</v>
      </c>
      <c r="T18" s="8" t="s">
        <v>30</v>
      </c>
      <c r="U18" t="str">
        <f>IF(OR(E18&lt;'Q1'!$E$13,E18&gt;'Q1'!$E$14),"Outliers","Not an Outliers")</f>
        <v>Not an Outliers</v>
      </c>
      <c r="V18" t="str">
        <f t="shared" si="0"/>
        <v>Weekday</v>
      </c>
    </row>
    <row r="19" spans="1:22" x14ac:dyDescent="0.3">
      <c r="A19" s="24">
        <v>45296</v>
      </c>
      <c r="B19" s="9" t="s">
        <v>62</v>
      </c>
      <c r="C19" s="9" t="s">
        <v>56</v>
      </c>
      <c r="D19" s="9" t="s">
        <v>33</v>
      </c>
      <c r="E19" s="5">
        <v>4615</v>
      </c>
      <c r="F19" s="5" t="b">
        <v>0</v>
      </c>
      <c r="G19" s="9" t="s">
        <v>23</v>
      </c>
      <c r="H19" s="9" t="s">
        <v>70</v>
      </c>
      <c r="I19" s="9" t="s">
        <v>25</v>
      </c>
      <c r="J19" s="9" t="s">
        <v>43</v>
      </c>
      <c r="K19" s="5">
        <v>0</v>
      </c>
      <c r="L19" s="9" t="s">
        <v>36</v>
      </c>
      <c r="M19" s="9" t="s">
        <v>66</v>
      </c>
      <c r="N19" s="5" t="b">
        <v>1</v>
      </c>
      <c r="O19" s="5">
        <v>14</v>
      </c>
      <c r="P19" s="9" t="s">
        <v>37</v>
      </c>
      <c r="Q19" s="5">
        <v>5</v>
      </c>
      <c r="R19" s="5">
        <v>3</v>
      </c>
      <c r="S19" s="5">
        <v>2103</v>
      </c>
      <c r="T19" s="10" t="s">
        <v>38</v>
      </c>
      <c r="U19" t="str">
        <f>IF(OR(E19&lt;'Q1'!$E$13,E19&gt;'Q1'!$E$14),"Outliers","Not an Outliers")</f>
        <v>Not an Outliers</v>
      </c>
      <c r="V19" t="str">
        <f t="shared" si="0"/>
        <v>Weekday</v>
      </c>
    </row>
    <row r="20" spans="1:22" x14ac:dyDescent="0.3">
      <c r="A20" s="23">
        <v>45297</v>
      </c>
      <c r="B20" s="7" t="s">
        <v>75</v>
      </c>
      <c r="C20" s="7" t="s">
        <v>32</v>
      </c>
      <c r="D20" s="7" t="s">
        <v>22</v>
      </c>
      <c r="E20" s="4">
        <v>9835</v>
      </c>
      <c r="F20" s="4" t="b">
        <v>0</v>
      </c>
      <c r="G20" s="7" t="s">
        <v>34</v>
      </c>
      <c r="H20" s="7" t="s">
        <v>24</v>
      </c>
      <c r="I20" s="7" t="s">
        <v>59</v>
      </c>
      <c r="J20" s="7" t="s">
        <v>43</v>
      </c>
      <c r="K20" s="4">
        <v>3</v>
      </c>
      <c r="L20" s="7" t="s">
        <v>36</v>
      </c>
      <c r="M20" s="7" t="s">
        <v>58</v>
      </c>
      <c r="N20" s="4" t="b">
        <v>0</v>
      </c>
      <c r="O20" s="4">
        <v>68</v>
      </c>
      <c r="P20" s="7" t="s">
        <v>29</v>
      </c>
      <c r="Q20" s="4">
        <v>8</v>
      </c>
      <c r="R20" s="4">
        <v>3</v>
      </c>
      <c r="S20" s="4">
        <v>4275</v>
      </c>
      <c r="T20" s="8" t="s">
        <v>30</v>
      </c>
      <c r="U20" t="str">
        <f>IF(OR(E20&lt;'Q1'!$E$13,E20&gt;'Q1'!$E$14),"Outliers","Not an Outliers")</f>
        <v>Not an Outliers</v>
      </c>
      <c r="V20" t="str">
        <f t="shared" si="0"/>
        <v>Weekend</v>
      </c>
    </row>
    <row r="21" spans="1:22" x14ac:dyDescent="0.3">
      <c r="A21" s="24">
        <v>45297</v>
      </c>
      <c r="B21" s="9" t="s">
        <v>72</v>
      </c>
      <c r="C21" s="9" t="s">
        <v>32</v>
      </c>
      <c r="D21" s="9" t="s">
        <v>57</v>
      </c>
      <c r="E21" s="5">
        <v>1000</v>
      </c>
      <c r="F21" s="5" t="b">
        <v>0</v>
      </c>
      <c r="G21" s="9" t="s">
        <v>23</v>
      </c>
      <c r="H21" s="9" t="s">
        <v>24</v>
      </c>
      <c r="I21" s="9" t="s">
        <v>25</v>
      </c>
      <c r="J21" s="9" t="s">
        <v>26</v>
      </c>
      <c r="K21" s="5">
        <v>1</v>
      </c>
      <c r="L21" s="9" t="s">
        <v>49</v>
      </c>
      <c r="M21" s="9" t="s">
        <v>58</v>
      </c>
      <c r="N21" s="5" t="b">
        <v>0</v>
      </c>
      <c r="O21" s="5">
        <v>28</v>
      </c>
      <c r="P21" s="9" t="s">
        <v>29</v>
      </c>
      <c r="Q21" s="5">
        <v>7</v>
      </c>
      <c r="R21" s="5">
        <v>3</v>
      </c>
      <c r="S21" s="5">
        <v>3711</v>
      </c>
      <c r="T21" s="10" t="s">
        <v>38</v>
      </c>
      <c r="U21" t="str">
        <f>IF(OR(E21&lt;'Q1'!$E$13,E21&gt;'Q1'!$E$14),"Outliers","Not an Outliers")</f>
        <v>Not an Outliers</v>
      </c>
      <c r="V21" t="str">
        <f t="shared" si="0"/>
        <v>Weekend</v>
      </c>
    </row>
    <row r="22" spans="1:22" x14ac:dyDescent="0.3">
      <c r="A22" s="23">
        <v>45297</v>
      </c>
      <c r="B22" s="7" t="s">
        <v>20</v>
      </c>
      <c r="C22" s="7" t="s">
        <v>32</v>
      </c>
      <c r="D22" s="7" t="s">
        <v>46</v>
      </c>
      <c r="E22" s="4">
        <v>3313</v>
      </c>
      <c r="F22" s="4" t="b">
        <v>1</v>
      </c>
      <c r="G22" s="7" t="s">
        <v>64</v>
      </c>
      <c r="H22" s="7" t="s">
        <v>70</v>
      </c>
      <c r="I22" s="7" t="s">
        <v>25</v>
      </c>
      <c r="J22" s="7" t="s">
        <v>43</v>
      </c>
      <c r="K22" s="4">
        <v>3</v>
      </c>
      <c r="L22" s="7" t="s">
        <v>49</v>
      </c>
      <c r="M22" s="7" t="s">
        <v>73</v>
      </c>
      <c r="N22" s="4" t="b">
        <v>0</v>
      </c>
      <c r="O22" s="4">
        <v>70</v>
      </c>
      <c r="P22" s="7" t="s">
        <v>67</v>
      </c>
      <c r="Q22" s="4">
        <v>8</v>
      </c>
      <c r="R22" s="4">
        <v>2</v>
      </c>
      <c r="S22" s="4">
        <v>1443</v>
      </c>
      <c r="T22" s="8" t="s">
        <v>51</v>
      </c>
      <c r="U22" t="str">
        <f>IF(OR(E22&lt;'Q1'!$E$13,E22&gt;'Q1'!$E$14),"Outliers","Not an Outliers")</f>
        <v>Not an Outliers</v>
      </c>
      <c r="V22" t="str">
        <f t="shared" si="0"/>
        <v>Weekend</v>
      </c>
    </row>
    <row r="23" spans="1:22" x14ac:dyDescent="0.3">
      <c r="A23" s="24">
        <v>45297</v>
      </c>
      <c r="B23" s="9" t="s">
        <v>74</v>
      </c>
      <c r="C23" s="9" t="s">
        <v>32</v>
      </c>
      <c r="D23" s="9" t="s">
        <v>46</v>
      </c>
      <c r="E23" s="5">
        <v>1462</v>
      </c>
      <c r="F23" s="5" t="b">
        <v>0</v>
      </c>
      <c r="G23" s="9" t="s">
        <v>64</v>
      </c>
      <c r="H23" s="9" t="s">
        <v>35</v>
      </c>
      <c r="I23" s="9" t="s">
        <v>42</v>
      </c>
      <c r="J23" s="9" t="s">
        <v>54</v>
      </c>
      <c r="K23" s="5">
        <v>5</v>
      </c>
      <c r="L23" s="9" t="s">
        <v>36</v>
      </c>
      <c r="M23" s="9" t="s">
        <v>66</v>
      </c>
      <c r="N23" s="5" t="b">
        <v>1</v>
      </c>
      <c r="O23" s="5">
        <v>42</v>
      </c>
      <c r="P23" s="9" t="s">
        <v>50</v>
      </c>
      <c r="Q23" s="5">
        <v>10</v>
      </c>
      <c r="R23" s="5">
        <v>3</v>
      </c>
      <c r="S23" s="5">
        <v>2175</v>
      </c>
      <c r="T23" s="10" t="s">
        <v>30</v>
      </c>
      <c r="U23" t="str">
        <f>IF(OR(E23&lt;'Q1'!$E$13,E23&gt;'Q1'!$E$14),"Outliers","Not an Outliers")</f>
        <v>Not an Outliers</v>
      </c>
      <c r="V23" t="str">
        <f t="shared" si="0"/>
        <v>Weekend</v>
      </c>
    </row>
    <row r="24" spans="1:22" x14ac:dyDescent="0.3">
      <c r="A24" s="23">
        <v>45298</v>
      </c>
      <c r="B24" s="7" t="s">
        <v>44</v>
      </c>
      <c r="C24" s="7" t="s">
        <v>32</v>
      </c>
      <c r="D24" s="7" t="s">
        <v>57</v>
      </c>
      <c r="E24" s="4">
        <v>1000</v>
      </c>
      <c r="F24" s="4" t="b">
        <v>0</v>
      </c>
      <c r="G24" s="7" t="s">
        <v>34</v>
      </c>
      <c r="H24" s="7" t="s">
        <v>24</v>
      </c>
      <c r="I24" s="7" t="s">
        <v>25</v>
      </c>
      <c r="J24" s="7" t="s">
        <v>43</v>
      </c>
      <c r="K24" s="4">
        <v>1</v>
      </c>
      <c r="L24" s="7" t="s">
        <v>27</v>
      </c>
      <c r="M24" s="7" t="s">
        <v>73</v>
      </c>
      <c r="N24" s="4" t="b">
        <v>0</v>
      </c>
      <c r="O24" s="4">
        <v>5</v>
      </c>
      <c r="P24" s="7" t="s">
        <v>63</v>
      </c>
      <c r="Q24" s="4">
        <v>8</v>
      </c>
      <c r="R24" s="4">
        <v>2</v>
      </c>
      <c r="S24" s="4">
        <v>2096</v>
      </c>
      <c r="T24" s="8" t="s">
        <v>51</v>
      </c>
      <c r="U24" t="str">
        <f>IF(OR(E24&lt;'Q1'!$E$13,E24&gt;'Q1'!$E$14),"Outliers","Not an Outliers")</f>
        <v>Not an Outliers</v>
      </c>
      <c r="V24" t="str">
        <f t="shared" si="0"/>
        <v>Weekend</v>
      </c>
    </row>
    <row r="25" spans="1:22" x14ac:dyDescent="0.3">
      <c r="A25" s="24">
        <v>45298</v>
      </c>
      <c r="B25" s="9" t="s">
        <v>39</v>
      </c>
      <c r="C25" s="9" t="s">
        <v>21</v>
      </c>
      <c r="D25" s="9" t="s">
        <v>33</v>
      </c>
      <c r="E25" s="5">
        <v>3304</v>
      </c>
      <c r="F25" s="5" t="b">
        <v>0</v>
      </c>
      <c r="G25" s="9" t="s">
        <v>40</v>
      </c>
      <c r="H25" s="9" t="s">
        <v>41</v>
      </c>
      <c r="I25" s="9" t="s">
        <v>25</v>
      </c>
      <c r="J25" s="9" t="s">
        <v>26</v>
      </c>
      <c r="K25" s="5">
        <v>0</v>
      </c>
      <c r="L25" s="9" t="s">
        <v>27</v>
      </c>
      <c r="M25" s="9" t="s">
        <v>58</v>
      </c>
      <c r="N25" s="5" t="b">
        <v>1</v>
      </c>
      <c r="O25" s="5">
        <v>40</v>
      </c>
      <c r="P25" s="9" t="s">
        <v>67</v>
      </c>
      <c r="Q25" s="5">
        <v>4</v>
      </c>
      <c r="R25" s="5">
        <v>1</v>
      </c>
      <c r="S25" s="5">
        <v>4415</v>
      </c>
      <c r="T25" s="10" t="s">
        <v>30</v>
      </c>
      <c r="U25" t="str">
        <f>IF(OR(E25&lt;'Q1'!$E$13,E25&gt;'Q1'!$E$14),"Outliers","Not an Outliers")</f>
        <v>Not an Outliers</v>
      </c>
      <c r="V25" t="str">
        <f t="shared" si="0"/>
        <v>Weekend</v>
      </c>
    </row>
    <row r="26" spans="1:22" x14ac:dyDescent="0.3">
      <c r="A26" s="23">
        <v>45298</v>
      </c>
      <c r="B26" s="7" t="s">
        <v>44</v>
      </c>
      <c r="C26" s="7" t="s">
        <v>21</v>
      </c>
      <c r="D26" s="7" t="s">
        <v>53</v>
      </c>
      <c r="E26" s="4">
        <v>5937</v>
      </c>
      <c r="F26" s="4" t="b">
        <v>0</v>
      </c>
      <c r="G26" s="7" t="s">
        <v>40</v>
      </c>
      <c r="H26" s="7" t="s">
        <v>35</v>
      </c>
      <c r="I26" s="7" t="s">
        <v>42</v>
      </c>
      <c r="J26" s="7" t="s">
        <v>26</v>
      </c>
      <c r="K26" s="4">
        <v>4</v>
      </c>
      <c r="L26" s="7" t="s">
        <v>49</v>
      </c>
      <c r="M26" s="7" t="s">
        <v>28</v>
      </c>
      <c r="N26" s="4" t="b">
        <v>1</v>
      </c>
      <c r="O26" s="4">
        <v>78</v>
      </c>
      <c r="P26" s="7" t="s">
        <v>67</v>
      </c>
      <c r="Q26" s="4">
        <v>8</v>
      </c>
      <c r="R26" s="4">
        <v>2</v>
      </c>
      <c r="S26" s="4">
        <v>3732</v>
      </c>
      <c r="T26" s="8" t="s">
        <v>38</v>
      </c>
      <c r="U26" t="str">
        <f>IF(OR(E26&lt;'Q1'!$E$13,E26&gt;'Q1'!$E$14),"Outliers","Not an Outliers")</f>
        <v>Not an Outliers</v>
      </c>
      <c r="V26" t="str">
        <f t="shared" si="0"/>
        <v>Weekend</v>
      </c>
    </row>
    <row r="27" spans="1:22" x14ac:dyDescent="0.3">
      <c r="A27" s="24">
        <v>45298</v>
      </c>
      <c r="B27" s="9" t="s">
        <v>77</v>
      </c>
      <c r="C27" s="9" t="s">
        <v>21</v>
      </c>
      <c r="D27" s="9" t="s">
        <v>33</v>
      </c>
      <c r="E27" s="5">
        <v>1857</v>
      </c>
      <c r="F27" s="5" t="b">
        <v>0</v>
      </c>
      <c r="G27" s="9" t="s">
        <v>23</v>
      </c>
      <c r="H27" s="9" t="s">
        <v>70</v>
      </c>
      <c r="I27" s="9" t="s">
        <v>25</v>
      </c>
      <c r="J27" s="9" t="s">
        <v>48</v>
      </c>
      <c r="K27" s="5">
        <v>3</v>
      </c>
      <c r="L27" s="9" t="s">
        <v>49</v>
      </c>
      <c r="M27" s="9" t="s">
        <v>66</v>
      </c>
      <c r="N27" s="5" t="b">
        <v>0</v>
      </c>
      <c r="O27" s="5">
        <v>64</v>
      </c>
      <c r="P27" s="9" t="s">
        <v>63</v>
      </c>
      <c r="Q27" s="5">
        <v>9</v>
      </c>
      <c r="R27" s="5">
        <v>2</v>
      </c>
      <c r="S27" s="5">
        <v>2722</v>
      </c>
      <c r="T27" s="10" t="s">
        <v>38</v>
      </c>
      <c r="U27" t="str">
        <f>IF(OR(E27&lt;'Q1'!$E$13,E27&gt;'Q1'!$E$14),"Outliers","Not an Outliers")</f>
        <v>Not an Outliers</v>
      </c>
      <c r="V27" t="str">
        <f t="shared" si="0"/>
        <v>Weekend</v>
      </c>
    </row>
    <row r="28" spans="1:22" x14ac:dyDescent="0.3">
      <c r="A28" s="23">
        <v>45298</v>
      </c>
      <c r="B28" s="7" t="s">
        <v>52</v>
      </c>
      <c r="C28" s="7" t="s">
        <v>56</v>
      </c>
      <c r="D28" s="7" t="s">
        <v>57</v>
      </c>
      <c r="E28" s="4">
        <v>1000</v>
      </c>
      <c r="F28" s="4" t="b">
        <v>0</v>
      </c>
      <c r="G28" s="7" t="s">
        <v>64</v>
      </c>
      <c r="H28" s="7" t="s">
        <v>24</v>
      </c>
      <c r="I28" s="7" t="s">
        <v>59</v>
      </c>
      <c r="J28" s="7" t="s">
        <v>48</v>
      </c>
      <c r="K28" s="4">
        <v>1</v>
      </c>
      <c r="L28" s="7" t="s">
        <v>49</v>
      </c>
      <c r="M28" s="7" t="s">
        <v>66</v>
      </c>
      <c r="N28" s="4" t="b">
        <v>0</v>
      </c>
      <c r="O28" s="4">
        <v>119</v>
      </c>
      <c r="P28" s="7" t="s">
        <v>50</v>
      </c>
      <c r="Q28" s="4">
        <v>2</v>
      </c>
      <c r="R28" s="4">
        <v>2</v>
      </c>
      <c r="S28" s="4">
        <v>791</v>
      </c>
      <c r="T28" s="8" t="s">
        <v>38</v>
      </c>
      <c r="U28" t="str">
        <f>IF(OR(E28&lt;'Q1'!$E$13,E28&gt;'Q1'!$E$14),"Outliers","Not an Outliers")</f>
        <v>Not an Outliers</v>
      </c>
      <c r="V28" t="str">
        <f t="shared" si="0"/>
        <v>Weekend</v>
      </c>
    </row>
    <row r="29" spans="1:22" x14ac:dyDescent="0.3">
      <c r="A29" s="24">
        <v>45299</v>
      </c>
      <c r="B29" s="9" t="s">
        <v>74</v>
      </c>
      <c r="C29" s="9" t="s">
        <v>45</v>
      </c>
      <c r="D29" s="9" t="s">
        <v>33</v>
      </c>
      <c r="E29" s="5">
        <v>4484</v>
      </c>
      <c r="F29" s="5" t="b">
        <v>0</v>
      </c>
      <c r="G29" s="9" t="s">
        <v>64</v>
      </c>
      <c r="H29" s="9" t="s">
        <v>70</v>
      </c>
      <c r="I29" s="9" t="s">
        <v>42</v>
      </c>
      <c r="J29" s="9" t="s">
        <v>54</v>
      </c>
      <c r="K29" s="5">
        <v>4</v>
      </c>
      <c r="L29" s="9" t="s">
        <v>27</v>
      </c>
      <c r="M29" s="9" t="s">
        <v>66</v>
      </c>
      <c r="N29" s="5" t="b">
        <v>1</v>
      </c>
      <c r="O29" s="5">
        <v>93</v>
      </c>
      <c r="P29" s="9" t="s">
        <v>63</v>
      </c>
      <c r="Q29" s="5">
        <v>2</v>
      </c>
      <c r="R29" s="5">
        <v>2</v>
      </c>
      <c r="S29" s="5">
        <v>3193</v>
      </c>
      <c r="T29" s="10" t="s">
        <v>51</v>
      </c>
      <c r="U29" t="str">
        <f>IF(OR(E29&lt;'Q1'!$E$13,E29&gt;'Q1'!$E$14),"Outliers","Not an Outliers")</f>
        <v>Not an Outliers</v>
      </c>
      <c r="V29" t="str">
        <f t="shared" si="0"/>
        <v>Weekday</v>
      </c>
    </row>
    <row r="30" spans="1:22" x14ac:dyDescent="0.3">
      <c r="A30" s="23">
        <v>45300</v>
      </c>
      <c r="B30" s="7" t="s">
        <v>31</v>
      </c>
      <c r="C30" s="7" t="s">
        <v>60</v>
      </c>
      <c r="D30" s="7" t="s">
        <v>53</v>
      </c>
      <c r="E30" s="4">
        <v>5259</v>
      </c>
      <c r="F30" s="4" t="b">
        <v>0</v>
      </c>
      <c r="G30" s="7" t="s">
        <v>34</v>
      </c>
      <c r="H30" s="7" t="s">
        <v>41</v>
      </c>
      <c r="I30" s="7" t="s">
        <v>59</v>
      </c>
      <c r="J30" s="7" t="s">
        <v>48</v>
      </c>
      <c r="K30" s="4">
        <v>5</v>
      </c>
      <c r="L30" s="7" t="s">
        <v>49</v>
      </c>
      <c r="M30" s="7" t="s">
        <v>66</v>
      </c>
      <c r="N30" s="4" t="b">
        <v>1</v>
      </c>
      <c r="O30" s="4">
        <v>78</v>
      </c>
      <c r="P30" s="7" t="s">
        <v>50</v>
      </c>
      <c r="Q30" s="4">
        <v>9</v>
      </c>
      <c r="R30" s="4">
        <v>2</v>
      </c>
      <c r="S30" s="4">
        <v>3846</v>
      </c>
      <c r="T30" s="8" t="s">
        <v>38</v>
      </c>
      <c r="U30" t="str">
        <f>IF(OR(E30&lt;'Q1'!$E$13,E30&gt;'Q1'!$E$14),"Outliers","Not an Outliers")</f>
        <v>Not an Outliers</v>
      </c>
      <c r="V30" t="str">
        <f t="shared" si="0"/>
        <v>Weekday</v>
      </c>
    </row>
    <row r="31" spans="1:22" x14ac:dyDescent="0.3">
      <c r="A31" s="24">
        <v>45300</v>
      </c>
      <c r="B31" s="9" t="s">
        <v>31</v>
      </c>
      <c r="C31" s="9" t="s">
        <v>60</v>
      </c>
      <c r="D31" s="9" t="s">
        <v>22</v>
      </c>
      <c r="E31" s="5">
        <v>9662</v>
      </c>
      <c r="F31" s="5" t="b">
        <v>0</v>
      </c>
      <c r="G31" s="9" t="s">
        <v>40</v>
      </c>
      <c r="H31" s="9" t="s">
        <v>41</v>
      </c>
      <c r="I31" s="9" t="s">
        <v>42</v>
      </c>
      <c r="J31" s="9" t="s">
        <v>48</v>
      </c>
      <c r="K31" s="5">
        <v>2</v>
      </c>
      <c r="L31" s="9" t="s">
        <v>36</v>
      </c>
      <c r="M31" s="9" t="s">
        <v>73</v>
      </c>
      <c r="N31" s="5" t="b">
        <v>0</v>
      </c>
      <c r="O31" s="5">
        <v>113</v>
      </c>
      <c r="P31" s="9" t="s">
        <v>63</v>
      </c>
      <c r="Q31" s="5">
        <v>4</v>
      </c>
      <c r="R31" s="5">
        <v>3</v>
      </c>
      <c r="S31" s="5">
        <v>1686</v>
      </c>
      <c r="T31" s="10" t="s">
        <v>38</v>
      </c>
      <c r="U31" t="str">
        <f>IF(OR(E31&lt;'Q1'!$E$13,E31&gt;'Q1'!$E$14),"Outliers","Not an Outliers")</f>
        <v>Not an Outliers</v>
      </c>
      <c r="V31" t="str">
        <f t="shared" si="0"/>
        <v>Weekday</v>
      </c>
    </row>
    <row r="32" spans="1:22" x14ac:dyDescent="0.3">
      <c r="A32" s="23">
        <v>45300</v>
      </c>
      <c r="B32" s="7" t="s">
        <v>77</v>
      </c>
      <c r="C32" s="7" t="s">
        <v>32</v>
      </c>
      <c r="D32" s="7" t="s">
        <v>33</v>
      </c>
      <c r="E32" s="4">
        <v>4184</v>
      </c>
      <c r="F32" s="4" t="b">
        <v>1</v>
      </c>
      <c r="G32" s="7" t="s">
        <v>23</v>
      </c>
      <c r="H32" s="7" t="s">
        <v>35</v>
      </c>
      <c r="I32" s="7" t="s">
        <v>42</v>
      </c>
      <c r="J32" s="7" t="s">
        <v>43</v>
      </c>
      <c r="K32" s="4">
        <v>2</v>
      </c>
      <c r="L32" s="7" t="s">
        <v>36</v>
      </c>
      <c r="M32" s="7" t="s">
        <v>28</v>
      </c>
      <c r="N32" s="4" t="b">
        <v>1</v>
      </c>
      <c r="O32" s="4">
        <v>8</v>
      </c>
      <c r="P32" s="7" t="s">
        <v>67</v>
      </c>
      <c r="Q32" s="4">
        <v>5</v>
      </c>
      <c r="R32" s="4">
        <v>2</v>
      </c>
      <c r="S32" s="4">
        <v>3051</v>
      </c>
      <c r="T32" s="8" t="s">
        <v>30</v>
      </c>
      <c r="U32" t="str">
        <f>IF(OR(E32&lt;'Q1'!$E$13,E32&gt;'Q1'!$E$14),"Outliers","Not an Outliers")</f>
        <v>Not an Outliers</v>
      </c>
      <c r="V32" t="str">
        <f t="shared" si="0"/>
        <v>Weekday</v>
      </c>
    </row>
    <row r="33" spans="1:22" x14ac:dyDescent="0.3">
      <c r="A33" s="24">
        <v>45301</v>
      </c>
      <c r="B33" s="9" t="s">
        <v>71</v>
      </c>
      <c r="C33" s="9" t="s">
        <v>56</v>
      </c>
      <c r="D33" s="9" t="s">
        <v>57</v>
      </c>
      <c r="E33" s="5">
        <v>1000</v>
      </c>
      <c r="F33" s="5" t="b">
        <v>0</v>
      </c>
      <c r="G33" s="9" t="s">
        <v>34</v>
      </c>
      <c r="H33" s="9" t="s">
        <v>35</v>
      </c>
      <c r="I33" s="9" t="s">
        <v>42</v>
      </c>
      <c r="J33" s="9" t="s">
        <v>54</v>
      </c>
      <c r="K33" s="5">
        <v>1</v>
      </c>
      <c r="L33" s="9" t="s">
        <v>49</v>
      </c>
      <c r="M33" s="9" t="s">
        <v>66</v>
      </c>
      <c r="N33" s="5" t="b">
        <v>1</v>
      </c>
      <c r="O33" s="5">
        <v>88</v>
      </c>
      <c r="P33" s="9" t="s">
        <v>67</v>
      </c>
      <c r="Q33" s="5">
        <v>4</v>
      </c>
      <c r="R33" s="5">
        <v>2</v>
      </c>
      <c r="S33" s="5">
        <v>3829</v>
      </c>
      <c r="T33" s="10" t="s">
        <v>51</v>
      </c>
      <c r="U33" t="str">
        <f>IF(OR(E33&lt;'Q1'!$E$13,E33&gt;'Q1'!$E$14),"Outliers","Not an Outliers")</f>
        <v>Not an Outliers</v>
      </c>
      <c r="V33" t="str">
        <f t="shared" si="0"/>
        <v>Weekday</v>
      </c>
    </row>
    <row r="34" spans="1:22" x14ac:dyDescent="0.3">
      <c r="A34" s="23">
        <v>45302</v>
      </c>
      <c r="B34" s="7" t="s">
        <v>74</v>
      </c>
      <c r="C34" s="7" t="s">
        <v>45</v>
      </c>
      <c r="D34" s="7" t="s">
        <v>57</v>
      </c>
      <c r="E34" s="4">
        <v>1000</v>
      </c>
      <c r="F34" s="4" t="b">
        <v>0</v>
      </c>
      <c r="G34" s="7" t="s">
        <v>40</v>
      </c>
      <c r="H34" s="7" t="s">
        <v>41</v>
      </c>
      <c r="I34" s="7" t="s">
        <v>42</v>
      </c>
      <c r="J34" s="7" t="s">
        <v>48</v>
      </c>
      <c r="K34" s="4">
        <v>2</v>
      </c>
      <c r="L34" s="7" t="s">
        <v>49</v>
      </c>
      <c r="M34" s="7" t="s">
        <v>58</v>
      </c>
      <c r="N34" s="4" t="b">
        <v>1</v>
      </c>
      <c r="O34" s="4">
        <v>34</v>
      </c>
      <c r="P34" s="7" t="s">
        <v>29</v>
      </c>
      <c r="Q34" s="4">
        <v>2</v>
      </c>
      <c r="R34" s="4">
        <v>1</v>
      </c>
      <c r="S34" s="4">
        <v>3705</v>
      </c>
      <c r="T34" s="8" t="s">
        <v>30</v>
      </c>
      <c r="U34" t="str">
        <f>IF(OR(E34&lt;'Q1'!$E$13,E34&gt;'Q1'!$E$14),"Outliers","Not an Outliers")</f>
        <v>Not an Outliers</v>
      </c>
      <c r="V34" t="str">
        <f t="shared" si="0"/>
        <v>Weekday</v>
      </c>
    </row>
    <row r="35" spans="1:22" x14ac:dyDescent="0.3">
      <c r="A35" s="24">
        <v>45302</v>
      </c>
      <c r="B35" s="9" t="s">
        <v>71</v>
      </c>
      <c r="C35" s="9" t="s">
        <v>21</v>
      </c>
      <c r="D35" s="9" t="s">
        <v>46</v>
      </c>
      <c r="E35" s="5">
        <v>1818</v>
      </c>
      <c r="F35" s="5" t="b">
        <v>1</v>
      </c>
      <c r="G35" s="9" t="s">
        <v>34</v>
      </c>
      <c r="H35" s="9" t="s">
        <v>24</v>
      </c>
      <c r="I35" s="9" t="s">
        <v>25</v>
      </c>
      <c r="J35" s="9" t="s">
        <v>54</v>
      </c>
      <c r="K35" s="5">
        <v>1</v>
      </c>
      <c r="L35" s="9" t="s">
        <v>49</v>
      </c>
      <c r="M35" s="9" t="s">
        <v>66</v>
      </c>
      <c r="N35" s="5" t="b">
        <v>1</v>
      </c>
      <c r="O35" s="5">
        <v>93</v>
      </c>
      <c r="P35" s="9" t="s">
        <v>67</v>
      </c>
      <c r="Q35" s="5">
        <v>6</v>
      </c>
      <c r="R35" s="5">
        <v>2</v>
      </c>
      <c r="S35" s="5">
        <v>2239</v>
      </c>
      <c r="T35" s="10" t="s">
        <v>38</v>
      </c>
      <c r="U35" t="str">
        <f>IF(OR(E35&lt;'Q1'!$E$13,E35&gt;'Q1'!$E$14),"Outliers","Not an Outliers")</f>
        <v>Not an Outliers</v>
      </c>
      <c r="V35" t="str">
        <f t="shared" si="0"/>
        <v>Weekday</v>
      </c>
    </row>
    <row r="36" spans="1:22" x14ac:dyDescent="0.3">
      <c r="A36" s="23">
        <v>45303</v>
      </c>
      <c r="B36" s="7" t="s">
        <v>20</v>
      </c>
      <c r="C36" s="7" t="s">
        <v>21</v>
      </c>
      <c r="D36" s="7" t="s">
        <v>33</v>
      </c>
      <c r="E36" s="4">
        <v>3172</v>
      </c>
      <c r="F36" s="4" t="b">
        <v>0</v>
      </c>
      <c r="G36" s="7" t="s">
        <v>65</v>
      </c>
      <c r="H36" s="7" t="s">
        <v>41</v>
      </c>
      <c r="I36" s="7" t="s">
        <v>47</v>
      </c>
      <c r="J36" s="7" t="s">
        <v>43</v>
      </c>
      <c r="K36" s="4">
        <v>4</v>
      </c>
      <c r="L36" s="7" t="s">
        <v>27</v>
      </c>
      <c r="M36" s="7" t="s">
        <v>28</v>
      </c>
      <c r="N36" s="4" t="b">
        <v>1</v>
      </c>
      <c r="O36" s="4">
        <v>98</v>
      </c>
      <c r="P36" s="7" t="s">
        <v>50</v>
      </c>
      <c r="Q36" s="4">
        <v>10</v>
      </c>
      <c r="R36" s="4">
        <v>1</v>
      </c>
      <c r="S36" s="4">
        <v>2788</v>
      </c>
      <c r="T36" s="8" t="s">
        <v>38</v>
      </c>
      <c r="U36" t="str">
        <f>IF(OR(E36&lt;'Q1'!$E$13,E36&gt;'Q1'!$E$14),"Outliers","Not an Outliers")</f>
        <v>Not an Outliers</v>
      </c>
      <c r="V36" t="str">
        <f t="shared" si="0"/>
        <v>Weekday</v>
      </c>
    </row>
    <row r="37" spans="1:22" x14ac:dyDescent="0.3">
      <c r="A37" s="24">
        <v>45303</v>
      </c>
      <c r="B37" s="9" t="s">
        <v>55</v>
      </c>
      <c r="C37" s="9" t="s">
        <v>32</v>
      </c>
      <c r="D37" s="9" t="s">
        <v>57</v>
      </c>
      <c r="E37" s="5">
        <v>1000</v>
      </c>
      <c r="F37" s="5" t="b">
        <v>0</v>
      </c>
      <c r="G37" s="9" t="s">
        <v>64</v>
      </c>
      <c r="H37" s="9" t="s">
        <v>41</v>
      </c>
      <c r="I37" s="9" t="s">
        <v>42</v>
      </c>
      <c r="J37" s="9" t="s">
        <v>43</v>
      </c>
      <c r="K37" s="5">
        <v>1</v>
      </c>
      <c r="L37" s="9" t="s">
        <v>36</v>
      </c>
      <c r="M37" s="9" t="s">
        <v>66</v>
      </c>
      <c r="N37" s="5" t="b">
        <v>0</v>
      </c>
      <c r="O37" s="5">
        <v>15</v>
      </c>
      <c r="P37" s="9" t="s">
        <v>63</v>
      </c>
      <c r="Q37" s="5">
        <v>6</v>
      </c>
      <c r="R37" s="5">
        <v>3</v>
      </c>
      <c r="S37" s="5">
        <v>3367</v>
      </c>
      <c r="T37" s="10" t="s">
        <v>51</v>
      </c>
      <c r="U37" t="str">
        <f>IF(OR(E37&lt;'Q1'!$E$13,E37&gt;'Q1'!$E$14),"Outliers","Not an Outliers")</f>
        <v>Not an Outliers</v>
      </c>
      <c r="V37" t="str">
        <f t="shared" si="0"/>
        <v>Weekday</v>
      </c>
    </row>
    <row r="38" spans="1:22" x14ac:dyDescent="0.3">
      <c r="A38" s="23">
        <v>45303</v>
      </c>
      <c r="B38" s="7" t="s">
        <v>44</v>
      </c>
      <c r="C38" s="7" t="s">
        <v>60</v>
      </c>
      <c r="D38" s="7" t="s">
        <v>53</v>
      </c>
      <c r="E38" s="4">
        <v>3681</v>
      </c>
      <c r="F38" s="4" t="b">
        <v>0</v>
      </c>
      <c r="G38" s="7" t="s">
        <v>23</v>
      </c>
      <c r="H38" s="7" t="s">
        <v>70</v>
      </c>
      <c r="I38" s="7" t="s">
        <v>42</v>
      </c>
      <c r="J38" s="7" t="s">
        <v>48</v>
      </c>
      <c r="K38" s="4">
        <v>2</v>
      </c>
      <c r="L38" s="7" t="s">
        <v>36</v>
      </c>
      <c r="M38" s="7" t="s">
        <v>66</v>
      </c>
      <c r="N38" s="4" t="b">
        <v>0</v>
      </c>
      <c r="O38" s="4">
        <v>57</v>
      </c>
      <c r="P38" s="7" t="s">
        <v>63</v>
      </c>
      <c r="Q38" s="4">
        <v>3</v>
      </c>
      <c r="R38" s="4">
        <v>1</v>
      </c>
      <c r="S38" s="4">
        <v>3354</v>
      </c>
      <c r="T38" s="8" t="s">
        <v>30</v>
      </c>
      <c r="U38" t="str">
        <f>IF(OR(E38&lt;'Q1'!$E$13,E38&gt;'Q1'!$E$14),"Outliers","Not an Outliers")</f>
        <v>Not an Outliers</v>
      </c>
      <c r="V38" t="str">
        <f t="shared" si="0"/>
        <v>Weekday</v>
      </c>
    </row>
    <row r="39" spans="1:22" x14ac:dyDescent="0.3">
      <c r="A39" s="24">
        <v>45303</v>
      </c>
      <c r="B39" s="9" t="s">
        <v>52</v>
      </c>
      <c r="C39" s="9" t="s">
        <v>45</v>
      </c>
      <c r="D39" s="9" t="s">
        <v>57</v>
      </c>
      <c r="E39" s="5">
        <v>1000</v>
      </c>
      <c r="F39" s="5" t="b">
        <v>0</v>
      </c>
      <c r="G39" s="9" t="s">
        <v>34</v>
      </c>
      <c r="H39" s="9" t="s">
        <v>41</v>
      </c>
      <c r="I39" s="9" t="s">
        <v>59</v>
      </c>
      <c r="J39" s="9" t="s">
        <v>54</v>
      </c>
      <c r="K39" s="5">
        <v>4</v>
      </c>
      <c r="L39" s="9" t="s">
        <v>27</v>
      </c>
      <c r="M39" s="9" t="s">
        <v>66</v>
      </c>
      <c r="N39" s="5" t="b">
        <v>1</v>
      </c>
      <c r="O39" s="5">
        <v>76</v>
      </c>
      <c r="P39" s="9" t="s">
        <v>63</v>
      </c>
      <c r="Q39" s="5">
        <v>6</v>
      </c>
      <c r="R39" s="5">
        <v>2</v>
      </c>
      <c r="S39" s="5">
        <v>1301</v>
      </c>
      <c r="T39" s="10" t="s">
        <v>51</v>
      </c>
      <c r="U39" t="str">
        <f>IF(OR(E39&lt;'Q1'!$E$13,E39&gt;'Q1'!$E$14),"Outliers","Not an Outliers")</f>
        <v>Not an Outliers</v>
      </c>
      <c r="V39" t="str">
        <f t="shared" si="0"/>
        <v>Weekday</v>
      </c>
    </row>
    <row r="40" spans="1:22" x14ac:dyDescent="0.3">
      <c r="A40" s="23">
        <v>45304</v>
      </c>
      <c r="B40" s="7" t="s">
        <v>31</v>
      </c>
      <c r="C40" s="7" t="s">
        <v>56</v>
      </c>
      <c r="D40" s="7" t="s">
        <v>33</v>
      </c>
      <c r="E40" s="4">
        <v>4415</v>
      </c>
      <c r="F40" s="4" t="b">
        <v>1</v>
      </c>
      <c r="G40" s="7" t="s">
        <v>64</v>
      </c>
      <c r="H40" s="7" t="s">
        <v>70</v>
      </c>
      <c r="I40" s="7" t="s">
        <v>42</v>
      </c>
      <c r="J40" s="7" t="s">
        <v>48</v>
      </c>
      <c r="K40" s="4">
        <v>4</v>
      </c>
      <c r="L40" s="7" t="s">
        <v>27</v>
      </c>
      <c r="M40" s="7" t="s">
        <v>28</v>
      </c>
      <c r="N40" s="4" t="b">
        <v>1</v>
      </c>
      <c r="O40" s="4">
        <v>34</v>
      </c>
      <c r="P40" s="7" t="s">
        <v>63</v>
      </c>
      <c r="Q40" s="4">
        <v>3</v>
      </c>
      <c r="R40" s="4">
        <v>3</v>
      </c>
      <c r="S40" s="4">
        <v>4463</v>
      </c>
      <c r="T40" s="8" t="s">
        <v>38</v>
      </c>
      <c r="U40" t="str">
        <f>IF(OR(E40&lt;'Q1'!$E$13,E40&gt;'Q1'!$E$14),"Outliers","Not an Outliers")</f>
        <v>Not an Outliers</v>
      </c>
      <c r="V40" t="str">
        <f t="shared" si="0"/>
        <v>Weekend</v>
      </c>
    </row>
    <row r="41" spans="1:22" x14ac:dyDescent="0.3">
      <c r="A41" s="24">
        <v>45304</v>
      </c>
      <c r="B41" s="9" t="s">
        <v>55</v>
      </c>
      <c r="C41" s="9" t="s">
        <v>32</v>
      </c>
      <c r="D41" s="9" t="s">
        <v>57</v>
      </c>
      <c r="E41" s="5">
        <v>1000</v>
      </c>
      <c r="F41" s="5" t="b">
        <v>0</v>
      </c>
      <c r="G41" s="9" t="s">
        <v>34</v>
      </c>
      <c r="H41" s="9" t="s">
        <v>41</v>
      </c>
      <c r="I41" s="9" t="s">
        <v>25</v>
      </c>
      <c r="J41" s="9" t="s">
        <v>43</v>
      </c>
      <c r="K41" s="5">
        <v>1</v>
      </c>
      <c r="L41" s="9" t="s">
        <v>27</v>
      </c>
      <c r="M41" s="9" t="s">
        <v>28</v>
      </c>
      <c r="N41" s="5" t="b">
        <v>0</v>
      </c>
      <c r="O41" s="5">
        <v>119</v>
      </c>
      <c r="P41" s="9" t="s">
        <v>29</v>
      </c>
      <c r="Q41" s="5">
        <v>8</v>
      </c>
      <c r="R41" s="5">
        <v>3</v>
      </c>
      <c r="S41" s="5">
        <v>1423</v>
      </c>
      <c r="T41" s="10" t="s">
        <v>51</v>
      </c>
      <c r="U41" t="str">
        <f>IF(OR(E41&lt;'Q1'!$E$13,E41&gt;'Q1'!$E$14),"Outliers","Not an Outliers")</f>
        <v>Not an Outliers</v>
      </c>
      <c r="V41" t="str">
        <f t="shared" si="0"/>
        <v>Weekend</v>
      </c>
    </row>
    <row r="42" spans="1:22" x14ac:dyDescent="0.3">
      <c r="A42" s="23">
        <v>45304</v>
      </c>
      <c r="B42" s="7" t="s">
        <v>39</v>
      </c>
      <c r="C42" s="7" t="s">
        <v>56</v>
      </c>
      <c r="D42" s="7" t="s">
        <v>46</v>
      </c>
      <c r="E42" s="4">
        <v>4316</v>
      </c>
      <c r="F42" s="4" t="b">
        <v>1</v>
      </c>
      <c r="G42" s="7" t="s">
        <v>65</v>
      </c>
      <c r="H42" s="7" t="s">
        <v>24</v>
      </c>
      <c r="I42" s="7" t="s">
        <v>59</v>
      </c>
      <c r="J42" s="7" t="s">
        <v>48</v>
      </c>
      <c r="K42" s="4">
        <v>3</v>
      </c>
      <c r="L42" s="7" t="s">
        <v>49</v>
      </c>
      <c r="M42" s="7" t="s">
        <v>73</v>
      </c>
      <c r="N42" s="4" t="b">
        <v>1</v>
      </c>
      <c r="O42" s="4">
        <v>92</v>
      </c>
      <c r="P42" s="7" t="s">
        <v>29</v>
      </c>
      <c r="Q42" s="4">
        <v>10</v>
      </c>
      <c r="R42" s="4">
        <v>1</v>
      </c>
      <c r="S42" s="4">
        <v>4854</v>
      </c>
      <c r="T42" s="8" t="s">
        <v>30</v>
      </c>
      <c r="U42" t="str">
        <f>IF(OR(E42&lt;'Q1'!$E$13,E42&gt;'Q1'!$E$14),"Outliers","Not an Outliers")</f>
        <v>Not an Outliers</v>
      </c>
      <c r="V42" t="str">
        <f t="shared" si="0"/>
        <v>Weekend</v>
      </c>
    </row>
    <row r="43" spans="1:22" x14ac:dyDescent="0.3">
      <c r="A43" s="24">
        <v>45304</v>
      </c>
      <c r="B43" s="9" t="s">
        <v>75</v>
      </c>
      <c r="C43" s="9" t="s">
        <v>60</v>
      </c>
      <c r="D43" s="9" t="s">
        <v>61</v>
      </c>
      <c r="E43" s="5">
        <v>1000</v>
      </c>
      <c r="F43" s="5" t="b">
        <v>0</v>
      </c>
      <c r="G43" s="9" t="s">
        <v>34</v>
      </c>
      <c r="H43" s="9" t="s">
        <v>35</v>
      </c>
      <c r="I43" s="9" t="s">
        <v>47</v>
      </c>
      <c r="J43" s="9" t="s">
        <v>48</v>
      </c>
      <c r="K43" s="5">
        <v>4</v>
      </c>
      <c r="L43" s="9" t="s">
        <v>27</v>
      </c>
      <c r="M43" s="9" t="s">
        <v>73</v>
      </c>
      <c r="N43" s="5" t="b">
        <v>0</v>
      </c>
      <c r="O43" s="5">
        <v>56</v>
      </c>
      <c r="P43" s="9" t="s">
        <v>37</v>
      </c>
      <c r="Q43" s="5">
        <v>9</v>
      </c>
      <c r="R43" s="5">
        <v>2</v>
      </c>
      <c r="S43" s="5">
        <v>1894</v>
      </c>
      <c r="T43" s="10" t="s">
        <v>51</v>
      </c>
      <c r="U43" t="str">
        <f>IF(OR(E43&lt;'Q1'!$E$13,E43&gt;'Q1'!$E$14),"Outliers","Not an Outliers")</f>
        <v>Not an Outliers</v>
      </c>
      <c r="V43" t="str">
        <f t="shared" si="0"/>
        <v>Weekend</v>
      </c>
    </row>
    <row r="44" spans="1:22" x14ac:dyDescent="0.3">
      <c r="A44" s="23">
        <v>45304</v>
      </c>
      <c r="B44" s="7" t="s">
        <v>74</v>
      </c>
      <c r="C44" s="7" t="s">
        <v>21</v>
      </c>
      <c r="D44" s="7" t="s">
        <v>53</v>
      </c>
      <c r="E44" s="4">
        <v>5617</v>
      </c>
      <c r="F44" s="4" t="b">
        <v>0</v>
      </c>
      <c r="G44" s="7" t="s">
        <v>34</v>
      </c>
      <c r="H44" s="7" t="s">
        <v>24</v>
      </c>
      <c r="I44" s="7" t="s">
        <v>59</v>
      </c>
      <c r="J44" s="7" t="s">
        <v>48</v>
      </c>
      <c r="K44" s="4">
        <v>5</v>
      </c>
      <c r="L44" s="7" t="s">
        <v>49</v>
      </c>
      <c r="M44" s="7" t="s">
        <v>28</v>
      </c>
      <c r="N44" s="4" t="b">
        <v>1</v>
      </c>
      <c r="O44" s="4">
        <v>72</v>
      </c>
      <c r="P44" s="7" t="s">
        <v>50</v>
      </c>
      <c r="Q44" s="4">
        <v>8</v>
      </c>
      <c r="R44" s="4">
        <v>3</v>
      </c>
      <c r="S44" s="4">
        <v>547</v>
      </c>
      <c r="T44" s="8" t="s">
        <v>30</v>
      </c>
      <c r="U44" t="str">
        <f>IF(OR(E44&lt;'Q1'!$E$13,E44&gt;'Q1'!$E$14),"Outliers","Not an Outliers")</f>
        <v>Not an Outliers</v>
      </c>
      <c r="V44" t="str">
        <f t="shared" si="0"/>
        <v>Weekend</v>
      </c>
    </row>
    <row r="45" spans="1:22" x14ac:dyDescent="0.3">
      <c r="A45" s="24">
        <v>45304</v>
      </c>
      <c r="B45" s="9" t="s">
        <v>62</v>
      </c>
      <c r="C45" s="9" t="s">
        <v>60</v>
      </c>
      <c r="D45" s="9" t="s">
        <v>22</v>
      </c>
      <c r="E45" s="5">
        <v>8843</v>
      </c>
      <c r="F45" s="5" t="b">
        <v>1</v>
      </c>
      <c r="G45" s="9" t="s">
        <v>64</v>
      </c>
      <c r="H45" s="9" t="s">
        <v>70</v>
      </c>
      <c r="I45" s="9" t="s">
        <v>25</v>
      </c>
      <c r="J45" s="9" t="s">
        <v>54</v>
      </c>
      <c r="K45" s="5">
        <v>2</v>
      </c>
      <c r="L45" s="9" t="s">
        <v>36</v>
      </c>
      <c r="M45" s="9" t="s">
        <v>58</v>
      </c>
      <c r="N45" s="5" t="b">
        <v>1</v>
      </c>
      <c r="O45" s="5">
        <v>59</v>
      </c>
      <c r="P45" s="9" t="s">
        <v>29</v>
      </c>
      <c r="Q45" s="5">
        <v>3</v>
      </c>
      <c r="R45" s="5">
        <v>2</v>
      </c>
      <c r="S45" s="5">
        <v>2206</v>
      </c>
      <c r="T45" s="10" t="s">
        <v>30</v>
      </c>
      <c r="U45" t="str">
        <f>IF(OR(E45&lt;'Q1'!$E$13,E45&gt;'Q1'!$E$14),"Outliers","Not an Outliers")</f>
        <v>Not an Outliers</v>
      </c>
      <c r="V45" t="str">
        <f t="shared" si="0"/>
        <v>Weekend</v>
      </c>
    </row>
    <row r="46" spans="1:22" x14ac:dyDescent="0.3">
      <c r="A46" s="23">
        <v>45305</v>
      </c>
      <c r="B46" s="7" t="s">
        <v>39</v>
      </c>
      <c r="C46" s="7" t="s">
        <v>32</v>
      </c>
      <c r="D46" s="7" t="s">
        <v>57</v>
      </c>
      <c r="E46" s="4">
        <v>1000</v>
      </c>
      <c r="F46" s="4" t="b">
        <v>0</v>
      </c>
      <c r="G46" s="7" t="s">
        <v>40</v>
      </c>
      <c r="H46" s="7" t="s">
        <v>41</v>
      </c>
      <c r="I46" s="7" t="s">
        <v>42</v>
      </c>
      <c r="J46" s="7" t="s">
        <v>26</v>
      </c>
      <c r="K46" s="4">
        <v>0</v>
      </c>
      <c r="L46" s="7" t="s">
        <v>27</v>
      </c>
      <c r="M46" s="7" t="s">
        <v>73</v>
      </c>
      <c r="N46" s="4" t="b">
        <v>0</v>
      </c>
      <c r="O46" s="4">
        <v>59</v>
      </c>
      <c r="P46" s="7" t="s">
        <v>67</v>
      </c>
      <c r="Q46" s="4">
        <v>8</v>
      </c>
      <c r="R46" s="4">
        <v>1</v>
      </c>
      <c r="S46" s="4">
        <v>1978</v>
      </c>
      <c r="T46" s="8" t="s">
        <v>30</v>
      </c>
      <c r="U46" t="str">
        <f>IF(OR(E46&lt;'Q1'!$E$13,E46&gt;'Q1'!$E$14),"Outliers","Not an Outliers")</f>
        <v>Not an Outliers</v>
      </c>
      <c r="V46" t="str">
        <f t="shared" si="0"/>
        <v>Weekend</v>
      </c>
    </row>
    <row r="47" spans="1:22" x14ac:dyDescent="0.3">
      <c r="A47" s="24">
        <v>45305</v>
      </c>
      <c r="B47" s="9" t="s">
        <v>68</v>
      </c>
      <c r="C47" s="9" t="s">
        <v>56</v>
      </c>
      <c r="D47" s="9" t="s">
        <v>46</v>
      </c>
      <c r="E47" s="5">
        <v>1511</v>
      </c>
      <c r="F47" s="5" t="b">
        <v>1</v>
      </c>
      <c r="G47" s="9" t="s">
        <v>40</v>
      </c>
      <c r="H47" s="9" t="s">
        <v>70</v>
      </c>
      <c r="I47" s="9" t="s">
        <v>42</v>
      </c>
      <c r="J47" s="9" t="s">
        <v>26</v>
      </c>
      <c r="K47" s="5">
        <v>2</v>
      </c>
      <c r="L47" s="9" t="s">
        <v>36</v>
      </c>
      <c r="M47" s="9" t="s">
        <v>28</v>
      </c>
      <c r="N47" s="5" t="b">
        <v>1</v>
      </c>
      <c r="O47" s="5">
        <v>54</v>
      </c>
      <c r="P47" s="9" t="s">
        <v>63</v>
      </c>
      <c r="Q47" s="5">
        <v>1</v>
      </c>
      <c r="R47" s="5">
        <v>1</v>
      </c>
      <c r="S47" s="5">
        <v>667</v>
      </c>
      <c r="T47" s="10" t="s">
        <v>51</v>
      </c>
      <c r="U47" t="str">
        <f>IF(OR(E47&lt;'Q1'!$E$13,E47&gt;'Q1'!$E$14),"Outliers","Not an Outliers")</f>
        <v>Not an Outliers</v>
      </c>
      <c r="V47" t="str">
        <f t="shared" si="0"/>
        <v>Weekend</v>
      </c>
    </row>
    <row r="48" spans="1:22" x14ac:dyDescent="0.3">
      <c r="A48" s="23">
        <v>45305</v>
      </c>
      <c r="B48" s="7" t="s">
        <v>39</v>
      </c>
      <c r="C48" s="7" t="s">
        <v>45</v>
      </c>
      <c r="D48" s="7" t="s">
        <v>22</v>
      </c>
      <c r="E48" s="4">
        <v>5836</v>
      </c>
      <c r="F48" s="4" t="b">
        <v>0</v>
      </c>
      <c r="G48" s="7" t="s">
        <v>64</v>
      </c>
      <c r="H48" s="7" t="s">
        <v>41</v>
      </c>
      <c r="I48" s="7" t="s">
        <v>25</v>
      </c>
      <c r="J48" s="7" t="s">
        <v>54</v>
      </c>
      <c r="K48" s="4">
        <v>4</v>
      </c>
      <c r="L48" s="7" t="s">
        <v>27</v>
      </c>
      <c r="M48" s="7" t="s">
        <v>73</v>
      </c>
      <c r="N48" s="4" t="b">
        <v>0</v>
      </c>
      <c r="O48" s="4">
        <v>63</v>
      </c>
      <c r="P48" s="7" t="s">
        <v>50</v>
      </c>
      <c r="Q48" s="4">
        <v>9</v>
      </c>
      <c r="R48" s="4">
        <v>1</v>
      </c>
      <c r="S48" s="4">
        <v>2817</v>
      </c>
      <c r="T48" s="8" t="s">
        <v>38</v>
      </c>
      <c r="U48" t="str">
        <f>IF(OR(E48&lt;'Q1'!$E$13,E48&gt;'Q1'!$E$14),"Outliers","Not an Outliers")</f>
        <v>Not an Outliers</v>
      </c>
      <c r="V48" t="str">
        <f t="shared" si="0"/>
        <v>Weekend</v>
      </c>
    </row>
    <row r="49" spans="1:22" x14ac:dyDescent="0.3">
      <c r="A49" s="24">
        <v>45305</v>
      </c>
      <c r="B49" s="9" t="s">
        <v>74</v>
      </c>
      <c r="C49" s="9" t="s">
        <v>21</v>
      </c>
      <c r="D49" s="9" t="s">
        <v>57</v>
      </c>
      <c r="E49" s="5">
        <v>1000</v>
      </c>
      <c r="F49" s="5" t="b">
        <v>1</v>
      </c>
      <c r="G49" s="9" t="s">
        <v>34</v>
      </c>
      <c r="H49" s="9" t="s">
        <v>24</v>
      </c>
      <c r="I49" s="9" t="s">
        <v>59</v>
      </c>
      <c r="J49" s="9" t="s">
        <v>26</v>
      </c>
      <c r="K49" s="5">
        <v>0</v>
      </c>
      <c r="L49" s="9" t="s">
        <v>27</v>
      </c>
      <c r="M49" s="9" t="s">
        <v>28</v>
      </c>
      <c r="N49" s="5" t="b">
        <v>0</v>
      </c>
      <c r="O49" s="5">
        <v>114</v>
      </c>
      <c r="P49" s="9" t="s">
        <v>63</v>
      </c>
      <c r="Q49" s="5">
        <v>7</v>
      </c>
      <c r="R49" s="5">
        <v>3</v>
      </c>
      <c r="S49" s="5">
        <v>4674</v>
      </c>
      <c r="T49" s="10" t="s">
        <v>38</v>
      </c>
      <c r="U49" t="str">
        <f>IF(OR(E49&lt;'Q1'!$E$13,E49&gt;'Q1'!$E$14),"Outliers","Not an Outliers")</f>
        <v>Not an Outliers</v>
      </c>
      <c r="V49" t="str">
        <f t="shared" si="0"/>
        <v>Weekend</v>
      </c>
    </row>
    <row r="50" spans="1:22" x14ac:dyDescent="0.3">
      <c r="A50" s="23">
        <v>45306</v>
      </c>
      <c r="B50" s="7" t="s">
        <v>69</v>
      </c>
      <c r="C50" s="7" t="s">
        <v>45</v>
      </c>
      <c r="D50" s="7" t="s">
        <v>46</v>
      </c>
      <c r="E50" s="4">
        <v>1757</v>
      </c>
      <c r="F50" s="4" t="b">
        <v>1</v>
      </c>
      <c r="G50" s="7" t="s">
        <v>65</v>
      </c>
      <c r="H50" s="7" t="s">
        <v>24</v>
      </c>
      <c r="I50" s="7" t="s">
        <v>47</v>
      </c>
      <c r="J50" s="7" t="s">
        <v>54</v>
      </c>
      <c r="K50" s="4">
        <v>1</v>
      </c>
      <c r="L50" s="7" t="s">
        <v>27</v>
      </c>
      <c r="M50" s="7" t="s">
        <v>58</v>
      </c>
      <c r="N50" s="4" t="b">
        <v>0</v>
      </c>
      <c r="O50" s="4">
        <v>33</v>
      </c>
      <c r="P50" s="7" t="s">
        <v>37</v>
      </c>
      <c r="Q50" s="4">
        <v>2</v>
      </c>
      <c r="R50" s="4">
        <v>1</v>
      </c>
      <c r="S50" s="4">
        <v>1272</v>
      </c>
      <c r="T50" s="8" t="s">
        <v>38</v>
      </c>
      <c r="U50" t="str">
        <f>IF(OR(E50&lt;'Q1'!$E$13,E50&gt;'Q1'!$E$14),"Outliers","Not an Outliers")</f>
        <v>Not an Outliers</v>
      </c>
      <c r="V50" t="str">
        <f t="shared" si="0"/>
        <v>Weekday</v>
      </c>
    </row>
    <row r="51" spans="1:22" x14ac:dyDescent="0.3">
      <c r="A51" s="24">
        <v>45306</v>
      </c>
      <c r="B51" s="9" t="s">
        <v>75</v>
      </c>
      <c r="C51" s="9" t="s">
        <v>56</v>
      </c>
      <c r="D51" s="9" t="s">
        <v>22</v>
      </c>
      <c r="E51" s="5">
        <v>5002</v>
      </c>
      <c r="F51" s="5" t="b">
        <v>0</v>
      </c>
      <c r="G51" s="9" t="s">
        <v>65</v>
      </c>
      <c r="H51" s="9" t="s">
        <v>35</v>
      </c>
      <c r="I51" s="9" t="s">
        <v>25</v>
      </c>
      <c r="J51" s="9" t="s">
        <v>26</v>
      </c>
      <c r="K51" s="5">
        <v>1</v>
      </c>
      <c r="L51" s="9" t="s">
        <v>36</v>
      </c>
      <c r="M51" s="9" t="s">
        <v>73</v>
      </c>
      <c r="N51" s="5" t="b">
        <v>0</v>
      </c>
      <c r="O51" s="5">
        <v>116</v>
      </c>
      <c r="P51" s="9" t="s">
        <v>29</v>
      </c>
      <c r="Q51" s="5">
        <v>6</v>
      </c>
      <c r="R51" s="5">
        <v>3</v>
      </c>
      <c r="S51" s="5">
        <v>2094</v>
      </c>
      <c r="T51" s="10" t="s">
        <v>38</v>
      </c>
      <c r="U51" t="str">
        <f>IF(OR(E51&lt;'Q1'!$E$13,E51&gt;'Q1'!$E$14),"Outliers","Not an Outliers")</f>
        <v>Not an Outliers</v>
      </c>
      <c r="V51" t="str">
        <f t="shared" si="0"/>
        <v>Weekday</v>
      </c>
    </row>
    <row r="52" spans="1:22" x14ac:dyDescent="0.3">
      <c r="A52" s="23">
        <v>45307</v>
      </c>
      <c r="B52" s="7" t="s">
        <v>77</v>
      </c>
      <c r="C52" s="7" t="s">
        <v>21</v>
      </c>
      <c r="D52" s="7" t="s">
        <v>46</v>
      </c>
      <c r="E52" s="4">
        <v>3069</v>
      </c>
      <c r="F52" s="4" t="b">
        <v>1</v>
      </c>
      <c r="G52" s="7" t="s">
        <v>64</v>
      </c>
      <c r="H52" s="7" t="s">
        <v>41</v>
      </c>
      <c r="I52" s="7" t="s">
        <v>47</v>
      </c>
      <c r="J52" s="7" t="s">
        <v>48</v>
      </c>
      <c r="K52" s="4">
        <v>1</v>
      </c>
      <c r="L52" s="7" t="s">
        <v>36</v>
      </c>
      <c r="M52" s="7" t="s">
        <v>28</v>
      </c>
      <c r="N52" s="4" t="b">
        <v>1</v>
      </c>
      <c r="O52" s="4">
        <v>120</v>
      </c>
      <c r="P52" s="7" t="s">
        <v>67</v>
      </c>
      <c r="Q52" s="4">
        <v>8</v>
      </c>
      <c r="R52" s="4">
        <v>3</v>
      </c>
      <c r="S52" s="4">
        <v>4738</v>
      </c>
      <c r="T52" s="8" t="s">
        <v>38</v>
      </c>
      <c r="U52" t="str">
        <f>IF(OR(E52&lt;'Q1'!$E$13,E52&gt;'Q1'!$E$14),"Outliers","Not an Outliers")</f>
        <v>Not an Outliers</v>
      </c>
      <c r="V52" t="str">
        <f t="shared" si="0"/>
        <v>Weekday</v>
      </c>
    </row>
    <row r="53" spans="1:22" x14ac:dyDescent="0.3">
      <c r="A53" s="24">
        <v>45307</v>
      </c>
      <c r="B53" s="9" t="s">
        <v>74</v>
      </c>
      <c r="C53" s="9" t="s">
        <v>60</v>
      </c>
      <c r="D53" s="9" t="s">
        <v>61</v>
      </c>
      <c r="E53" s="5">
        <v>1000</v>
      </c>
      <c r="F53" s="5" t="b">
        <v>0</v>
      </c>
      <c r="G53" s="9" t="s">
        <v>40</v>
      </c>
      <c r="H53" s="9" t="s">
        <v>24</v>
      </c>
      <c r="I53" s="9" t="s">
        <v>47</v>
      </c>
      <c r="J53" s="9" t="s">
        <v>48</v>
      </c>
      <c r="K53" s="5">
        <v>2</v>
      </c>
      <c r="L53" s="9" t="s">
        <v>49</v>
      </c>
      <c r="M53" s="9" t="s">
        <v>58</v>
      </c>
      <c r="N53" s="5" t="b">
        <v>0</v>
      </c>
      <c r="O53" s="5">
        <v>50</v>
      </c>
      <c r="P53" s="9" t="s">
        <v>29</v>
      </c>
      <c r="Q53" s="5">
        <v>3</v>
      </c>
      <c r="R53" s="5">
        <v>3</v>
      </c>
      <c r="S53" s="5">
        <v>1161</v>
      </c>
      <c r="T53" s="10" t="s">
        <v>51</v>
      </c>
      <c r="U53" t="str">
        <f>IF(OR(E53&lt;'Q1'!$E$13,E53&gt;'Q1'!$E$14),"Outliers","Not an Outliers")</f>
        <v>Not an Outliers</v>
      </c>
      <c r="V53" t="str">
        <f t="shared" si="0"/>
        <v>Weekday</v>
      </c>
    </row>
    <row r="54" spans="1:22" x14ac:dyDescent="0.3">
      <c r="A54" s="23">
        <v>45308</v>
      </c>
      <c r="B54" s="7" t="s">
        <v>62</v>
      </c>
      <c r="C54" s="7" t="s">
        <v>56</v>
      </c>
      <c r="D54" s="7" t="s">
        <v>53</v>
      </c>
      <c r="E54" s="4">
        <v>3296</v>
      </c>
      <c r="F54" s="4" t="b">
        <v>0</v>
      </c>
      <c r="G54" s="7" t="s">
        <v>34</v>
      </c>
      <c r="H54" s="7" t="s">
        <v>35</v>
      </c>
      <c r="I54" s="7" t="s">
        <v>42</v>
      </c>
      <c r="J54" s="7" t="s">
        <v>43</v>
      </c>
      <c r="K54" s="4">
        <v>5</v>
      </c>
      <c r="L54" s="7" t="s">
        <v>49</v>
      </c>
      <c r="M54" s="7" t="s">
        <v>66</v>
      </c>
      <c r="N54" s="4" t="b">
        <v>0</v>
      </c>
      <c r="O54" s="4">
        <v>89</v>
      </c>
      <c r="P54" s="7" t="s">
        <v>63</v>
      </c>
      <c r="Q54" s="4">
        <v>6</v>
      </c>
      <c r="R54" s="4">
        <v>2</v>
      </c>
      <c r="S54" s="4">
        <v>3625</v>
      </c>
      <c r="T54" s="8" t="s">
        <v>30</v>
      </c>
      <c r="U54" t="str">
        <f>IF(OR(E54&lt;'Q1'!$E$13,E54&gt;'Q1'!$E$14),"Outliers","Not an Outliers")</f>
        <v>Not an Outliers</v>
      </c>
      <c r="V54" t="str">
        <f t="shared" si="0"/>
        <v>Weekday</v>
      </c>
    </row>
    <row r="55" spans="1:22" x14ac:dyDescent="0.3">
      <c r="A55" s="24">
        <v>45308</v>
      </c>
      <c r="B55" s="9" t="s">
        <v>62</v>
      </c>
      <c r="C55" s="9" t="s">
        <v>45</v>
      </c>
      <c r="D55" s="9" t="s">
        <v>53</v>
      </c>
      <c r="E55" s="5">
        <v>6379</v>
      </c>
      <c r="F55" s="5" t="b">
        <v>1</v>
      </c>
      <c r="G55" s="9" t="s">
        <v>23</v>
      </c>
      <c r="H55" s="9" t="s">
        <v>70</v>
      </c>
      <c r="I55" s="9" t="s">
        <v>47</v>
      </c>
      <c r="J55" s="9" t="s">
        <v>43</v>
      </c>
      <c r="K55" s="5">
        <v>2</v>
      </c>
      <c r="L55" s="9" t="s">
        <v>36</v>
      </c>
      <c r="M55" s="9" t="s">
        <v>73</v>
      </c>
      <c r="N55" s="5" t="b">
        <v>0</v>
      </c>
      <c r="O55" s="5">
        <v>88</v>
      </c>
      <c r="P55" s="9" t="s">
        <v>50</v>
      </c>
      <c r="Q55" s="5">
        <v>7</v>
      </c>
      <c r="R55" s="5">
        <v>1</v>
      </c>
      <c r="S55" s="5">
        <v>2484</v>
      </c>
      <c r="T55" s="10" t="s">
        <v>51</v>
      </c>
      <c r="U55" t="str">
        <f>IF(OR(E55&lt;'Q1'!$E$13,E55&gt;'Q1'!$E$14),"Outliers","Not an Outliers")</f>
        <v>Not an Outliers</v>
      </c>
      <c r="V55" t="str">
        <f t="shared" si="0"/>
        <v>Weekday</v>
      </c>
    </row>
    <row r="56" spans="1:22" x14ac:dyDescent="0.3">
      <c r="A56" s="23">
        <v>45309</v>
      </c>
      <c r="B56" s="7" t="s">
        <v>52</v>
      </c>
      <c r="C56" s="7" t="s">
        <v>32</v>
      </c>
      <c r="D56" s="7" t="s">
        <v>53</v>
      </c>
      <c r="E56" s="4">
        <v>4725</v>
      </c>
      <c r="F56" s="4" t="b">
        <v>1</v>
      </c>
      <c r="G56" s="7" t="s">
        <v>64</v>
      </c>
      <c r="H56" s="7" t="s">
        <v>70</v>
      </c>
      <c r="I56" s="7" t="s">
        <v>47</v>
      </c>
      <c r="J56" s="7" t="s">
        <v>43</v>
      </c>
      <c r="K56" s="4">
        <v>5</v>
      </c>
      <c r="L56" s="7" t="s">
        <v>27</v>
      </c>
      <c r="M56" s="7" t="s">
        <v>28</v>
      </c>
      <c r="N56" s="4" t="b">
        <v>1</v>
      </c>
      <c r="O56" s="4">
        <v>27</v>
      </c>
      <c r="P56" s="7" t="s">
        <v>67</v>
      </c>
      <c r="Q56" s="4">
        <v>4</v>
      </c>
      <c r="R56" s="4">
        <v>2</v>
      </c>
      <c r="S56" s="4">
        <v>3879</v>
      </c>
      <c r="T56" s="8" t="s">
        <v>51</v>
      </c>
      <c r="U56" t="str">
        <f>IF(OR(E56&lt;'Q1'!$E$13,E56&gt;'Q1'!$E$14),"Outliers","Not an Outliers")</f>
        <v>Not an Outliers</v>
      </c>
      <c r="V56" t="str">
        <f t="shared" si="0"/>
        <v>Weekday</v>
      </c>
    </row>
    <row r="57" spans="1:22" x14ac:dyDescent="0.3">
      <c r="A57" s="24">
        <v>45309</v>
      </c>
      <c r="B57" s="9" t="s">
        <v>44</v>
      </c>
      <c r="C57" s="9" t="s">
        <v>32</v>
      </c>
      <c r="D57" s="9" t="s">
        <v>53</v>
      </c>
      <c r="E57" s="5">
        <v>4114</v>
      </c>
      <c r="F57" s="5" t="b">
        <v>0</v>
      </c>
      <c r="G57" s="9" t="s">
        <v>34</v>
      </c>
      <c r="H57" s="9" t="s">
        <v>41</v>
      </c>
      <c r="I57" s="9" t="s">
        <v>42</v>
      </c>
      <c r="J57" s="9" t="s">
        <v>48</v>
      </c>
      <c r="K57" s="5">
        <v>3</v>
      </c>
      <c r="L57" s="9" t="s">
        <v>49</v>
      </c>
      <c r="M57" s="9" t="s">
        <v>58</v>
      </c>
      <c r="N57" s="5" t="b">
        <v>0</v>
      </c>
      <c r="O57" s="5">
        <v>67</v>
      </c>
      <c r="P57" s="9" t="s">
        <v>29</v>
      </c>
      <c r="Q57" s="5">
        <v>8</v>
      </c>
      <c r="R57" s="5">
        <v>3</v>
      </c>
      <c r="S57" s="5">
        <v>2646</v>
      </c>
      <c r="T57" s="10" t="s">
        <v>30</v>
      </c>
      <c r="U57" t="str">
        <f>IF(OR(E57&lt;'Q1'!$E$13,E57&gt;'Q1'!$E$14),"Outliers","Not an Outliers")</f>
        <v>Not an Outliers</v>
      </c>
      <c r="V57" t="str">
        <f t="shared" si="0"/>
        <v>Weekday</v>
      </c>
    </row>
    <row r="58" spans="1:22" x14ac:dyDescent="0.3">
      <c r="A58" s="23">
        <v>45309</v>
      </c>
      <c r="B58" s="7" t="s">
        <v>72</v>
      </c>
      <c r="C58" s="7" t="s">
        <v>32</v>
      </c>
      <c r="D58" s="7" t="s">
        <v>22</v>
      </c>
      <c r="E58" s="4">
        <v>43125</v>
      </c>
      <c r="F58" s="4" t="b">
        <v>0</v>
      </c>
      <c r="G58" s="7" t="s">
        <v>34</v>
      </c>
      <c r="H58" s="7" t="s">
        <v>35</v>
      </c>
      <c r="I58" s="7" t="s">
        <v>25</v>
      </c>
      <c r="J58" s="7" t="s">
        <v>54</v>
      </c>
      <c r="K58" s="4">
        <v>5</v>
      </c>
      <c r="L58" s="7" t="s">
        <v>49</v>
      </c>
      <c r="M58" s="7" t="s">
        <v>28</v>
      </c>
      <c r="N58" s="4" t="b">
        <v>1</v>
      </c>
      <c r="O58" s="4">
        <v>3</v>
      </c>
      <c r="P58" s="7" t="s">
        <v>37</v>
      </c>
      <c r="Q58" s="4">
        <v>10</v>
      </c>
      <c r="R58" s="4">
        <v>1</v>
      </c>
      <c r="S58" s="4">
        <v>3722</v>
      </c>
      <c r="T58" s="8" t="s">
        <v>30</v>
      </c>
      <c r="U58" t="str">
        <f>IF(OR(E58&lt;'Q1'!$E$13,E58&gt;'Q1'!$E$14),"Outliers","Not an Outliers")</f>
        <v>Outliers</v>
      </c>
      <c r="V58" t="str">
        <f t="shared" si="0"/>
        <v>Weekday</v>
      </c>
    </row>
    <row r="59" spans="1:22" x14ac:dyDescent="0.3">
      <c r="A59" s="24">
        <v>45310</v>
      </c>
      <c r="B59" s="9" t="s">
        <v>74</v>
      </c>
      <c r="C59" s="9" t="s">
        <v>56</v>
      </c>
      <c r="D59" s="9" t="s">
        <v>53</v>
      </c>
      <c r="E59" s="5">
        <v>3717</v>
      </c>
      <c r="F59" s="5" t="b">
        <v>0</v>
      </c>
      <c r="G59" s="9" t="s">
        <v>65</v>
      </c>
      <c r="H59" s="9" t="s">
        <v>35</v>
      </c>
      <c r="I59" s="9" t="s">
        <v>42</v>
      </c>
      <c r="J59" s="9" t="s">
        <v>26</v>
      </c>
      <c r="K59" s="5">
        <v>2</v>
      </c>
      <c r="L59" s="9" t="s">
        <v>27</v>
      </c>
      <c r="M59" s="9" t="s">
        <v>73</v>
      </c>
      <c r="N59" s="5" t="b">
        <v>1</v>
      </c>
      <c r="O59" s="5">
        <v>45</v>
      </c>
      <c r="P59" s="9" t="s">
        <v>37</v>
      </c>
      <c r="Q59" s="5">
        <v>1</v>
      </c>
      <c r="R59" s="5">
        <v>3</v>
      </c>
      <c r="S59" s="5">
        <v>1884</v>
      </c>
      <c r="T59" s="10" t="s">
        <v>30</v>
      </c>
      <c r="U59" t="str">
        <f>IF(OR(E59&lt;'Q1'!$E$13,E59&gt;'Q1'!$E$14),"Outliers","Not an Outliers")</f>
        <v>Not an Outliers</v>
      </c>
      <c r="V59" t="str">
        <f t="shared" si="0"/>
        <v>Weekday</v>
      </c>
    </row>
    <row r="60" spans="1:22" x14ac:dyDescent="0.3">
      <c r="A60" s="23">
        <v>45310</v>
      </c>
      <c r="B60" s="7" t="s">
        <v>74</v>
      </c>
      <c r="C60" s="7" t="s">
        <v>21</v>
      </c>
      <c r="D60" s="7" t="s">
        <v>57</v>
      </c>
      <c r="E60" s="4">
        <v>1000</v>
      </c>
      <c r="F60" s="4" t="b">
        <v>0</v>
      </c>
      <c r="G60" s="7" t="s">
        <v>34</v>
      </c>
      <c r="H60" s="7" t="s">
        <v>70</v>
      </c>
      <c r="I60" s="7" t="s">
        <v>42</v>
      </c>
      <c r="J60" s="7" t="s">
        <v>54</v>
      </c>
      <c r="K60" s="4">
        <v>4</v>
      </c>
      <c r="L60" s="7" t="s">
        <v>36</v>
      </c>
      <c r="M60" s="7" t="s">
        <v>73</v>
      </c>
      <c r="N60" s="4" t="b">
        <v>1</v>
      </c>
      <c r="O60" s="4">
        <v>105</v>
      </c>
      <c r="P60" s="7" t="s">
        <v>63</v>
      </c>
      <c r="Q60" s="4">
        <v>3</v>
      </c>
      <c r="R60" s="4">
        <v>1</v>
      </c>
      <c r="S60" s="4">
        <v>4503</v>
      </c>
      <c r="T60" s="8" t="s">
        <v>51</v>
      </c>
      <c r="U60" t="str">
        <f>IF(OR(E60&lt;'Q1'!$E$13,E60&gt;'Q1'!$E$14),"Outliers","Not an Outliers")</f>
        <v>Not an Outliers</v>
      </c>
      <c r="V60" t="str">
        <f t="shared" si="0"/>
        <v>Weekday</v>
      </c>
    </row>
    <row r="61" spans="1:22" x14ac:dyDescent="0.3">
      <c r="A61" s="24">
        <v>45310</v>
      </c>
      <c r="B61" s="9" t="s">
        <v>31</v>
      </c>
      <c r="C61" s="9" t="s">
        <v>56</v>
      </c>
      <c r="D61" s="9" t="s">
        <v>57</v>
      </c>
      <c r="E61" s="5">
        <v>1000</v>
      </c>
      <c r="F61" s="5" t="b">
        <v>1</v>
      </c>
      <c r="G61" s="9" t="s">
        <v>34</v>
      </c>
      <c r="H61" s="9" t="s">
        <v>35</v>
      </c>
      <c r="I61" s="9" t="s">
        <v>47</v>
      </c>
      <c r="J61" s="9" t="s">
        <v>26</v>
      </c>
      <c r="K61" s="5">
        <v>4</v>
      </c>
      <c r="L61" s="9" t="s">
        <v>27</v>
      </c>
      <c r="M61" s="9" t="s">
        <v>66</v>
      </c>
      <c r="N61" s="5" t="b">
        <v>1</v>
      </c>
      <c r="O61" s="5">
        <v>77</v>
      </c>
      <c r="P61" s="9" t="s">
        <v>37</v>
      </c>
      <c r="Q61" s="5">
        <v>4</v>
      </c>
      <c r="R61" s="5">
        <v>1</v>
      </c>
      <c r="S61" s="5">
        <v>4373</v>
      </c>
      <c r="T61" s="10" t="s">
        <v>30</v>
      </c>
      <c r="U61" t="str">
        <f>IF(OR(E61&lt;'Q1'!$E$13,E61&gt;'Q1'!$E$14),"Outliers","Not an Outliers")</f>
        <v>Not an Outliers</v>
      </c>
      <c r="V61" t="str">
        <f t="shared" si="0"/>
        <v>Weekday</v>
      </c>
    </row>
    <row r="62" spans="1:22" x14ac:dyDescent="0.3">
      <c r="A62" s="23">
        <v>45311</v>
      </c>
      <c r="B62" s="7" t="s">
        <v>76</v>
      </c>
      <c r="C62" s="7" t="s">
        <v>56</v>
      </c>
      <c r="D62" s="7" t="s">
        <v>33</v>
      </c>
      <c r="E62" s="4">
        <v>4030</v>
      </c>
      <c r="F62" s="4" t="b">
        <v>1</v>
      </c>
      <c r="G62" s="7" t="s">
        <v>40</v>
      </c>
      <c r="H62" s="7" t="s">
        <v>35</v>
      </c>
      <c r="I62" s="7" t="s">
        <v>42</v>
      </c>
      <c r="J62" s="7" t="s">
        <v>54</v>
      </c>
      <c r="K62" s="4">
        <v>5</v>
      </c>
      <c r="L62" s="7" t="s">
        <v>36</v>
      </c>
      <c r="M62" s="7" t="s">
        <v>58</v>
      </c>
      <c r="N62" s="4" t="b">
        <v>1</v>
      </c>
      <c r="O62" s="4">
        <v>45</v>
      </c>
      <c r="P62" s="7" t="s">
        <v>37</v>
      </c>
      <c r="Q62" s="4">
        <v>2</v>
      </c>
      <c r="R62" s="4">
        <v>3</v>
      </c>
      <c r="S62" s="4">
        <v>1971</v>
      </c>
      <c r="T62" s="8" t="s">
        <v>38</v>
      </c>
      <c r="U62" t="str">
        <f>IF(OR(E62&lt;'Q1'!$E$13,E62&gt;'Q1'!$E$14),"Outliers","Not an Outliers")</f>
        <v>Not an Outliers</v>
      </c>
      <c r="V62" t="str">
        <f t="shared" si="0"/>
        <v>Weekend</v>
      </c>
    </row>
    <row r="63" spans="1:22" x14ac:dyDescent="0.3">
      <c r="A63" s="24">
        <v>45311</v>
      </c>
      <c r="B63" s="9" t="s">
        <v>76</v>
      </c>
      <c r="C63" s="9" t="s">
        <v>56</v>
      </c>
      <c r="D63" s="9" t="s">
        <v>53</v>
      </c>
      <c r="E63" s="5">
        <v>7488</v>
      </c>
      <c r="F63" s="5" t="b">
        <v>0</v>
      </c>
      <c r="G63" s="9" t="s">
        <v>40</v>
      </c>
      <c r="H63" s="9" t="s">
        <v>41</v>
      </c>
      <c r="I63" s="9" t="s">
        <v>25</v>
      </c>
      <c r="J63" s="9" t="s">
        <v>54</v>
      </c>
      <c r="K63" s="5">
        <v>1</v>
      </c>
      <c r="L63" s="9" t="s">
        <v>49</v>
      </c>
      <c r="M63" s="9" t="s">
        <v>73</v>
      </c>
      <c r="N63" s="5" t="b">
        <v>0</v>
      </c>
      <c r="O63" s="5">
        <v>106</v>
      </c>
      <c r="P63" s="9" t="s">
        <v>67</v>
      </c>
      <c r="Q63" s="5">
        <v>5</v>
      </c>
      <c r="R63" s="5">
        <v>1</v>
      </c>
      <c r="S63" s="5">
        <v>1397</v>
      </c>
      <c r="T63" s="10" t="s">
        <v>38</v>
      </c>
      <c r="U63" t="str">
        <f>IF(OR(E63&lt;'Q1'!$E$13,E63&gt;'Q1'!$E$14),"Outliers","Not an Outliers")</f>
        <v>Not an Outliers</v>
      </c>
      <c r="V63" t="str">
        <f t="shared" si="0"/>
        <v>Weekend</v>
      </c>
    </row>
    <row r="64" spans="1:22" x14ac:dyDescent="0.3">
      <c r="A64" s="23">
        <v>45311</v>
      </c>
      <c r="B64" s="7" t="s">
        <v>20</v>
      </c>
      <c r="C64" s="7" t="s">
        <v>56</v>
      </c>
      <c r="D64" s="7" t="s">
        <v>22</v>
      </c>
      <c r="E64" s="4">
        <v>6232</v>
      </c>
      <c r="F64" s="4" t="b">
        <v>0</v>
      </c>
      <c r="G64" s="7" t="s">
        <v>34</v>
      </c>
      <c r="H64" s="7" t="s">
        <v>35</v>
      </c>
      <c r="I64" s="7" t="s">
        <v>25</v>
      </c>
      <c r="J64" s="7" t="s">
        <v>54</v>
      </c>
      <c r="K64" s="4">
        <v>3</v>
      </c>
      <c r="L64" s="7" t="s">
        <v>36</v>
      </c>
      <c r="M64" s="7" t="s">
        <v>28</v>
      </c>
      <c r="N64" s="4" t="b">
        <v>0</v>
      </c>
      <c r="O64" s="4">
        <v>12</v>
      </c>
      <c r="P64" s="7" t="s">
        <v>63</v>
      </c>
      <c r="Q64" s="4">
        <v>3</v>
      </c>
      <c r="R64" s="4">
        <v>1</v>
      </c>
      <c r="S64" s="4">
        <v>2663</v>
      </c>
      <c r="T64" s="8" t="s">
        <v>38</v>
      </c>
      <c r="U64" t="str">
        <f>IF(OR(E64&lt;'Q1'!$E$13,E64&gt;'Q1'!$E$14),"Outliers","Not an Outliers")</f>
        <v>Not an Outliers</v>
      </c>
      <c r="V64" t="str">
        <f t="shared" si="0"/>
        <v>Weekend</v>
      </c>
    </row>
    <row r="65" spans="1:22" x14ac:dyDescent="0.3">
      <c r="A65" s="24">
        <v>45311</v>
      </c>
      <c r="B65" s="9" t="s">
        <v>44</v>
      </c>
      <c r="C65" s="9" t="s">
        <v>45</v>
      </c>
      <c r="D65" s="9" t="s">
        <v>22</v>
      </c>
      <c r="E65" s="5">
        <v>9477</v>
      </c>
      <c r="F65" s="5" t="b">
        <v>0</v>
      </c>
      <c r="G65" s="9" t="s">
        <v>23</v>
      </c>
      <c r="H65" s="9" t="s">
        <v>35</v>
      </c>
      <c r="I65" s="9" t="s">
        <v>42</v>
      </c>
      <c r="J65" s="9" t="s">
        <v>26</v>
      </c>
      <c r="K65" s="5">
        <v>1</v>
      </c>
      <c r="L65" s="9" t="s">
        <v>36</v>
      </c>
      <c r="M65" s="9" t="s">
        <v>58</v>
      </c>
      <c r="N65" s="5" t="b">
        <v>1</v>
      </c>
      <c r="O65" s="5">
        <v>110</v>
      </c>
      <c r="P65" s="9" t="s">
        <v>29</v>
      </c>
      <c r="Q65" s="5">
        <v>4</v>
      </c>
      <c r="R65" s="5">
        <v>2</v>
      </c>
      <c r="S65" s="5">
        <v>2959</v>
      </c>
      <c r="T65" s="10" t="s">
        <v>51</v>
      </c>
      <c r="U65" t="str">
        <f>IF(OR(E65&lt;'Q1'!$E$13,E65&gt;'Q1'!$E$14),"Outliers","Not an Outliers")</f>
        <v>Not an Outliers</v>
      </c>
      <c r="V65" t="str">
        <f t="shared" si="0"/>
        <v>Weekend</v>
      </c>
    </row>
    <row r="66" spans="1:22" x14ac:dyDescent="0.3">
      <c r="A66" s="23">
        <v>45311</v>
      </c>
      <c r="B66" s="7" t="s">
        <v>71</v>
      </c>
      <c r="C66" s="7" t="s">
        <v>21</v>
      </c>
      <c r="D66" s="7" t="s">
        <v>53</v>
      </c>
      <c r="E66" s="4">
        <v>7689</v>
      </c>
      <c r="F66" s="4" t="b">
        <v>1</v>
      </c>
      <c r="G66" s="7" t="s">
        <v>65</v>
      </c>
      <c r="H66" s="7" t="s">
        <v>35</v>
      </c>
      <c r="I66" s="7" t="s">
        <v>42</v>
      </c>
      <c r="J66" s="7" t="s">
        <v>48</v>
      </c>
      <c r="K66" s="4">
        <v>0</v>
      </c>
      <c r="L66" s="7" t="s">
        <v>36</v>
      </c>
      <c r="M66" s="7" t="s">
        <v>66</v>
      </c>
      <c r="N66" s="4" t="b">
        <v>0</v>
      </c>
      <c r="O66" s="4">
        <v>22</v>
      </c>
      <c r="P66" s="7" t="s">
        <v>63</v>
      </c>
      <c r="Q66" s="4">
        <v>7</v>
      </c>
      <c r="R66" s="4">
        <v>3</v>
      </c>
      <c r="S66" s="4">
        <v>1976</v>
      </c>
      <c r="T66" s="8" t="s">
        <v>38</v>
      </c>
      <c r="U66" t="str">
        <f>IF(OR(E66&lt;'Q1'!$E$13,E66&gt;'Q1'!$E$14),"Outliers","Not an Outliers")</f>
        <v>Not an Outliers</v>
      </c>
      <c r="V66" t="str">
        <f t="shared" si="0"/>
        <v>Weekend</v>
      </c>
    </row>
    <row r="67" spans="1:22" x14ac:dyDescent="0.3">
      <c r="A67" s="24">
        <v>45311</v>
      </c>
      <c r="B67" s="9" t="s">
        <v>76</v>
      </c>
      <c r="C67" s="9" t="s">
        <v>45</v>
      </c>
      <c r="D67" s="9" t="s">
        <v>33</v>
      </c>
      <c r="E67" s="5">
        <v>4699</v>
      </c>
      <c r="F67" s="5" t="b">
        <v>0</v>
      </c>
      <c r="G67" s="9" t="s">
        <v>65</v>
      </c>
      <c r="H67" s="9" t="s">
        <v>70</v>
      </c>
      <c r="I67" s="9" t="s">
        <v>42</v>
      </c>
      <c r="J67" s="9" t="s">
        <v>26</v>
      </c>
      <c r="K67" s="5">
        <v>2</v>
      </c>
      <c r="L67" s="9" t="s">
        <v>27</v>
      </c>
      <c r="M67" s="9" t="s">
        <v>58</v>
      </c>
      <c r="N67" s="5" t="b">
        <v>0</v>
      </c>
      <c r="O67" s="5">
        <v>93</v>
      </c>
      <c r="P67" s="9" t="s">
        <v>63</v>
      </c>
      <c r="Q67" s="5">
        <v>2</v>
      </c>
      <c r="R67" s="5">
        <v>1</v>
      </c>
      <c r="S67" s="5">
        <v>4918</v>
      </c>
      <c r="T67" s="10" t="s">
        <v>30</v>
      </c>
      <c r="U67" t="str">
        <f>IF(OR(E67&lt;'Q1'!$E$13,E67&gt;'Q1'!$E$14),"Outliers","Not an Outliers")</f>
        <v>Not an Outliers</v>
      </c>
      <c r="V67" t="str">
        <f t="shared" ref="V67:V130" si="1">IF(WEEKDAY(A67,2)&gt;5,"Weekend","Weekday")</f>
        <v>Weekend</v>
      </c>
    </row>
    <row r="68" spans="1:22" x14ac:dyDescent="0.3">
      <c r="A68" s="23">
        <v>45312</v>
      </c>
      <c r="B68" s="7" t="s">
        <v>39</v>
      </c>
      <c r="C68" s="7" t="s">
        <v>60</v>
      </c>
      <c r="D68" s="7" t="s">
        <v>61</v>
      </c>
      <c r="E68" s="4">
        <v>1000</v>
      </c>
      <c r="F68" s="4" t="b">
        <v>1</v>
      </c>
      <c r="G68" s="7" t="s">
        <v>40</v>
      </c>
      <c r="H68" s="7" t="s">
        <v>41</v>
      </c>
      <c r="I68" s="7" t="s">
        <v>42</v>
      </c>
      <c r="J68" s="7" t="s">
        <v>26</v>
      </c>
      <c r="K68" s="4">
        <v>2</v>
      </c>
      <c r="L68" s="7" t="s">
        <v>27</v>
      </c>
      <c r="M68" s="7" t="s">
        <v>28</v>
      </c>
      <c r="N68" s="4" t="b">
        <v>1</v>
      </c>
      <c r="O68" s="4">
        <v>50</v>
      </c>
      <c r="P68" s="7" t="s">
        <v>50</v>
      </c>
      <c r="Q68" s="4">
        <v>2</v>
      </c>
      <c r="R68" s="4">
        <v>1</v>
      </c>
      <c r="S68" s="4">
        <v>3495</v>
      </c>
      <c r="T68" s="8" t="s">
        <v>51</v>
      </c>
      <c r="U68" t="str">
        <f>IF(OR(E68&lt;'Q1'!$E$13,E68&gt;'Q1'!$E$14),"Outliers","Not an Outliers")</f>
        <v>Not an Outliers</v>
      </c>
      <c r="V68" t="str">
        <f t="shared" si="1"/>
        <v>Weekend</v>
      </c>
    </row>
    <row r="69" spans="1:22" x14ac:dyDescent="0.3">
      <c r="A69" s="24">
        <v>45312</v>
      </c>
      <c r="B69" s="9" t="s">
        <v>31</v>
      </c>
      <c r="C69" s="9" t="s">
        <v>60</v>
      </c>
      <c r="D69" s="9" t="s">
        <v>33</v>
      </c>
      <c r="E69" s="5">
        <v>4251</v>
      </c>
      <c r="F69" s="5" t="b">
        <v>0</v>
      </c>
      <c r="G69" s="9" t="s">
        <v>64</v>
      </c>
      <c r="H69" s="9" t="s">
        <v>24</v>
      </c>
      <c r="I69" s="9" t="s">
        <v>47</v>
      </c>
      <c r="J69" s="9" t="s">
        <v>43</v>
      </c>
      <c r="K69" s="5">
        <v>3</v>
      </c>
      <c r="L69" s="9" t="s">
        <v>27</v>
      </c>
      <c r="M69" s="9" t="s">
        <v>73</v>
      </c>
      <c r="N69" s="5" t="b">
        <v>1</v>
      </c>
      <c r="O69" s="5">
        <v>25</v>
      </c>
      <c r="P69" s="9" t="s">
        <v>37</v>
      </c>
      <c r="Q69" s="5">
        <v>3</v>
      </c>
      <c r="R69" s="5">
        <v>2</v>
      </c>
      <c r="S69" s="5">
        <v>4162</v>
      </c>
      <c r="T69" s="10" t="s">
        <v>30</v>
      </c>
      <c r="U69" t="str">
        <f>IF(OR(E69&lt;'Q1'!$E$13,E69&gt;'Q1'!$E$14),"Outliers","Not an Outliers")</f>
        <v>Not an Outliers</v>
      </c>
      <c r="V69" t="str">
        <f t="shared" si="1"/>
        <v>Weekend</v>
      </c>
    </row>
    <row r="70" spans="1:22" x14ac:dyDescent="0.3">
      <c r="A70" s="23">
        <v>45312</v>
      </c>
      <c r="B70" s="7" t="s">
        <v>52</v>
      </c>
      <c r="C70" s="7" t="s">
        <v>21</v>
      </c>
      <c r="D70" s="7" t="s">
        <v>33</v>
      </c>
      <c r="E70" s="4">
        <v>2465</v>
      </c>
      <c r="F70" s="4" t="b">
        <v>0</v>
      </c>
      <c r="G70" s="7" t="s">
        <v>65</v>
      </c>
      <c r="H70" s="7" t="s">
        <v>41</v>
      </c>
      <c r="I70" s="7" t="s">
        <v>42</v>
      </c>
      <c r="J70" s="7" t="s">
        <v>43</v>
      </c>
      <c r="K70" s="4">
        <v>3</v>
      </c>
      <c r="L70" s="7" t="s">
        <v>49</v>
      </c>
      <c r="M70" s="7" t="s">
        <v>73</v>
      </c>
      <c r="N70" s="4" t="b">
        <v>1</v>
      </c>
      <c r="O70" s="4">
        <v>47</v>
      </c>
      <c r="P70" s="7" t="s">
        <v>50</v>
      </c>
      <c r="Q70" s="4">
        <v>3</v>
      </c>
      <c r="R70" s="4">
        <v>3</v>
      </c>
      <c r="S70" s="4">
        <v>1264</v>
      </c>
      <c r="T70" s="8" t="s">
        <v>30</v>
      </c>
      <c r="U70" t="str">
        <f>IF(OR(E70&lt;'Q1'!$E$13,E70&gt;'Q1'!$E$14),"Outliers","Not an Outliers")</f>
        <v>Not an Outliers</v>
      </c>
      <c r="V70" t="str">
        <f t="shared" si="1"/>
        <v>Weekend</v>
      </c>
    </row>
    <row r="71" spans="1:22" x14ac:dyDescent="0.3">
      <c r="A71" s="24">
        <v>45313</v>
      </c>
      <c r="B71" s="9" t="s">
        <v>74</v>
      </c>
      <c r="C71" s="9" t="s">
        <v>60</v>
      </c>
      <c r="D71" s="9" t="s">
        <v>53</v>
      </c>
      <c r="E71" s="5">
        <v>4602</v>
      </c>
      <c r="F71" s="5" t="b">
        <v>0</v>
      </c>
      <c r="G71" s="9" t="s">
        <v>23</v>
      </c>
      <c r="H71" s="9" t="s">
        <v>70</v>
      </c>
      <c r="I71" s="9" t="s">
        <v>42</v>
      </c>
      <c r="J71" s="9" t="s">
        <v>54</v>
      </c>
      <c r="K71" s="5">
        <v>1</v>
      </c>
      <c r="L71" s="9" t="s">
        <v>49</v>
      </c>
      <c r="M71" s="9" t="s">
        <v>66</v>
      </c>
      <c r="N71" s="5" t="b">
        <v>1</v>
      </c>
      <c r="O71" s="5">
        <v>76</v>
      </c>
      <c r="P71" s="9" t="s">
        <v>29</v>
      </c>
      <c r="Q71" s="5">
        <v>5</v>
      </c>
      <c r="R71" s="5">
        <v>1</v>
      </c>
      <c r="S71" s="5">
        <v>1937</v>
      </c>
      <c r="T71" s="10" t="s">
        <v>51</v>
      </c>
      <c r="U71" t="str">
        <f>IF(OR(E71&lt;'Q1'!$E$13,E71&gt;'Q1'!$E$14),"Outliers","Not an Outliers")</f>
        <v>Not an Outliers</v>
      </c>
      <c r="V71" t="str">
        <f t="shared" si="1"/>
        <v>Weekday</v>
      </c>
    </row>
    <row r="72" spans="1:22" x14ac:dyDescent="0.3">
      <c r="A72" s="23">
        <v>45313</v>
      </c>
      <c r="B72" s="7" t="s">
        <v>44</v>
      </c>
      <c r="C72" s="7" t="s">
        <v>56</v>
      </c>
      <c r="D72" s="7" t="s">
        <v>46</v>
      </c>
      <c r="E72" s="4">
        <v>2139</v>
      </c>
      <c r="F72" s="4" t="b">
        <v>1</v>
      </c>
      <c r="G72" s="7" t="s">
        <v>65</v>
      </c>
      <c r="H72" s="7" t="s">
        <v>24</v>
      </c>
      <c r="I72" s="7" t="s">
        <v>42</v>
      </c>
      <c r="J72" s="7" t="s">
        <v>54</v>
      </c>
      <c r="K72" s="4">
        <v>1</v>
      </c>
      <c r="L72" s="7" t="s">
        <v>36</v>
      </c>
      <c r="M72" s="7" t="s">
        <v>58</v>
      </c>
      <c r="N72" s="4" t="b">
        <v>1</v>
      </c>
      <c r="O72" s="4">
        <v>27</v>
      </c>
      <c r="P72" s="7" t="s">
        <v>50</v>
      </c>
      <c r="Q72" s="4">
        <v>9</v>
      </c>
      <c r="R72" s="4">
        <v>3</v>
      </c>
      <c r="S72" s="4">
        <v>3142</v>
      </c>
      <c r="T72" s="8" t="s">
        <v>38</v>
      </c>
      <c r="U72" t="str">
        <f>IF(OR(E72&lt;'Q1'!$E$13,E72&gt;'Q1'!$E$14),"Outliers","Not an Outliers")</f>
        <v>Not an Outliers</v>
      </c>
      <c r="V72" t="str">
        <f t="shared" si="1"/>
        <v>Weekday</v>
      </c>
    </row>
    <row r="73" spans="1:22" x14ac:dyDescent="0.3">
      <c r="A73" s="24">
        <v>45313</v>
      </c>
      <c r="B73" s="9" t="s">
        <v>74</v>
      </c>
      <c r="C73" s="9" t="s">
        <v>45</v>
      </c>
      <c r="D73" s="9" t="s">
        <v>33</v>
      </c>
      <c r="E73" s="5">
        <v>4702</v>
      </c>
      <c r="F73" s="5" t="b">
        <v>0</v>
      </c>
      <c r="G73" s="9" t="s">
        <v>65</v>
      </c>
      <c r="H73" s="9" t="s">
        <v>24</v>
      </c>
      <c r="I73" s="9" t="s">
        <v>47</v>
      </c>
      <c r="J73" s="9" t="s">
        <v>26</v>
      </c>
      <c r="K73" s="5">
        <v>3</v>
      </c>
      <c r="L73" s="9" t="s">
        <v>27</v>
      </c>
      <c r="M73" s="9" t="s">
        <v>58</v>
      </c>
      <c r="N73" s="5" t="b">
        <v>1</v>
      </c>
      <c r="O73" s="5">
        <v>0</v>
      </c>
      <c r="P73" s="9" t="s">
        <v>29</v>
      </c>
      <c r="Q73" s="5">
        <v>10</v>
      </c>
      <c r="R73" s="5">
        <v>1</v>
      </c>
      <c r="S73" s="5">
        <v>3597</v>
      </c>
      <c r="T73" s="10" t="s">
        <v>51</v>
      </c>
      <c r="U73" t="str">
        <f>IF(OR(E73&lt;'Q1'!$E$13,E73&gt;'Q1'!$E$14),"Outliers","Not an Outliers")</f>
        <v>Not an Outliers</v>
      </c>
      <c r="V73" t="str">
        <f t="shared" si="1"/>
        <v>Weekday</v>
      </c>
    </row>
    <row r="74" spans="1:22" x14ac:dyDescent="0.3">
      <c r="A74" s="23">
        <v>45314</v>
      </c>
      <c r="B74" s="7" t="s">
        <v>75</v>
      </c>
      <c r="C74" s="7" t="s">
        <v>56</v>
      </c>
      <c r="D74" s="7" t="s">
        <v>33</v>
      </c>
      <c r="E74" s="4">
        <v>4256</v>
      </c>
      <c r="F74" s="4" t="b">
        <v>1</v>
      </c>
      <c r="G74" s="7" t="s">
        <v>64</v>
      </c>
      <c r="H74" s="7" t="s">
        <v>70</v>
      </c>
      <c r="I74" s="7" t="s">
        <v>59</v>
      </c>
      <c r="J74" s="7" t="s">
        <v>26</v>
      </c>
      <c r="K74" s="4">
        <v>5</v>
      </c>
      <c r="L74" s="7" t="s">
        <v>49</v>
      </c>
      <c r="M74" s="7" t="s">
        <v>28</v>
      </c>
      <c r="N74" s="4" t="b">
        <v>1</v>
      </c>
      <c r="O74" s="4">
        <v>22</v>
      </c>
      <c r="P74" s="7" t="s">
        <v>50</v>
      </c>
      <c r="Q74" s="4">
        <v>1</v>
      </c>
      <c r="R74" s="4">
        <v>1</v>
      </c>
      <c r="S74" s="4">
        <v>2258</v>
      </c>
      <c r="T74" s="8" t="s">
        <v>30</v>
      </c>
      <c r="U74" t="str">
        <f>IF(OR(E74&lt;'Q1'!$E$13,E74&gt;'Q1'!$E$14),"Outliers","Not an Outliers")</f>
        <v>Not an Outliers</v>
      </c>
      <c r="V74" t="str">
        <f t="shared" si="1"/>
        <v>Weekday</v>
      </c>
    </row>
    <row r="75" spans="1:22" x14ac:dyDescent="0.3">
      <c r="A75" s="24">
        <v>45314</v>
      </c>
      <c r="B75" s="9" t="s">
        <v>72</v>
      </c>
      <c r="C75" s="9" t="s">
        <v>32</v>
      </c>
      <c r="D75" s="9" t="s">
        <v>57</v>
      </c>
      <c r="E75" s="5">
        <v>1000</v>
      </c>
      <c r="F75" s="5" t="b">
        <v>0</v>
      </c>
      <c r="G75" s="9" t="s">
        <v>34</v>
      </c>
      <c r="H75" s="9" t="s">
        <v>35</v>
      </c>
      <c r="I75" s="9" t="s">
        <v>42</v>
      </c>
      <c r="J75" s="9" t="s">
        <v>43</v>
      </c>
      <c r="K75" s="5">
        <v>4</v>
      </c>
      <c r="L75" s="9" t="s">
        <v>36</v>
      </c>
      <c r="M75" s="9" t="s">
        <v>58</v>
      </c>
      <c r="N75" s="5" t="b">
        <v>1</v>
      </c>
      <c r="O75" s="5">
        <v>60</v>
      </c>
      <c r="P75" s="9" t="s">
        <v>29</v>
      </c>
      <c r="Q75" s="5">
        <v>10</v>
      </c>
      <c r="R75" s="5">
        <v>2</v>
      </c>
      <c r="S75" s="5">
        <v>1946</v>
      </c>
      <c r="T75" s="10" t="s">
        <v>30</v>
      </c>
      <c r="U75" t="str">
        <f>IF(OR(E75&lt;'Q1'!$E$13,E75&gt;'Q1'!$E$14),"Outliers","Not an Outliers")</f>
        <v>Not an Outliers</v>
      </c>
      <c r="V75" t="str">
        <f t="shared" si="1"/>
        <v>Weekday</v>
      </c>
    </row>
    <row r="76" spans="1:22" x14ac:dyDescent="0.3">
      <c r="A76" s="23">
        <v>45314</v>
      </c>
      <c r="B76" s="7" t="s">
        <v>74</v>
      </c>
      <c r="C76" s="7" t="s">
        <v>21</v>
      </c>
      <c r="D76" s="7" t="s">
        <v>46</v>
      </c>
      <c r="E76" s="4">
        <v>1118</v>
      </c>
      <c r="F76" s="4" t="b">
        <v>1</v>
      </c>
      <c r="G76" s="7" t="s">
        <v>23</v>
      </c>
      <c r="H76" s="7" t="s">
        <v>41</v>
      </c>
      <c r="I76" s="7" t="s">
        <v>25</v>
      </c>
      <c r="J76" s="7" t="s">
        <v>26</v>
      </c>
      <c r="K76" s="4">
        <v>5</v>
      </c>
      <c r="L76" s="7" t="s">
        <v>27</v>
      </c>
      <c r="M76" s="7" t="s">
        <v>28</v>
      </c>
      <c r="N76" s="4" t="b">
        <v>0</v>
      </c>
      <c r="O76" s="4">
        <v>54</v>
      </c>
      <c r="P76" s="7" t="s">
        <v>29</v>
      </c>
      <c r="Q76" s="4">
        <v>9</v>
      </c>
      <c r="R76" s="4">
        <v>2</v>
      </c>
      <c r="S76" s="4">
        <v>3170</v>
      </c>
      <c r="T76" s="8" t="s">
        <v>30</v>
      </c>
      <c r="U76" t="str">
        <f>IF(OR(E76&lt;'Q1'!$E$13,E76&gt;'Q1'!$E$14),"Outliers","Not an Outliers")</f>
        <v>Not an Outliers</v>
      </c>
      <c r="V76" t="str">
        <f t="shared" si="1"/>
        <v>Weekday</v>
      </c>
    </row>
    <row r="77" spans="1:22" x14ac:dyDescent="0.3">
      <c r="A77" s="24">
        <v>45314</v>
      </c>
      <c r="B77" s="9" t="s">
        <v>77</v>
      </c>
      <c r="C77" s="9" t="s">
        <v>21</v>
      </c>
      <c r="D77" s="9" t="s">
        <v>57</v>
      </c>
      <c r="E77" s="5">
        <v>1000</v>
      </c>
      <c r="F77" s="5" t="b">
        <v>0</v>
      </c>
      <c r="G77" s="9" t="s">
        <v>40</v>
      </c>
      <c r="H77" s="9" t="s">
        <v>35</v>
      </c>
      <c r="I77" s="9" t="s">
        <v>59</v>
      </c>
      <c r="J77" s="9" t="s">
        <v>54</v>
      </c>
      <c r="K77" s="5">
        <v>1</v>
      </c>
      <c r="L77" s="9" t="s">
        <v>36</v>
      </c>
      <c r="M77" s="9" t="s">
        <v>73</v>
      </c>
      <c r="N77" s="5" t="b">
        <v>1</v>
      </c>
      <c r="O77" s="5">
        <v>44</v>
      </c>
      <c r="P77" s="9" t="s">
        <v>67</v>
      </c>
      <c r="Q77" s="5">
        <v>1</v>
      </c>
      <c r="R77" s="5">
        <v>2</v>
      </c>
      <c r="S77" s="5">
        <v>1788</v>
      </c>
      <c r="T77" s="10" t="s">
        <v>51</v>
      </c>
      <c r="U77" t="str">
        <f>IF(OR(E77&lt;'Q1'!$E$13,E77&gt;'Q1'!$E$14),"Outliers","Not an Outliers")</f>
        <v>Not an Outliers</v>
      </c>
      <c r="V77" t="str">
        <f t="shared" si="1"/>
        <v>Weekday</v>
      </c>
    </row>
    <row r="78" spans="1:22" x14ac:dyDescent="0.3">
      <c r="A78" s="23">
        <v>45314</v>
      </c>
      <c r="B78" s="7" t="s">
        <v>77</v>
      </c>
      <c r="C78" s="7" t="s">
        <v>56</v>
      </c>
      <c r="D78" s="7" t="s">
        <v>33</v>
      </c>
      <c r="E78" s="4">
        <v>4189</v>
      </c>
      <c r="F78" s="4" t="b">
        <v>0</v>
      </c>
      <c r="G78" s="7" t="s">
        <v>34</v>
      </c>
      <c r="H78" s="7" t="s">
        <v>35</v>
      </c>
      <c r="I78" s="7" t="s">
        <v>59</v>
      </c>
      <c r="J78" s="7" t="s">
        <v>48</v>
      </c>
      <c r="K78" s="4">
        <v>0</v>
      </c>
      <c r="L78" s="7" t="s">
        <v>49</v>
      </c>
      <c r="M78" s="7" t="s">
        <v>73</v>
      </c>
      <c r="N78" s="4" t="b">
        <v>0</v>
      </c>
      <c r="O78" s="4">
        <v>69</v>
      </c>
      <c r="P78" s="7" t="s">
        <v>63</v>
      </c>
      <c r="Q78" s="4">
        <v>4</v>
      </c>
      <c r="R78" s="4">
        <v>2</v>
      </c>
      <c r="S78" s="4">
        <v>636</v>
      </c>
      <c r="T78" s="8" t="s">
        <v>30</v>
      </c>
      <c r="U78" t="str">
        <f>IF(OR(E78&lt;'Q1'!$E$13,E78&gt;'Q1'!$E$14),"Outliers","Not an Outliers")</f>
        <v>Not an Outliers</v>
      </c>
      <c r="V78" t="str">
        <f t="shared" si="1"/>
        <v>Weekday</v>
      </c>
    </row>
    <row r="79" spans="1:22" x14ac:dyDescent="0.3">
      <c r="A79" s="24">
        <v>45314</v>
      </c>
      <c r="B79" s="9" t="s">
        <v>55</v>
      </c>
      <c r="C79" s="9" t="s">
        <v>56</v>
      </c>
      <c r="D79" s="9" t="s">
        <v>33</v>
      </c>
      <c r="E79" s="5">
        <v>3785</v>
      </c>
      <c r="F79" s="5" t="b">
        <v>1</v>
      </c>
      <c r="G79" s="9" t="s">
        <v>40</v>
      </c>
      <c r="H79" s="9" t="s">
        <v>70</v>
      </c>
      <c r="I79" s="9" t="s">
        <v>42</v>
      </c>
      <c r="J79" s="9" t="s">
        <v>43</v>
      </c>
      <c r="K79" s="5">
        <v>4</v>
      </c>
      <c r="L79" s="9" t="s">
        <v>36</v>
      </c>
      <c r="M79" s="9" t="s">
        <v>66</v>
      </c>
      <c r="N79" s="5" t="b">
        <v>0</v>
      </c>
      <c r="O79" s="5">
        <v>35</v>
      </c>
      <c r="P79" s="9" t="s">
        <v>50</v>
      </c>
      <c r="Q79" s="5">
        <v>8</v>
      </c>
      <c r="R79" s="5">
        <v>1</v>
      </c>
      <c r="S79" s="5">
        <v>1298</v>
      </c>
      <c r="T79" s="10" t="s">
        <v>38</v>
      </c>
      <c r="U79" t="str">
        <f>IF(OR(E79&lt;'Q1'!$E$13,E79&gt;'Q1'!$E$14),"Outliers","Not an Outliers")</f>
        <v>Not an Outliers</v>
      </c>
      <c r="V79" t="str">
        <f t="shared" si="1"/>
        <v>Weekday</v>
      </c>
    </row>
    <row r="80" spans="1:22" x14ac:dyDescent="0.3">
      <c r="A80" s="23">
        <v>45315</v>
      </c>
      <c r="B80" s="7" t="s">
        <v>75</v>
      </c>
      <c r="C80" s="7" t="s">
        <v>32</v>
      </c>
      <c r="D80" s="7" t="s">
        <v>57</v>
      </c>
      <c r="E80" s="4">
        <v>1000</v>
      </c>
      <c r="F80" s="4" t="b">
        <v>0</v>
      </c>
      <c r="G80" s="7" t="s">
        <v>64</v>
      </c>
      <c r="H80" s="7" t="s">
        <v>24</v>
      </c>
      <c r="I80" s="7" t="s">
        <v>25</v>
      </c>
      <c r="J80" s="7" t="s">
        <v>48</v>
      </c>
      <c r="K80" s="4">
        <v>2</v>
      </c>
      <c r="L80" s="7" t="s">
        <v>49</v>
      </c>
      <c r="M80" s="7" t="s">
        <v>28</v>
      </c>
      <c r="N80" s="4" t="b">
        <v>1</v>
      </c>
      <c r="O80" s="4">
        <v>78</v>
      </c>
      <c r="P80" s="7" t="s">
        <v>63</v>
      </c>
      <c r="Q80" s="4">
        <v>10</v>
      </c>
      <c r="R80" s="4">
        <v>2</v>
      </c>
      <c r="S80" s="4">
        <v>3456</v>
      </c>
      <c r="T80" s="8" t="s">
        <v>30</v>
      </c>
      <c r="U80" t="str">
        <f>IF(OR(E80&lt;'Q1'!$E$13,E80&gt;'Q1'!$E$14),"Outliers","Not an Outliers")</f>
        <v>Not an Outliers</v>
      </c>
      <c r="V80" t="str">
        <f t="shared" si="1"/>
        <v>Weekday</v>
      </c>
    </row>
    <row r="81" spans="1:22" x14ac:dyDescent="0.3">
      <c r="A81" s="24">
        <v>45315</v>
      </c>
      <c r="B81" s="9" t="s">
        <v>44</v>
      </c>
      <c r="C81" s="9" t="s">
        <v>32</v>
      </c>
      <c r="D81" s="9" t="s">
        <v>57</v>
      </c>
      <c r="E81" s="5">
        <v>1000</v>
      </c>
      <c r="F81" s="5" t="b">
        <v>0</v>
      </c>
      <c r="G81" s="9" t="s">
        <v>65</v>
      </c>
      <c r="H81" s="9" t="s">
        <v>24</v>
      </c>
      <c r="I81" s="9" t="s">
        <v>25</v>
      </c>
      <c r="J81" s="9" t="s">
        <v>54</v>
      </c>
      <c r="K81" s="5">
        <v>5</v>
      </c>
      <c r="L81" s="9" t="s">
        <v>27</v>
      </c>
      <c r="M81" s="9" t="s">
        <v>58</v>
      </c>
      <c r="N81" s="5" t="b">
        <v>1</v>
      </c>
      <c r="O81" s="5">
        <v>75</v>
      </c>
      <c r="P81" s="9" t="s">
        <v>67</v>
      </c>
      <c r="Q81" s="5">
        <v>9</v>
      </c>
      <c r="R81" s="5">
        <v>3</v>
      </c>
      <c r="S81" s="5">
        <v>1993</v>
      </c>
      <c r="T81" s="10" t="s">
        <v>38</v>
      </c>
      <c r="U81" t="str">
        <f>IF(OR(E81&lt;'Q1'!$E$13,E81&gt;'Q1'!$E$14),"Outliers","Not an Outliers")</f>
        <v>Not an Outliers</v>
      </c>
      <c r="V81" t="str">
        <f t="shared" si="1"/>
        <v>Weekday</v>
      </c>
    </row>
    <row r="82" spans="1:22" x14ac:dyDescent="0.3">
      <c r="A82" s="23">
        <v>45315</v>
      </c>
      <c r="B82" s="7" t="s">
        <v>20</v>
      </c>
      <c r="C82" s="7" t="s">
        <v>56</v>
      </c>
      <c r="D82" s="7" t="s">
        <v>46</v>
      </c>
      <c r="E82" s="4">
        <v>3903</v>
      </c>
      <c r="F82" s="4" t="b">
        <v>0</v>
      </c>
      <c r="G82" s="7" t="s">
        <v>34</v>
      </c>
      <c r="H82" s="7" t="s">
        <v>70</v>
      </c>
      <c r="I82" s="7" t="s">
        <v>59</v>
      </c>
      <c r="J82" s="7" t="s">
        <v>26</v>
      </c>
      <c r="K82" s="4">
        <v>4</v>
      </c>
      <c r="L82" s="7" t="s">
        <v>49</v>
      </c>
      <c r="M82" s="7" t="s">
        <v>73</v>
      </c>
      <c r="N82" s="4" t="b">
        <v>0</v>
      </c>
      <c r="O82" s="4">
        <v>109</v>
      </c>
      <c r="P82" s="7" t="s">
        <v>37</v>
      </c>
      <c r="Q82" s="4">
        <v>3</v>
      </c>
      <c r="R82" s="4">
        <v>3</v>
      </c>
      <c r="S82" s="4">
        <v>3570</v>
      </c>
      <c r="T82" s="8" t="s">
        <v>30</v>
      </c>
      <c r="U82" t="str">
        <f>IF(OR(E82&lt;'Q1'!$E$13,E82&gt;'Q1'!$E$14),"Outliers","Not an Outliers")</f>
        <v>Not an Outliers</v>
      </c>
      <c r="V82" t="str">
        <f t="shared" si="1"/>
        <v>Weekday</v>
      </c>
    </row>
    <row r="83" spans="1:22" x14ac:dyDescent="0.3">
      <c r="A83" s="24">
        <v>45315</v>
      </c>
      <c r="B83" s="9" t="s">
        <v>69</v>
      </c>
      <c r="C83" s="9" t="s">
        <v>32</v>
      </c>
      <c r="D83" s="9" t="s">
        <v>57</v>
      </c>
      <c r="E83" s="5">
        <v>1000</v>
      </c>
      <c r="F83" s="5" t="b">
        <v>0</v>
      </c>
      <c r="G83" s="9" t="s">
        <v>23</v>
      </c>
      <c r="H83" s="9" t="s">
        <v>24</v>
      </c>
      <c r="I83" s="9" t="s">
        <v>42</v>
      </c>
      <c r="J83" s="9" t="s">
        <v>54</v>
      </c>
      <c r="K83" s="5">
        <v>2</v>
      </c>
      <c r="L83" s="9" t="s">
        <v>36</v>
      </c>
      <c r="M83" s="9" t="s">
        <v>73</v>
      </c>
      <c r="N83" s="5" t="b">
        <v>0</v>
      </c>
      <c r="O83" s="5">
        <v>92</v>
      </c>
      <c r="P83" s="9" t="s">
        <v>67</v>
      </c>
      <c r="Q83" s="5">
        <v>4</v>
      </c>
      <c r="R83" s="5">
        <v>1</v>
      </c>
      <c r="S83" s="5">
        <v>2169</v>
      </c>
      <c r="T83" s="10" t="s">
        <v>30</v>
      </c>
      <c r="U83" t="str">
        <f>IF(OR(E83&lt;'Q1'!$E$13,E83&gt;'Q1'!$E$14),"Outliers","Not an Outliers")</f>
        <v>Not an Outliers</v>
      </c>
      <c r="V83" t="str">
        <f t="shared" si="1"/>
        <v>Weekday</v>
      </c>
    </row>
    <row r="84" spans="1:22" x14ac:dyDescent="0.3">
      <c r="A84" s="23">
        <v>45315</v>
      </c>
      <c r="B84" s="7" t="s">
        <v>62</v>
      </c>
      <c r="C84" s="7" t="s">
        <v>21</v>
      </c>
      <c r="D84" s="7" t="s">
        <v>57</v>
      </c>
      <c r="E84" s="4">
        <v>1000</v>
      </c>
      <c r="F84" s="4" t="b">
        <v>1</v>
      </c>
      <c r="G84" s="7" t="s">
        <v>65</v>
      </c>
      <c r="H84" s="7" t="s">
        <v>24</v>
      </c>
      <c r="I84" s="7" t="s">
        <v>59</v>
      </c>
      <c r="J84" s="7" t="s">
        <v>54</v>
      </c>
      <c r="K84" s="4">
        <v>5</v>
      </c>
      <c r="L84" s="7" t="s">
        <v>49</v>
      </c>
      <c r="M84" s="7" t="s">
        <v>73</v>
      </c>
      <c r="N84" s="4" t="b">
        <v>1</v>
      </c>
      <c r="O84" s="4">
        <v>63</v>
      </c>
      <c r="P84" s="7" t="s">
        <v>50</v>
      </c>
      <c r="Q84" s="4">
        <v>8</v>
      </c>
      <c r="R84" s="4">
        <v>2</v>
      </c>
      <c r="S84" s="4">
        <v>2835</v>
      </c>
      <c r="T84" s="8" t="s">
        <v>30</v>
      </c>
      <c r="U84" t="str">
        <f>IF(OR(E84&lt;'Q1'!$E$13,E84&gt;'Q1'!$E$14),"Outliers","Not an Outliers")</f>
        <v>Not an Outliers</v>
      </c>
      <c r="V84" t="str">
        <f t="shared" si="1"/>
        <v>Weekday</v>
      </c>
    </row>
    <row r="85" spans="1:22" x14ac:dyDescent="0.3">
      <c r="A85" s="24">
        <v>45315</v>
      </c>
      <c r="B85" s="9" t="s">
        <v>72</v>
      </c>
      <c r="C85" s="9" t="s">
        <v>56</v>
      </c>
      <c r="D85" s="9" t="s">
        <v>53</v>
      </c>
      <c r="E85" s="5">
        <v>7452</v>
      </c>
      <c r="F85" s="5" t="b">
        <v>1</v>
      </c>
      <c r="G85" s="9" t="s">
        <v>65</v>
      </c>
      <c r="H85" s="9" t="s">
        <v>70</v>
      </c>
      <c r="I85" s="9" t="s">
        <v>59</v>
      </c>
      <c r="J85" s="9" t="s">
        <v>26</v>
      </c>
      <c r="K85" s="5">
        <v>1</v>
      </c>
      <c r="L85" s="9" t="s">
        <v>49</v>
      </c>
      <c r="M85" s="9" t="s">
        <v>28</v>
      </c>
      <c r="N85" s="5" t="b">
        <v>1</v>
      </c>
      <c r="O85" s="5">
        <v>119</v>
      </c>
      <c r="P85" s="9" t="s">
        <v>29</v>
      </c>
      <c r="Q85" s="5">
        <v>5</v>
      </c>
      <c r="R85" s="5">
        <v>3</v>
      </c>
      <c r="S85" s="5">
        <v>1284</v>
      </c>
      <c r="T85" s="10" t="s">
        <v>38</v>
      </c>
      <c r="U85" t="str">
        <f>IF(OR(E85&lt;'Q1'!$E$13,E85&gt;'Q1'!$E$14),"Outliers","Not an Outliers")</f>
        <v>Not an Outliers</v>
      </c>
      <c r="V85" t="str">
        <f t="shared" si="1"/>
        <v>Weekday</v>
      </c>
    </row>
    <row r="86" spans="1:22" x14ac:dyDescent="0.3">
      <c r="A86" s="23">
        <v>45316</v>
      </c>
      <c r="B86" s="7" t="s">
        <v>77</v>
      </c>
      <c r="C86" s="7" t="s">
        <v>21</v>
      </c>
      <c r="D86" s="7" t="s">
        <v>33</v>
      </c>
      <c r="E86" s="4">
        <v>4529</v>
      </c>
      <c r="F86" s="4" t="b">
        <v>1</v>
      </c>
      <c r="G86" s="7" t="s">
        <v>23</v>
      </c>
      <c r="H86" s="7" t="s">
        <v>24</v>
      </c>
      <c r="I86" s="7" t="s">
        <v>47</v>
      </c>
      <c r="J86" s="7" t="s">
        <v>48</v>
      </c>
      <c r="K86" s="4">
        <v>1</v>
      </c>
      <c r="L86" s="7" t="s">
        <v>36</v>
      </c>
      <c r="M86" s="7" t="s">
        <v>73</v>
      </c>
      <c r="N86" s="4" t="b">
        <v>0</v>
      </c>
      <c r="O86" s="4">
        <v>8</v>
      </c>
      <c r="P86" s="7" t="s">
        <v>50</v>
      </c>
      <c r="Q86" s="4">
        <v>2</v>
      </c>
      <c r="R86" s="4">
        <v>1</v>
      </c>
      <c r="S86" s="4">
        <v>1223</v>
      </c>
      <c r="T86" s="8" t="s">
        <v>51</v>
      </c>
      <c r="U86" t="str">
        <f>IF(OR(E86&lt;'Q1'!$E$13,E86&gt;'Q1'!$E$14),"Outliers","Not an Outliers")</f>
        <v>Not an Outliers</v>
      </c>
      <c r="V86" t="str">
        <f t="shared" si="1"/>
        <v>Weekday</v>
      </c>
    </row>
    <row r="87" spans="1:22" x14ac:dyDescent="0.3">
      <c r="A87" s="24">
        <v>45316</v>
      </c>
      <c r="B87" s="9" t="s">
        <v>52</v>
      </c>
      <c r="C87" s="9" t="s">
        <v>32</v>
      </c>
      <c r="D87" s="9" t="s">
        <v>53</v>
      </c>
      <c r="E87" s="5">
        <v>3465</v>
      </c>
      <c r="F87" s="5" t="b">
        <v>0</v>
      </c>
      <c r="G87" s="9" t="s">
        <v>34</v>
      </c>
      <c r="H87" s="9" t="s">
        <v>41</v>
      </c>
      <c r="I87" s="9" t="s">
        <v>42</v>
      </c>
      <c r="J87" s="9" t="s">
        <v>54</v>
      </c>
      <c r="K87" s="5">
        <v>0</v>
      </c>
      <c r="L87" s="9" t="s">
        <v>36</v>
      </c>
      <c r="M87" s="9" t="s">
        <v>66</v>
      </c>
      <c r="N87" s="5" t="b">
        <v>0</v>
      </c>
      <c r="O87" s="5">
        <v>42</v>
      </c>
      <c r="P87" s="9" t="s">
        <v>50</v>
      </c>
      <c r="Q87" s="5">
        <v>1</v>
      </c>
      <c r="R87" s="5">
        <v>2</v>
      </c>
      <c r="S87" s="5">
        <v>1884</v>
      </c>
      <c r="T87" s="10" t="s">
        <v>30</v>
      </c>
      <c r="U87" t="str">
        <f>IF(OR(E87&lt;'Q1'!$E$13,E87&gt;'Q1'!$E$14),"Outliers","Not an Outliers")</f>
        <v>Not an Outliers</v>
      </c>
      <c r="V87" t="str">
        <f t="shared" si="1"/>
        <v>Weekday</v>
      </c>
    </row>
    <row r="88" spans="1:22" x14ac:dyDescent="0.3">
      <c r="A88" s="23">
        <v>45317</v>
      </c>
      <c r="B88" s="7" t="s">
        <v>69</v>
      </c>
      <c r="C88" s="7" t="s">
        <v>45</v>
      </c>
      <c r="D88" s="7" t="s">
        <v>33</v>
      </c>
      <c r="E88" s="4">
        <v>2643</v>
      </c>
      <c r="F88" s="4" t="b">
        <v>0</v>
      </c>
      <c r="G88" s="7" t="s">
        <v>34</v>
      </c>
      <c r="H88" s="7" t="s">
        <v>35</v>
      </c>
      <c r="I88" s="7" t="s">
        <v>47</v>
      </c>
      <c r="J88" s="7" t="s">
        <v>43</v>
      </c>
      <c r="K88" s="4">
        <v>4</v>
      </c>
      <c r="L88" s="7" t="s">
        <v>27</v>
      </c>
      <c r="M88" s="7" t="s">
        <v>73</v>
      </c>
      <c r="N88" s="4" t="b">
        <v>1</v>
      </c>
      <c r="O88" s="4">
        <v>46</v>
      </c>
      <c r="P88" s="7" t="s">
        <v>63</v>
      </c>
      <c r="Q88" s="4">
        <v>2</v>
      </c>
      <c r="R88" s="4">
        <v>3</v>
      </c>
      <c r="S88" s="4">
        <v>4158</v>
      </c>
      <c r="T88" s="8" t="s">
        <v>38</v>
      </c>
      <c r="U88" t="str">
        <f>IF(OR(E88&lt;'Q1'!$E$13,E88&gt;'Q1'!$E$14),"Outliers","Not an Outliers")</f>
        <v>Not an Outliers</v>
      </c>
      <c r="V88" t="str">
        <f t="shared" si="1"/>
        <v>Weekday</v>
      </c>
    </row>
    <row r="89" spans="1:22" x14ac:dyDescent="0.3">
      <c r="A89" s="24">
        <v>45317</v>
      </c>
      <c r="B89" s="9" t="s">
        <v>69</v>
      </c>
      <c r="C89" s="9" t="s">
        <v>32</v>
      </c>
      <c r="D89" s="9" t="s">
        <v>22</v>
      </c>
      <c r="E89" s="5">
        <v>7331</v>
      </c>
      <c r="F89" s="5" t="b">
        <v>0</v>
      </c>
      <c r="G89" s="9" t="s">
        <v>65</v>
      </c>
      <c r="H89" s="9" t="s">
        <v>24</v>
      </c>
      <c r="I89" s="9" t="s">
        <v>42</v>
      </c>
      <c r="J89" s="9" t="s">
        <v>43</v>
      </c>
      <c r="K89" s="5">
        <v>1</v>
      </c>
      <c r="L89" s="9" t="s">
        <v>36</v>
      </c>
      <c r="M89" s="9" t="s">
        <v>58</v>
      </c>
      <c r="N89" s="5" t="b">
        <v>1</v>
      </c>
      <c r="O89" s="5">
        <v>10</v>
      </c>
      <c r="P89" s="9" t="s">
        <v>50</v>
      </c>
      <c r="Q89" s="5">
        <v>6</v>
      </c>
      <c r="R89" s="5">
        <v>1</v>
      </c>
      <c r="S89" s="5">
        <v>2304</v>
      </c>
      <c r="T89" s="10" t="s">
        <v>51</v>
      </c>
      <c r="U89" t="str">
        <f>IF(OR(E89&lt;'Q1'!$E$13,E89&gt;'Q1'!$E$14),"Outliers","Not an Outliers")</f>
        <v>Not an Outliers</v>
      </c>
      <c r="V89" t="str">
        <f t="shared" si="1"/>
        <v>Weekday</v>
      </c>
    </row>
    <row r="90" spans="1:22" x14ac:dyDescent="0.3">
      <c r="A90" s="23">
        <v>45317</v>
      </c>
      <c r="B90" s="7" t="s">
        <v>62</v>
      </c>
      <c r="C90" s="7" t="s">
        <v>60</v>
      </c>
      <c r="D90" s="7" t="s">
        <v>61</v>
      </c>
      <c r="E90" s="4">
        <v>1000</v>
      </c>
      <c r="F90" s="4" t="b">
        <v>1</v>
      </c>
      <c r="G90" s="7" t="s">
        <v>34</v>
      </c>
      <c r="H90" s="7" t="s">
        <v>41</v>
      </c>
      <c r="I90" s="7" t="s">
        <v>59</v>
      </c>
      <c r="J90" s="7" t="s">
        <v>48</v>
      </c>
      <c r="K90" s="4">
        <v>2</v>
      </c>
      <c r="L90" s="7" t="s">
        <v>49</v>
      </c>
      <c r="M90" s="7" t="s">
        <v>28</v>
      </c>
      <c r="N90" s="4" t="b">
        <v>0</v>
      </c>
      <c r="O90" s="4">
        <v>81</v>
      </c>
      <c r="P90" s="7" t="s">
        <v>67</v>
      </c>
      <c r="Q90" s="4">
        <v>10</v>
      </c>
      <c r="R90" s="4">
        <v>3</v>
      </c>
      <c r="S90" s="4">
        <v>3443</v>
      </c>
      <c r="T90" s="8" t="s">
        <v>30</v>
      </c>
      <c r="U90" t="str">
        <f>IF(OR(E90&lt;'Q1'!$E$13,E90&gt;'Q1'!$E$14),"Outliers","Not an Outliers")</f>
        <v>Not an Outliers</v>
      </c>
      <c r="V90" t="str">
        <f t="shared" si="1"/>
        <v>Weekday</v>
      </c>
    </row>
    <row r="91" spans="1:22" x14ac:dyDescent="0.3">
      <c r="A91" s="24">
        <v>45317</v>
      </c>
      <c r="B91" s="9" t="s">
        <v>39</v>
      </c>
      <c r="C91" s="9" t="s">
        <v>56</v>
      </c>
      <c r="D91" s="9" t="s">
        <v>57</v>
      </c>
      <c r="E91" s="5">
        <v>1000</v>
      </c>
      <c r="F91" s="5" t="b">
        <v>0</v>
      </c>
      <c r="G91" s="9" t="s">
        <v>34</v>
      </c>
      <c r="H91" s="9" t="s">
        <v>70</v>
      </c>
      <c r="I91" s="9" t="s">
        <v>42</v>
      </c>
      <c r="J91" s="9" t="s">
        <v>48</v>
      </c>
      <c r="K91" s="5">
        <v>2</v>
      </c>
      <c r="L91" s="9" t="s">
        <v>36</v>
      </c>
      <c r="M91" s="9" t="s">
        <v>58</v>
      </c>
      <c r="N91" s="5" t="b">
        <v>0</v>
      </c>
      <c r="O91" s="5">
        <v>57</v>
      </c>
      <c r="P91" s="9" t="s">
        <v>67</v>
      </c>
      <c r="Q91" s="5">
        <v>8</v>
      </c>
      <c r="R91" s="5">
        <v>3</v>
      </c>
      <c r="S91" s="5">
        <v>2368</v>
      </c>
      <c r="T91" s="10" t="s">
        <v>30</v>
      </c>
      <c r="U91" t="str">
        <f>IF(OR(E91&lt;'Q1'!$E$13,E91&gt;'Q1'!$E$14),"Outliers","Not an Outliers")</f>
        <v>Not an Outliers</v>
      </c>
      <c r="V91" t="str">
        <f t="shared" si="1"/>
        <v>Weekday</v>
      </c>
    </row>
    <row r="92" spans="1:22" x14ac:dyDescent="0.3">
      <c r="A92" s="23">
        <v>45317</v>
      </c>
      <c r="B92" s="7" t="s">
        <v>72</v>
      </c>
      <c r="C92" s="7" t="s">
        <v>60</v>
      </c>
      <c r="D92" s="7" t="s">
        <v>22</v>
      </c>
      <c r="E92" s="4">
        <v>8949</v>
      </c>
      <c r="F92" s="4" t="b">
        <v>0</v>
      </c>
      <c r="G92" s="7" t="s">
        <v>65</v>
      </c>
      <c r="H92" s="7" t="s">
        <v>35</v>
      </c>
      <c r="I92" s="7" t="s">
        <v>47</v>
      </c>
      <c r="J92" s="7" t="s">
        <v>43</v>
      </c>
      <c r="K92" s="4">
        <v>3</v>
      </c>
      <c r="L92" s="7" t="s">
        <v>49</v>
      </c>
      <c r="M92" s="7" t="s">
        <v>66</v>
      </c>
      <c r="N92" s="4" t="b">
        <v>1</v>
      </c>
      <c r="O92" s="4">
        <v>50</v>
      </c>
      <c r="P92" s="7" t="s">
        <v>37</v>
      </c>
      <c r="Q92" s="4">
        <v>8</v>
      </c>
      <c r="R92" s="4">
        <v>1</v>
      </c>
      <c r="S92" s="4">
        <v>3483</v>
      </c>
      <c r="T92" s="8" t="s">
        <v>30</v>
      </c>
      <c r="U92" t="str">
        <f>IF(OR(E92&lt;'Q1'!$E$13,E92&gt;'Q1'!$E$14),"Outliers","Not an Outliers")</f>
        <v>Not an Outliers</v>
      </c>
      <c r="V92" t="str">
        <f t="shared" si="1"/>
        <v>Weekday</v>
      </c>
    </row>
    <row r="93" spans="1:22" x14ac:dyDescent="0.3">
      <c r="A93" s="24">
        <v>45318</v>
      </c>
      <c r="B93" s="9" t="s">
        <v>77</v>
      </c>
      <c r="C93" s="9" t="s">
        <v>56</v>
      </c>
      <c r="D93" s="9" t="s">
        <v>57</v>
      </c>
      <c r="E93" s="5">
        <v>1000</v>
      </c>
      <c r="F93" s="5" t="b">
        <v>0</v>
      </c>
      <c r="G93" s="9" t="s">
        <v>64</v>
      </c>
      <c r="H93" s="9" t="s">
        <v>24</v>
      </c>
      <c r="I93" s="9" t="s">
        <v>25</v>
      </c>
      <c r="J93" s="9" t="s">
        <v>54</v>
      </c>
      <c r="K93" s="5">
        <v>15</v>
      </c>
      <c r="L93" s="9" t="s">
        <v>49</v>
      </c>
      <c r="M93" s="9" t="s">
        <v>58</v>
      </c>
      <c r="N93" s="5" t="b">
        <v>1</v>
      </c>
      <c r="O93" s="5">
        <v>37</v>
      </c>
      <c r="P93" s="9" t="s">
        <v>37</v>
      </c>
      <c r="Q93" s="5">
        <v>1</v>
      </c>
      <c r="R93" s="5">
        <v>3</v>
      </c>
      <c r="S93" s="5">
        <v>2227</v>
      </c>
      <c r="T93" s="10" t="s">
        <v>38</v>
      </c>
      <c r="U93" t="str">
        <f>IF(OR(E93&lt;'Q1'!$E$13,E93&gt;'Q1'!$E$14),"Outliers","Not an Outliers")</f>
        <v>Not an Outliers</v>
      </c>
      <c r="V93" t="str">
        <f t="shared" si="1"/>
        <v>Weekend</v>
      </c>
    </row>
    <row r="94" spans="1:22" x14ac:dyDescent="0.3">
      <c r="A94" s="23">
        <v>45318</v>
      </c>
      <c r="B94" s="7" t="s">
        <v>20</v>
      </c>
      <c r="C94" s="7" t="s">
        <v>21</v>
      </c>
      <c r="D94" s="7" t="s">
        <v>46</v>
      </c>
      <c r="E94" s="4">
        <v>3838</v>
      </c>
      <c r="F94" s="4" t="b">
        <v>1</v>
      </c>
      <c r="G94" s="7" t="s">
        <v>40</v>
      </c>
      <c r="H94" s="7" t="s">
        <v>41</v>
      </c>
      <c r="I94" s="7" t="s">
        <v>47</v>
      </c>
      <c r="J94" s="7" t="s">
        <v>48</v>
      </c>
      <c r="K94" s="4">
        <v>2</v>
      </c>
      <c r="L94" s="7" t="s">
        <v>36</v>
      </c>
      <c r="M94" s="7" t="s">
        <v>73</v>
      </c>
      <c r="N94" s="4" t="b">
        <v>0</v>
      </c>
      <c r="O94" s="4">
        <v>6</v>
      </c>
      <c r="P94" s="7" t="s">
        <v>50</v>
      </c>
      <c r="Q94" s="4">
        <v>10</v>
      </c>
      <c r="R94" s="4">
        <v>3</v>
      </c>
      <c r="S94" s="4">
        <v>2978</v>
      </c>
      <c r="T94" s="8" t="s">
        <v>30</v>
      </c>
      <c r="U94" t="str">
        <f>IF(OR(E94&lt;'Q1'!$E$13,E94&gt;'Q1'!$E$14),"Outliers","Not an Outliers")</f>
        <v>Not an Outliers</v>
      </c>
      <c r="V94" t="str">
        <f t="shared" si="1"/>
        <v>Weekend</v>
      </c>
    </row>
    <row r="95" spans="1:22" x14ac:dyDescent="0.3">
      <c r="A95" s="24">
        <v>45318</v>
      </c>
      <c r="B95" s="9" t="s">
        <v>62</v>
      </c>
      <c r="C95" s="9" t="s">
        <v>56</v>
      </c>
      <c r="D95" s="9" t="s">
        <v>53</v>
      </c>
      <c r="E95" s="5">
        <v>2974</v>
      </c>
      <c r="F95" s="5" t="b">
        <v>0</v>
      </c>
      <c r="G95" s="9" t="s">
        <v>64</v>
      </c>
      <c r="H95" s="9" t="s">
        <v>24</v>
      </c>
      <c r="I95" s="9" t="s">
        <v>59</v>
      </c>
      <c r="J95" s="9" t="s">
        <v>48</v>
      </c>
      <c r="K95" s="5">
        <v>5</v>
      </c>
      <c r="L95" s="9" t="s">
        <v>49</v>
      </c>
      <c r="M95" s="9" t="s">
        <v>66</v>
      </c>
      <c r="N95" s="5" t="b">
        <v>1</v>
      </c>
      <c r="O95" s="5">
        <v>6</v>
      </c>
      <c r="P95" s="9" t="s">
        <v>37</v>
      </c>
      <c r="Q95" s="5">
        <v>7</v>
      </c>
      <c r="R95" s="5">
        <v>3</v>
      </c>
      <c r="S95" s="5">
        <v>3551</v>
      </c>
      <c r="T95" s="10" t="s">
        <v>30</v>
      </c>
      <c r="U95" t="str">
        <f>IF(OR(E95&lt;'Q1'!$E$13,E95&gt;'Q1'!$E$14),"Outliers","Not an Outliers")</f>
        <v>Not an Outliers</v>
      </c>
      <c r="V95" t="str">
        <f t="shared" si="1"/>
        <v>Weekend</v>
      </c>
    </row>
    <row r="96" spans="1:22" x14ac:dyDescent="0.3">
      <c r="A96" s="23">
        <v>45319</v>
      </c>
      <c r="B96" s="7" t="s">
        <v>77</v>
      </c>
      <c r="C96" s="7" t="s">
        <v>32</v>
      </c>
      <c r="D96" s="7" t="s">
        <v>53</v>
      </c>
      <c r="E96" s="4">
        <v>5541</v>
      </c>
      <c r="F96" s="4" t="b">
        <v>0</v>
      </c>
      <c r="G96" s="7" t="s">
        <v>23</v>
      </c>
      <c r="H96" s="7" t="s">
        <v>24</v>
      </c>
      <c r="I96" s="7" t="s">
        <v>25</v>
      </c>
      <c r="J96" s="7" t="s">
        <v>48</v>
      </c>
      <c r="K96" s="4">
        <v>4</v>
      </c>
      <c r="L96" s="7" t="s">
        <v>27</v>
      </c>
      <c r="M96" s="7" t="s">
        <v>58</v>
      </c>
      <c r="N96" s="4" t="b">
        <v>1</v>
      </c>
      <c r="O96" s="4">
        <v>118</v>
      </c>
      <c r="P96" s="7" t="s">
        <v>29</v>
      </c>
      <c r="Q96" s="4">
        <v>3</v>
      </c>
      <c r="R96" s="4">
        <v>1</v>
      </c>
      <c r="S96" s="4">
        <v>894</v>
      </c>
      <c r="T96" s="8" t="s">
        <v>30</v>
      </c>
      <c r="U96" t="str">
        <f>IF(OR(E96&lt;'Q1'!$E$13,E96&gt;'Q1'!$E$14),"Outliers","Not an Outliers")</f>
        <v>Not an Outliers</v>
      </c>
      <c r="V96" t="str">
        <f t="shared" si="1"/>
        <v>Weekend</v>
      </c>
    </row>
    <row r="97" spans="1:22" x14ac:dyDescent="0.3">
      <c r="A97" s="24">
        <v>45323</v>
      </c>
      <c r="B97" s="9" t="s">
        <v>71</v>
      </c>
      <c r="C97" s="9" t="s">
        <v>32</v>
      </c>
      <c r="D97" s="9" t="s">
        <v>22</v>
      </c>
      <c r="E97" s="5">
        <v>9515</v>
      </c>
      <c r="F97" s="5" t="b">
        <v>1</v>
      </c>
      <c r="G97" s="9" t="s">
        <v>23</v>
      </c>
      <c r="H97" s="9" t="s">
        <v>70</v>
      </c>
      <c r="I97" s="9" t="s">
        <v>42</v>
      </c>
      <c r="J97" s="9" t="s">
        <v>26</v>
      </c>
      <c r="K97" s="5">
        <v>5</v>
      </c>
      <c r="L97" s="9" t="s">
        <v>27</v>
      </c>
      <c r="M97" s="9" t="s">
        <v>66</v>
      </c>
      <c r="N97" s="5" t="b">
        <v>0</v>
      </c>
      <c r="O97" s="5">
        <v>55</v>
      </c>
      <c r="P97" s="9" t="s">
        <v>50</v>
      </c>
      <c r="Q97" s="5">
        <v>4</v>
      </c>
      <c r="R97" s="5">
        <v>2</v>
      </c>
      <c r="S97" s="5">
        <v>3040</v>
      </c>
      <c r="T97" s="10" t="s">
        <v>38</v>
      </c>
      <c r="U97" t="str">
        <f>IF(OR(E97&lt;'Q1'!$E$13,E97&gt;'Q1'!$E$14),"Outliers","Not an Outliers")</f>
        <v>Not an Outliers</v>
      </c>
      <c r="V97" t="str">
        <f t="shared" si="1"/>
        <v>Weekday</v>
      </c>
    </row>
    <row r="98" spans="1:22" x14ac:dyDescent="0.3">
      <c r="A98" s="23">
        <v>45323</v>
      </c>
      <c r="B98" s="7" t="s">
        <v>52</v>
      </c>
      <c r="C98" s="7" t="s">
        <v>56</v>
      </c>
      <c r="D98" s="7" t="s">
        <v>22</v>
      </c>
      <c r="E98" s="4">
        <v>7372</v>
      </c>
      <c r="F98" s="4" t="b">
        <v>0</v>
      </c>
      <c r="G98" s="7" t="s">
        <v>23</v>
      </c>
      <c r="H98" s="7" t="s">
        <v>35</v>
      </c>
      <c r="I98" s="7" t="s">
        <v>25</v>
      </c>
      <c r="J98" s="7" t="s">
        <v>48</v>
      </c>
      <c r="K98" s="4">
        <v>4</v>
      </c>
      <c r="L98" s="7" t="s">
        <v>27</v>
      </c>
      <c r="M98" s="7" t="s">
        <v>66</v>
      </c>
      <c r="N98" s="4" t="b">
        <v>0</v>
      </c>
      <c r="O98" s="4">
        <v>73</v>
      </c>
      <c r="P98" s="7" t="s">
        <v>67</v>
      </c>
      <c r="Q98" s="4">
        <v>5</v>
      </c>
      <c r="R98" s="4">
        <v>1</v>
      </c>
      <c r="S98" s="4">
        <v>4767</v>
      </c>
      <c r="T98" s="8" t="s">
        <v>38</v>
      </c>
      <c r="U98" t="str">
        <f>IF(OR(E98&lt;'Q1'!$E$13,E98&gt;'Q1'!$E$14),"Outliers","Not an Outliers")</f>
        <v>Not an Outliers</v>
      </c>
      <c r="V98" t="str">
        <f t="shared" si="1"/>
        <v>Weekday</v>
      </c>
    </row>
    <row r="99" spans="1:22" x14ac:dyDescent="0.3">
      <c r="A99" s="24">
        <v>45323</v>
      </c>
      <c r="B99" s="9" t="s">
        <v>55</v>
      </c>
      <c r="C99" s="9" t="s">
        <v>45</v>
      </c>
      <c r="D99" s="9" t="s">
        <v>53</v>
      </c>
      <c r="E99" s="5">
        <v>3723</v>
      </c>
      <c r="F99" s="5" t="b">
        <v>1</v>
      </c>
      <c r="G99" s="9" t="s">
        <v>34</v>
      </c>
      <c r="H99" s="9" t="s">
        <v>35</v>
      </c>
      <c r="I99" s="9" t="s">
        <v>47</v>
      </c>
      <c r="J99" s="9" t="s">
        <v>43</v>
      </c>
      <c r="K99" s="5">
        <v>4</v>
      </c>
      <c r="L99" s="9" t="s">
        <v>36</v>
      </c>
      <c r="M99" s="9" t="s">
        <v>73</v>
      </c>
      <c r="N99" s="5" t="b">
        <v>1</v>
      </c>
      <c r="O99" s="5">
        <v>49</v>
      </c>
      <c r="P99" s="9" t="s">
        <v>67</v>
      </c>
      <c r="Q99" s="5">
        <v>1</v>
      </c>
      <c r="R99" s="5">
        <v>1</v>
      </c>
      <c r="S99" s="5">
        <v>1366</v>
      </c>
      <c r="T99" s="10" t="s">
        <v>51</v>
      </c>
      <c r="U99" t="str">
        <f>IF(OR(E99&lt;'Q1'!$E$13,E99&gt;'Q1'!$E$14),"Outliers","Not an Outliers")</f>
        <v>Not an Outliers</v>
      </c>
      <c r="V99" t="str">
        <f t="shared" si="1"/>
        <v>Weekday</v>
      </c>
    </row>
    <row r="100" spans="1:22" x14ac:dyDescent="0.3">
      <c r="A100" s="23">
        <v>45324</v>
      </c>
      <c r="B100" s="7" t="s">
        <v>31</v>
      </c>
      <c r="C100" s="7" t="s">
        <v>60</v>
      </c>
      <c r="D100" s="7" t="s">
        <v>61</v>
      </c>
      <c r="E100" s="4">
        <v>1000</v>
      </c>
      <c r="F100" s="4" t="b">
        <v>1</v>
      </c>
      <c r="G100" s="7" t="s">
        <v>23</v>
      </c>
      <c r="H100" s="7" t="s">
        <v>35</v>
      </c>
      <c r="I100" s="7" t="s">
        <v>25</v>
      </c>
      <c r="J100" s="7" t="s">
        <v>54</v>
      </c>
      <c r="K100" s="4">
        <v>1</v>
      </c>
      <c r="L100" s="7" t="s">
        <v>49</v>
      </c>
      <c r="M100" s="7" t="s">
        <v>73</v>
      </c>
      <c r="N100" s="4" t="b">
        <v>1</v>
      </c>
      <c r="O100" s="4">
        <v>97</v>
      </c>
      <c r="P100" s="7" t="s">
        <v>29</v>
      </c>
      <c r="Q100" s="4">
        <v>5</v>
      </c>
      <c r="R100" s="4">
        <v>1</v>
      </c>
      <c r="S100" s="4">
        <v>1589</v>
      </c>
      <c r="T100" s="8" t="s">
        <v>38</v>
      </c>
      <c r="U100" t="str">
        <f>IF(OR(E100&lt;'Q1'!$E$13,E100&gt;'Q1'!$E$14),"Outliers","Not an Outliers")</f>
        <v>Not an Outliers</v>
      </c>
      <c r="V100" t="str">
        <f t="shared" si="1"/>
        <v>Weekday</v>
      </c>
    </row>
    <row r="101" spans="1:22" x14ac:dyDescent="0.3">
      <c r="A101" s="24">
        <v>45325</v>
      </c>
      <c r="B101" s="9" t="s">
        <v>74</v>
      </c>
      <c r="C101" s="9" t="s">
        <v>21</v>
      </c>
      <c r="D101" s="9" t="s">
        <v>46</v>
      </c>
      <c r="E101" s="5">
        <v>4346</v>
      </c>
      <c r="F101" s="5" t="b">
        <v>0</v>
      </c>
      <c r="G101" s="9" t="s">
        <v>40</v>
      </c>
      <c r="H101" s="9" t="s">
        <v>41</v>
      </c>
      <c r="I101" s="9" t="s">
        <v>47</v>
      </c>
      <c r="J101" s="9" t="s">
        <v>43</v>
      </c>
      <c r="K101" s="5">
        <v>1</v>
      </c>
      <c r="L101" s="9" t="s">
        <v>36</v>
      </c>
      <c r="M101" s="9" t="s">
        <v>66</v>
      </c>
      <c r="N101" s="5" t="b">
        <v>1</v>
      </c>
      <c r="O101" s="5">
        <v>92</v>
      </c>
      <c r="P101" s="9" t="s">
        <v>37</v>
      </c>
      <c r="Q101" s="5">
        <v>5</v>
      </c>
      <c r="R101" s="5">
        <v>2</v>
      </c>
      <c r="S101" s="5">
        <v>3073</v>
      </c>
      <c r="T101" s="10" t="s">
        <v>30</v>
      </c>
      <c r="U101" t="str">
        <f>IF(OR(E101&lt;'Q1'!$E$13,E101&gt;'Q1'!$E$14),"Outliers","Not an Outliers")</f>
        <v>Not an Outliers</v>
      </c>
      <c r="V101" t="str">
        <f t="shared" si="1"/>
        <v>Weekend</v>
      </c>
    </row>
    <row r="102" spans="1:22" x14ac:dyDescent="0.3">
      <c r="A102" s="23">
        <v>45326</v>
      </c>
      <c r="B102" s="7" t="s">
        <v>62</v>
      </c>
      <c r="C102" s="7" t="s">
        <v>21</v>
      </c>
      <c r="D102" s="7" t="s">
        <v>57</v>
      </c>
      <c r="E102" s="4">
        <v>1000</v>
      </c>
      <c r="F102" s="4" t="b">
        <v>0</v>
      </c>
      <c r="G102" s="7" t="s">
        <v>64</v>
      </c>
      <c r="H102" s="7" t="s">
        <v>41</v>
      </c>
      <c r="I102" s="7" t="s">
        <v>47</v>
      </c>
      <c r="J102" s="7" t="s">
        <v>43</v>
      </c>
      <c r="K102" s="4">
        <v>4</v>
      </c>
      <c r="L102" s="7" t="s">
        <v>27</v>
      </c>
      <c r="M102" s="7" t="s">
        <v>58</v>
      </c>
      <c r="N102" s="4" t="b">
        <v>0</v>
      </c>
      <c r="O102" s="4">
        <v>8</v>
      </c>
      <c r="P102" s="7" t="s">
        <v>50</v>
      </c>
      <c r="Q102" s="4">
        <v>8</v>
      </c>
      <c r="R102" s="4">
        <v>1</v>
      </c>
      <c r="S102" s="4">
        <v>1096</v>
      </c>
      <c r="T102" s="8" t="s">
        <v>30</v>
      </c>
      <c r="U102" t="str">
        <f>IF(OR(E102&lt;'Q1'!$E$13,E102&gt;'Q1'!$E$14),"Outliers","Not an Outliers")</f>
        <v>Not an Outliers</v>
      </c>
      <c r="V102" t="str">
        <f t="shared" si="1"/>
        <v>Weekend</v>
      </c>
    </row>
    <row r="103" spans="1:22" x14ac:dyDescent="0.3">
      <c r="A103" s="24">
        <v>45326</v>
      </c>
      <c r="B103" s="9" t="s">
        <v>71</v>
      </c>
      <c r="C103" s="9" t="s">
        <v>56</v>
      </c>
      <c r="D103" s="9" t="s">
        <v>53</v>
      </c>
      <c r="E103" s="5">
        <v>4991</v>
      </c>
      <c r="F103" s="5" t="b">
        <v>1</v>
      </c>
      <c r="G103" s="9" t="s">
        <v>40</v>
      </c>
      <c r="H103" s="9" t="s">
        <v>70</v>
      </c>
      <c r="I103" s="9" t="s">
        <v>25</v>
      </c>
      <c r="J103" s="9" t="s">
        <v>26</v>
      </c>
      <c r="K103" s="5">
        <v>3</v>
      </c>
      <c r="L103" s="9" t="s">
        <v>27</v>
      </c>
      <c r="M103" s="9" t="s">
        <v>58</v>
      </c>
      <c r="N103" s="5" t="b">
        <v>0</v>
      </c>
      <c r="O103" s="5">
        <v>24</v>
      </c>
      <c r="P103" s="9" t="s">
        <v>67</v>
      </c>
      <c r="Q103" s="5">
        <v>2</v>
      </c>
      <c r="R103" s="5">
        <v>1</v>
      </c>
      <c r="S103" s="5">
        <v>901</v>
      </c>
      <c r="T103" s="10" t="s">
        <v>30</v>
      </c>
      <c r="U103" t="str">
        <f>IF(OR(E103&lt;'Q1'!$E$13,E103&gt;'Q1'!$E$14),"Outliers","Not an Outliers")</f>
        <v>Not an Outliers</v>
      </c>
      <c r="V103" t="str">
        <f t="shared" si="1"/>
        <v>Weekend</v>
      </c>
    </row>
    <row r="104" spans="1:22" x14ac:dyDescent="0.3">
      <c r="A104" s="23">
        <v>45326</v>
      </c>
      <c r="B104" s="7" t="s">
        <v>68</v>
      </c>
      <c r="C104" s="7" t="s">
        <v>21</v>
      </c>
      <c r="D104" s="7" t="s">
        <v>22</v>
      </c>
      <c r="E104" s="4">
        <v>5668</v>
      </c>
      <c r="F104" s="4" t="b">
        <v>0</v>
      </c>
      <c r="G104" s="7" t="s">
        <v>64</v>
      </c>
      <c r="H104" s="7" t="s">
        <v>41</v>
      </c>
      <c r="I104" s="7" t="s">
        <v>42</v>
      </c>
      <c r="J104" s="7" t="s">
        <v>26</v>
      </c>
      <c r="K104" s="4">
        <v>0</v>
      </c>
      <c r="L104" s="7" t="s">
        <v>49</v>
      </c>
      <c r="M104" s="7" t="s">
        <v>58</v>
      </c>
      <c r="N104" s="4" t="b">
        <v>0</v>
      </c>
      <c r="O104" s="4">
        <v>27</v>
      </c>
      <c r="P104" s="7" t="s">
        <v>37</v>
      </c>
      <c r="Q104" s="4">
        <v>2</v>
      </c>
      <c r="R104" s="4">
        <v>3</v>
      </c>
      <c r="S104" s="4">
        <v>1479</v>
      </c>
      <c r="T104" s="8" t="s">
        <v>38</v>
      </c>
      <c r="U104" t="str">
        <f>IF(OR(E104&lt;'Q1'!$E$13,E104&gt;'Q1'!$E$14),"Outliers","Not an Outliers")</f>
        <v>Not an Outliers</v>
      </c>
      <c r="V104" t="str">
        <f t="shared" si="1"/>
        <v>Weekend</v>
      </c>
    </row>
    <row r="105" spans="1:22" x14ac:dyDescent="0.3">
      <c r="A105" s="24">
        <v>45326</v>
      </c>
      <c r="B105" s="9" t="s">
        <v>44</v>
      </c>
      <c r="C105" s="9" t="s">
        <v>32</v>
      </c>
      <c r="D105" s="9" t="s">
        <v>22</v>
      </c>
      <c r="E105" s="5">
        <v>34890</v>
      </c>
      <c r="F105" s="5" t="b">
        <v>0</v>
      </c>
      <c r="G105" s="9" t="s">
        <v>65</v>
      </c>
      <c r="H105" s="9" t="s">
        <v>41</v>
      </c>
      <c r="I105" s="9" t="s">
        <v>59</v>
      </c>
      <c r="J105" s="9" t="s">
        <v>26</v>
      </c>
      <c r="K105" s="5">
        <v>3</v>
      </c>
      <c r="L105" s="9" t="s">
        <v>49</v>
      </c>
      <c r="M105" s="9" t="s">
        <v>66</v>
      </c>
      <c r="N105" s="5" t="b">
        <v>1</v>
      </c>
      <c r="O105" s="5">
        <v>44</v>
      </c>
      <c r="P105" s="9" t="s">
        <v>37</v>
      </c>
      <c r="Q105" s="5">
        <v>6</v>
      </c>
      <c r="R105" s="5">
        <v>1</v>
      </c>
      <c r="S105" s="5">
        <v>3239</v>
      </c>
      <c r="T105" s="10" t="s">
        <v>51</v>
      </c>
      <c r="U105" t="str">
        <f>IF(OR(E105&lt;'Q1'!$E$13,E105&gt;'Q1'!$E$14),"Outliers","Not an Outliers")</f>
        <v>Outliers</v>
      </c>
      <c r="V105" t="str">
        <f t="shared" si="1"/>
        <v>Weekend</v>
      </c>
    </row>
    <row r="106" spans="1:22" x14ac:dyDescent="0.3">
      <c r="A106" s="23">
        <v>45327</v>
      </c>
      <c r="B106" s="7" t="s">
        <v>74</v>
      </c>
      <c r="C106" s="7" t="s">
        <v>32</v>
      </c>
      <c r="D106" s="7" t="s">
        <v>57</v>
      </c>
      <c r="E106" s="4">
        <v>1000</v>
      </c>
      <c r="F106" s="4" t="b">
        <v>1</v>
      </c>
      <c r="G106" s="7" t="s">
        <v>34</v>
      </c>
      <c r="H106" s="7" t="s">
        <v>41</v>
      </c>
      <c r="I106" s="7" t="s">
        <v>59</v>
      </c>
      <c r="J106" s="7" t="s">
        <v>43</v>
      </c>
      <c r="K106" s="4">
        <v>0</v>
      </c>
      <c r="L106" s="7" t="s">
        <v>36</v>
      </c>
      <c r="M106" s="7" t="s">
        <v>66</v>
      </c>
      <c r="N106" s="4" t="b">
        <v>1</v>
      </c>
      <c r="O106" s="4">
        <v>53</v>
      </c>
      <c r="P106" s="7" t="s">
        <v>29</v>
      </c>
      <c r="Q106" s="4">
        <v>1</v>
      </c>
      <c r="R106" s="4">
        <v>2</v>
      </c>
      <c r="S106" s="4">
        <v>3207</v>
      </c>
      <c r="T106" s="8" t="s">
        <v>51</v>
      </c>
      <c r="U106" t="str">
        <f>IF(OR(E106&lt;'Q1'!$E$13,E106&gt;'Q1'!$E$14),"Outliers","Not an Outliers")</f>
        <v>Not an Outliers</v>
      </c>
      <c r="V106" t="str">
        <f t="shared" si="1"/>
        <v>Weekday</v>
      </c>
    </row>
    <row r="107" spans="1:22" x14ac:dyDescent="0.3">
      <c r="A107" s="24">
        <v>45328</v>
      </c>
      <c r="B107" s="9" t="s">
        <v>20</v>
      </c>
      <c r="C107" s="9" t="s">
        <v>56</v>
      </c>
      <c r="D107" s="9" t="s">
        <v>53</v>
      </c>
      <c r="E107" s="5">
        <v>3632</v>
      </c>
      <c r="F107" s="5" t="b">
        <v>1</v>
      </c>
      <c r="G107" s="9" t="s">
        <v>34</v>
      </c>
      <c r="H107" s="9" t="s">
        <v>24</v>
      </c>
      <c r="I107" s="9" t="s">
        <v>59</v>
      </c>
      <c r="J107" s="9" t="s">
        <v>43</v>
      </c>
      <c r="K107" s="5">
        <v>0</v>
      </c>
      <c r="L107" s="9" t="s">
        <v>36</v>
      </c>
      <c r="M107" s="9" t="s">
        <v>28</v>
      </c>
      <c r="N107" s="5" t="b">
        <v>0</v>
      </c>
      <c r="O107" s="5">
        <v>119</v>
      </c>
      <c r="P107" s="9" t="s">
        <v>29</v>
      </c>
      <c r="Q107" s="5">
        <v>9</v>
      </c>
      <c r="R107" s="5">
        <v>3</v>
      </c>
      <c r="S107" s="5">
        <v>1105</v>
      </c>
      <c r="T107" s="10" t="s">
        <v>30</v>
      </c>
      <c r="U107" t="str">
        <f>IF(OR(E107&lt;'Q1'!$E$13,E107&gt;'Q1'!$E$14),"Outliers","Not an Outliers")</f>
        <v>Not an Outliers</v>
      </c>
      <c r="V107" t="str">
        <f t="shared" si="1"/>
        <v>Weekday</v>
      </c>
    </row>
    <row r="108" spans="1:22" x14ac:dyDescent="0.3">
      <c r="A108" s="23">
        <v>45328</v>
      </c>
      <c r="B108" s="7" t="s">
        <v>72</v>
      </c>
      <c r="C108" s="7" t="s">
        <v>32</v>
      </c>
      <c r="D108" s="7" t="s">
        <v>53</v>
      </c>
      <c r="E108" s="4">
        <v>5601</v>
      </c>
      <c r="F108" s="4" t="b">
        <v>1</v>
      </c>
      <c r="G108" s="7" t="s">
        <v>65</v>
      </c>
      <c r="H108" s="7" t="s">
        <v>70</v>
      </c>
      <c r="I108" s="7" t="s">
        <v>25</v>
      </c>
      <c r="J108" s="7" t="s">
        <v>43</v>
      </c>
      <c r="K108" s="4">
        <v>2</v>
      </c>
      <c r="L108" s="7" t="s">
        <v>27</v>
      </c>
      <c r="M108" s="7" t="s">
        <v>58</v>
      </c>
      <c r="N108" s="4" t="b">
        <v>0</v>
      </c>
      <c r="O108" s="4">
        <v>53</v>
      </c>
      <c r="P108" s="7" t="s">
        <v>37</v>
      </c>
      <c r="Q108" s="4">
        <v>1</v>
      </c>
      <c r="R108" s="4">
        <v>1</v>
      </c>
      <c r="S108" s="4">
        <v>1189</v>
      </c>
      <c r="T108" s="8" t="s">
        <v>38</v>
      </c>
      <c r="U108" t="str">
        <f>IF(OR(E108&lt;'Q1'!$E$13,E108&gt;'Q1'!$E$14),"Outliers","Not an Outliers")</f>
        <v>Not an Outliers</v>
      </c>
      <c r="V108" t="str">
        <f t="shared" si="1"/>
        <v>Weekday</v>
      </c>
    </row>
    <row r="109" spans="1:22" x14ac:dyDescent="0.3">
      <c r="A109" s="24">
        <v>45328</v>
      </c>
      <c r="B109" s="9" t="s">
        <v>72</v>
      </c>
      <c r="C109" s="9" t="s">
        <v>21</v>
      </c>
      <c r="D109" s="9" t="s">
        <v>46</v>
      </c>
      <c r="E109" s="5">
        <v>4625</v>
      </c>
      <c r="F109" s="5" t="b">
        <v>0</v>
      </c>
      <c r="G109" s="9" t="s">
        <v>64</v>
      </c>
      <c r="H109" s="9" t="s">
        <v>70</v>
      </c>
      <c r="I109" s="9" t="s">
        <v>42</v>
      </c>
      <c r="J109" s="9" t="s">
        <v>48</v>
      </c>
      <c r="K109" s="5">
        <v>0</v>
      </c>
      <c r="L109" s="9" t="s">
        <v>36</v>
      </c>
      <c r="M109" s="9" t="s">
        <v>66</v>
      </c>
      <c r="N109" s="5" t="b">
        <v>0</v>
      </c>
      <c r="O109" s="5">
        <v>2</v>
      </c>
      <c r="P109" s="9" t="s">
        <v>63</v>
      </c>
      <c r="Q109" s="5">
        <v>7</v>
      </c>
      <c r="R109" s="5">
        <v>2</v>
      </c>
      <c r="S109" s="5">
        <v>4353</v>
      </c>
      <c r="T109" s="10" t="s">
        <v>51</v>
      </c>
      <c r="U109" t="str">
        <f>IF(OR(E109&lt;'Q1'!$E$13,E109&gt;'Q1'!$E$14),"Outliers","Not an Outliers")</f>
        <v>Not an Outliers</v>
      </c>
      <c r="V109" t="str">
        <f t="shared" si="1"/>
        <v>Weekday</v>
      </c>
    </row>
    <row r="110" spans="1:22" x14ac:dyDescent="0.3">
      <c r="A110" s="23">
        <v>45329</v>
      </c>
      <c r="B110" s="7" t="s">
        <v>72</v>
      </c>
      <c r="C110" s="7" t="s">
        <v>45</v>
      </c>
      <c r="D110" s="7" t="s">
        <v>57</v>
      </c>
      <c r="E110" s="4">
        <v>1000</v>
      </c>
      <c r="F110" s="4" t="b">
        <v>1</v>
      </c>
      <c r="G110" s="7" t="s">
        <v>34</v>
      </c>
      <c r="H110" s="7" t="s">
        <v>24</v>
      </c>
      <c r="I110" s="7" t="s">
        <v>42</v>
      </c>
      <c r="J110" s="7" t="s">
        <v>48</v>
      </c>
      <c r="K110" s="4">
        <v>1</v>
      </c>
      <c r="L110" s="7" t="s">
        <v>27</v>
      </c>
      <c r="M110" s="7" t="s">
        <v>66</v>
      </c>
      <c r="N110" s="4" t="b">
        <v>1</v>
      </c>
      <c r="O110" s="4">
        <v>41</v>
      </c>
      <c r="P110" s="7" t="s">
        <v>67</v>
      </c>
      <c r="Q110" s="4">
        <v>5</v>
      </c>
      <c r="R110" s="4">
        <v>3</v>
      </c>
      <c r="S110" s="4">
        <v>2227</v>
      </c>
      <c r="T110" s="8" t="s">
        <v>51</v>
      </c>
      <c r="U110" t="str">
        <f>IF(OR(E110&lt;'Q1'!$E$13,E110&gt;'Q1'!$E$14),"Outliers","Not an Outliers")</f>
        <v>Not an Outliers</v>
      </c>
      <c r="V110" t="str">
        <f t="shared" si="1"/>
        <v>Weekday</v>
      </c>
    </row>
    <row r="111" spans="1:22" x14ac:dyDescent="0.3">
      <c r="A111" s="24">
        <v>45329</v>
      </c>
      <c r="B111" s="9" t="s">
        <v>75</v>
      </c>
      <c r="C111" s="9" t="s">
        <v>45</v>
      </c>
      <c r="D111" s="9" t="s">
        <v>57</v>
      </c>
      <c r="E111" s="5">
        <v>1000</v>
      </c>
      <c r="F111" s="5" t="b">
        <v>1</v>
      </c>
      <c r="G111" s="9" t="s">
        <v>64</v>
      </c>
      <c r="H111" s="9" t="s">
        <v>24</v>
      </c>
      <c r="I111" s="9" t="s">
        <v>59</v>
      </c>
      <c r="J111" s="9" t="s">
        <v>43</v>
      </c>
      <c r="K111" s="5">
        <v>5</v>
      </c>
      <c r="L111" s="9" t="s">
        <v>36</v>
      </c>
      <c r="M111" s="9" t="s">
        <v>73</v>
      </c>
      <c r="N111" s="5" t="b">
        <v>0</v>
      </c>
      <c r="O111" s="5">
        <v>114</v>
      </c>
      <c r="P111" s="9" t="s">
        <v>67</v>
      </c>
      <c r="Q111" s="5">
        <v>10</v>
      </c>
      <c r="R111" s="5">
        <v>1</v>
      </c>
      <c r="S111" s="5">
        <v>2578</v>
      </c>
      <c r="T111" s="10" t="s">
        <v>30</v>
      </c>
      <c r="U111" t="str">
        <f>IF(OR(E111&lt;'Q1'!$E$13,E111&gt;'Q1'!$E$14),"Outliers","Not an Outliers")</f>
        <v>Not an Outliers</v>
      </c>
      <c r="V111" t="str">
        <f t="shared" si="1"/>
        <v>Weekday</v>
      </c>
    </row>
    <row r="112" spans="1:22" x14ac:dyDescent="0.3">
      <c r="A112" s="23">
        <v>45330</v>
      </c>
      <c r="B112" s="7" t="s">
        <v>76</v>
      </c>
      <c r="C112" s="7" t="s">
        <v>45</v>
      </c>
      <c r="D112" s="7" t="s">
        <v>53</v>
      </c>
      <c r="E112" s="4">
        <v>5590</v>
      </c>
      <c r="F112" s="4" t="b">
        <v>0</v>
      </c>
      <c r="G112" s="7" t="s">
        <v>40</v>
      </c>
      <c r="H112" s="7" t="s">
        <v>41</v>
      </c>
      <c r="I112" s="7" t="s">
        <v>25</v>
      </c>
      <c r="J112" s="7" t="s">
        <v>54</v>
      </c>
      <c r="K112" s="4">
        <v>5</v>
      </c>
      <c r="L112" s="7" t="s">
        <v>27</v>
      </c>
      <c r="M112" s="7" t="s">
        <v>73</v>
      </c>
      <c r="N112" s="4" t="b">
        <v>0</v>
      </c>
      <c r="O112" s="4">
        <v>38</v>
      </c>
      <c r="P112" s="7" t="s">
        <v>63</v>
      </c>
      <c r="Q112" s="4">
        <v>4</v>
      </c>
      <c r="R112" s="4">
        <v>2</v>
      </c>
      <c r="S112" s="4">
        <v>3962</v>
      </c>
      <c r="T112" s="8" t="s">
        <v>51</v>
      </c>
      <c r="U112" t="str">
        <f>IF(OR(E112&lt;'Q1'!$E$13,E112&gt;'Q1'!$E$14),"Outliers","Not an Outliers")</f>
        <v>Not an Outliers</v>
      </c>
      <c r="V112" t="str">
        <f t="shared" si="1"/>
        <v>Weekday</v>
      </c>
    </row>
    <row r="113" spans="1:22" x14ac:dyDescent="0.3">
      <c r="A113" s="24">
        <v>45331</v>
      </c>
      <c r="B113" s="9" t="s">
        <v>76</v>
      </c>
      <c r="C113" s="9" t="s">
        <v>56</v>
      </c>
      <c r="D113" s="9" t="s">
        <v>33</v>
      </c>
      <c r="E113" s="5">
        <v>1717</v>
      </c>
      <c r="F113" s="5" t="b">
        <v>0</v>
      </c>
      <c r="G113" s="9" t="s">
        <v>23</v>
      </c>
      <c r="H113" s="9" t="s">
        <v>41</v>
      </c>
      <c r="I113" s="9" t="s">
        <v>59</v>
      </c>
      <c r="J113" s="9" t="s">
        <v>26</v>
      </c>
      <c r="K113" s="5">
        <v>4</v>
      </c>
      <c r="L113" s="9" t="s">
        <v>36</v>
      </c>
      <c r="M113" s="9" t="s">
        <v>58</v>
      </c>
      <c r="N113" s="5" t="b">
        <v>1</v>
      </c>
      <c r="O113" s="5">
        <v>62</v>
      </c>
      <c r="P113" s="9" t="s">
        <v>29</v>
      </c>
      <c r="Q113" s="5">
        <v>6</v>
      </c>
      <c r="R113" s="5">
        <v>2</v>
      </c>
      <c r="S113" s="5">
        <v>2162</v>
      </c>
      <c r="T113" s="10" t="s">
        <v>38</v>
      </c>
      <c r="U113" t="str">
        <f>IF(OR(E113&lt;'Q1'!$E$13,E113&gt;'Q1'!$E$14),"Outliers","Not an Outliers")</f>
        <v>Not an Outliers</v>
      </c>
      <c r="V113" t="str">
        <f t="shared" si="1"/>
        <v>Weekday</v>
      </c>
    </row>
    <row r="114" spans="1:22" x14ac:dyDescent="0.3">
      <c r="A114" s="23">
        <v>45331</v>
      </c>
      <c r="B114" s="7" t="s">
        <v>52</v>
      </c>
      <c r="C114" s="7" t="s">
        <v>45</v>
      </c>
      <c r="D114" s="7" t="s">
        <v>53</v>
      </c>
      <c r="E114" s="4">
        <v>3606</v>
      </c>
      <c r="F114" s="4" t="b">
        <v>0</v>
      </c>
      <c r="G114" s="7" t="s">
        <v>34</v>
      </c>
      <c r="H114" s="7" t="s">
        <v>35</v>
      </c>
      <c r="I114" s="7" t="s">
        <v>47</v>
      </c>
      <c r="J114" s="7" t="s">
        <v>43</v>
      </c>
      <c r="K114" s="4">
        <v>2</v>
      </c>
      <c r="L114" s="7" t="s">
        <v>36</v>
      </c>
      <c r="M114" s="7" t="s">
        <v>73</v>
      </c>
      <c r="N114" s="4" t="b">
        <v>1</v>
      </c>
      <c r="O114" s="4">
        <v>68</v>
      </c>
      <c r="P114" s="7" t="s">
        <v>63</v>
      </c>
      <c r="Q114" s="4">
        <v>10</v>
      </c>
      <c r="R114" s="4">
        <v>2</v>
      </c>
      <c r="S114" s="4">
        <v>2427</v>
      </c>
      <c r="T114" s="8" t="s">
        <v>38</v>
      </c>
      <c r="U114" t="str">
        <f>IF(OR(E114&lt;'Q1'!$E$13,E114&gt;'Q1'!$E$14),"Outliers","Not an Outliers")</f>
        <v>Not an Outliers</v>
      </c>
      <c r="V114" t="str">
        <f t="shared" si="1"/>
        <v>Weekday</v>
      </c>
    </row>
    <row r="115" spans="1:22" x14ac:dyDescent="0.3">
      <c r="A115" s="24">
        <v>45331</v>
      </c>
      <c r="B115" s="9" t="s">
        <v>52</v>
      </c>
      <c r="C115" s="9" t="s">
        <v>45</v>
      </c>
      <c r="D115" s="9" t="s">
        <v>22</v>
      </c>
      <c r="E115" s="5">
        <v>5852</v>
      </c>
      <c r="F115" s="5" t="b">
        <v>0</v>
      </c>
      <c r="G115" s="9" t="s">
        <v>64</v>
      </c>
      <c r="H115" s="9" t="s">
        <v>70</v>
      </c>
      <c r="I115" s="9" t="s">
        <v>59</v>
      </c>
      <c r="J115" s="9" t="s">
        <v>54</v>
      </c>
      <c r="K115" s="5">
        <v>3</v>
      </c>
      <c r="L115" s="9" t="s">
        <v>36</v>
      </c>
      <c r="M115" s="9" t="s">
        <v>66</v>
      </c>
      <c r="N115" s="5" t="b">
        <v>0</v>
      </c>
      <c r="O115" s="5">
        <v>21</v>
      </c>
      <c r="P115" s="9" t="s">
        <v>37</v>
      </c>
      <c r="Q115" s="5">
        <v>3</v>
      </c>
      <c r="R115" s="5">
        <v>2</v>
      </c>
      <c r="S115" s="5">
        <v>4939</v>
      </c>
      <c r="T115" s="10" t="s">
        <v>30</v>
      </c>
      <c r="U115" t="str">
        <f>IF(OR(E115&lt;'Q1'!$E$13,E115&gt;'Q1'!$E$14),"Outliers","Not an Outliers")</f>
        <v>Not an Outliers</v>
      </c>
      <c r="V115" t="str">
        <f t="shared" si="1"/>
        <v>Weekday</v>
      </c>
    </row>
    <row r="116" spans="1:22" x14ac:dyDescent="0.3">
      <c r="A116" s="23">
        <v>45331</v>
      </c>
      <c r="B116" s="7" t="s">
        <v>72</v>
      </c>
      <c r="C116" s="7" t="s">
        <v>56</v>
      </c>
      <c r="D116" s="7" t="s">
        <v>46</v>
      </c>
      <c r="E116" s="4">
        <v>2582</v>
      </c>
      <c r="F116" s="4" t="b">
        <v>0</v>
      </c>
      <c r="G116" s="7" t="s">
        <v>34</v>
      </c>
      <c r="H116" s="7" t="s">
        <v>70</v>
      </c>
      <c r="I116" s="7" t="s">
        <v>47</v>
      </c>
      <c r="J116" s="7" t="s">
        <v>26</v>
      </c>
      <c r="K116" s="4">
        <v>3</v>
      </c>
      <c r="L116" s="7" t="s">
        <v>49</v>
      </c>
      <c r="M116" s="7" t="s">
        <v>66</v>
      </c>
      <c r="N116" s="4" t="b">
        <v>1</v>
      </c>
      <c r="O116" s="4">
        <v>78</v>
      </c>
      <c r="P116" s="7" t="s">
        <v>29</v>
      </c>
      <c r="Q116" s="4">
        <v>5</v>
      </c>
      <c r="R116" s="4">
        <v>1</v>
      </c>
      <c r="S116" s="4">
        <v>3074</v>
      </c>
      <c r="T116" s="8" t="s">
        <v>30</v>
      </c>
      <c r="U116" t="str">
        <f>IF(OR(E116&lt;'Q1'!$E$13,E116&gt;'Q1'!$E$14),"Outliers","Not an Outliers")</f>
        <v>Not an Outliers</v>
      </c>
      <c r="V116" t="str">
        <f t="shared" si="1"/>
        <v>Weekday</v>
      </c>
    </row>
    <row r="117" spans="1:22" x14ac:dyDescent="0.3">
      <c r="A117" s="24">
        <v>45331</v>
      </c>
      <c r="B117" s="9" t="s">
        <v>71</v>
      </c>
      <c r="C117" s="9" t="s">
        <v>32</v>
      </c>
      <c r="D117" s="9" t="s">
        <v>46</v>
      </c>
      <c r="E117" s="5">
        <v>4540</v>
      </c>
      <c r="F117" s="5" t="b">
        <v>1</v>
      </c>
      <c r="G117" s="9" t="s">
        <v>64</v>
      </c>
      <c r="H117" s="9" t="s">
        <v>70</v>
      </c>
      <c r="I117" s="9" t="s">
        <v>47</v>
      </c>
      <c r="J117" s="9" t="s">
        <v>26</v>
      </c>
      <c r="K117" s="5">
        <v>5</v>
      </c>
      <c r="L117" s="9" t="s">
        <v>49</v>
      </c>
      <c r="M117" s="9" t="s">
        <v>73</v>
      </c>
      <c r="N117" s="5" t="b">
        <v>0</v>
      </c>
      <c r="O117" s="5">
        <v>53</v>
      </c>
      <c r="P117" s="9" t="s">
        <v>50</v>
      </c>
      <c r="Q117" s="5">
        <v>1</v>
      </c>
      <c r="R117" s="5">
        <v>3</v>
      </c>
      <c r="S117" s="5">
        <v>1896</v>
      </c>
      <c r="T117" s="10" t="s">
        <v>38</v>
      </c>
      <c r="U117" t="str">
        <f>IF(OR(E117&lt;'Q1'!$E$13,E117&gt;'Q1'!$E$14),"Outliers","Not an Outliers")</f>
        <v>Not an Outliers</v>
      </c>
      <c r="V117" t="str">
        <f t="shared" si="1"/>
        <v>Weekday</v>
      </c>
    </row>
    <row r="118" spans="1:22" x14ac:dyDescent="0.3">
      <c r="A118" s="23">
        <v>45331</v>
      </c>
      <c r="B118" s="7" t="s">
        <v>71</v>
      </c>
      <c r="C118" s="7" t="s">
        <v>45</v>
      </c>
      <c r="D118" s="7" t="s">
        <v>46</v>
      </c>
      <c r="E118" s="4">
        <v>3640</v>
      </c>
      <c r="F118" s="4" t="b">
        <v>1</v>
      </c>
      <c r="G118" s="7" t="s">
        <v>40</v>
      </c>
      <c r="H118" s="7" t="s">
        <v>70</v>
      </c>
      <c r="I118" s="7" t="s">
        <v>47</v>
      </c>
      <c r="J118" s="7" t="s">
        <v>26</v>
      </c>
      <c r="K118" s="4">
        <v>0</v>
      </c>
      <c r="L118" s="7" t="s">
        <v>36</v>
      </c>
      <c r="M118" s="7" t="s">
        <v>58</v>
      </c>
      <c r="N118" s="4" t="b">
        <v>0</v>
      </c>
      <c r="O118" s="4">
        <v>70</v>
      </c>
      <c r="P118" s="7" t="s">
        <v>37</v>
      </c>
      <c r="Q118" s="4">
        <v>8</v>
      </c>
      <c r="R118" s="4">
        <v>1</v>
      </c>
      <c r="S118" s="4">
        <v>3006</v>
      </c>
      <c r="T118" s="8" t="s">
        <v>51</v>
      </c>
      <c r="U118" t="str">
        <f>IF(OR(E118&lt;'Q1'!$E$13,E118&gt;'Q1'!$E$14),"Outliers","Not an Outliers")</f>
        <v>Not an Outliers</v>
      </c>
      <c r="V118" t="str">
        <f t="shared" si="1"/>
        <v>Weekday</v>
      </c>
    </row>
    <row r="119" spans="1:22" x14ac:dyDescent="0.3">
      <c r="A119" s="24">
        <v>45331</v>
      </c>
      <c r="B119" s="9" t="s">
        <v>72</v>
      </c>
      <c r="C119" s="9" t="s">
        <v>21</v>
      </c>
      <c r="D119" s="9" t="s">
        <v>53</v>
      </c>
      <c r="E119" s="5">
        <v>3811</v>
      </c>
      <c r="F119" s="5" t="b">
        <v>0</v>
      </c>
      <c r="G119" s="9" t="s">
        <v>64</v>
      </c>
      <c r="H119" s="9" t="s">
        <v>35</v>
      </c>
      <c r="I119" s="9" t="s">
        <v>42</v>
      </c>
      <c r="J119" s="9" t="s">
        <v>26</v>
      </c>
      <c r="K119" s="5">
        <v>5</v>
      </c>
      <c r="L119" s="9" t="s">
        <v>36</v>
      </c>
      <c r="M119" s="9" t="s">
        <v>73</v>
      </c>
      <c r="N119" s="5" t="b">
        <v>0</v>
      </c>
      <c r="O119" s="5">
        <v>79</v>
      </c>
      <c r="P119" s="9" t="s">
        <v>67</v>
      </c>
      <c r="Q119" s="5">
        <v>6</v>
      </c>
      <c r="R119" s="5">
        <v>3</v>
      </c>
      <c r="S119" s="5">
        <v>3376</v>
      </c>
      <c r="T119" s="10" t="s">
        <v>38</v>
      </c>
      <c r="U119" t="str">
        <f>IF(OR(E119&lt;'Q1'!$E$13,E119&gt;'Q1'!$E$14),"Outliers","Not an Outliers")</f>
        <v>Not an Outliers</v>
      </c>
      <c r="V119" t="str">
        <f t="shared" si="1"/>
        <v>Weekday</v>
      </c>
    </row>
    <row r="120" spans="1:22" x14ac:dyDescent="0.3">
      <c r="A120" s="23">
        <v>45331</v>
      </c>
      <c r="B120" s="7" t="s">
        <v>72</v>
      </c>
      <c r="C120" s="7" t="s">
        <v>56</v>
      </c>
      <c r="D120" s="7" t="s">
        <v>33</v>
      </c>
      <c r="E120" s="4">
        <v>3230</v>
      </c>
      <c r="F120" s="4" t="b">
        <v>1</v>
      </c>
      <c r="G120" s="7" t="s">
        <v>34</v>
      </c>
      <c r="H120" s="7" t="s">
        <v>41</v>
      </c>
      <c r="I120" s="7" t="s">
        <v>42</v>
      </c>
      <c r="J120" s="7" t="s">
        <v>26</v>
      </c>
      <c r="K120" s="4">
        <v>2</v>
      </c>
      <c r="L120" s="7" t="s">
        <v>49</v>
      </c>
      <c r="M120" s="7" t="s">
        <v>58</v>
      </c>
      <c r="N120" s="4" t="b">
        <v>0</v>
      </c>
      <c r="O120" s="4">
        <v>48</v>
      </c>
      <c r="P120" s="7" t="s">
        <v>29</v>
      </c>
      <c r="Q120" s="4">
        <v>8</v>
      </c>
      <c r="R120" s="4">
        <v>1</v>
      </c>
      <c r="S120" s="4">
        <v>2982</v>
      </c>
      <c r="T120" s="8" t="s">
        <v>30</v>
      </c>
      <c r="U120" t="str">
        <f>IF(OR(E120&lt;'Q1'!$E$13,E120&gt;'Q1'!$E$14),"Outliers","Not an Outliers")</f>
        <v>Not an Outliers</v>
      </c>
      <c r="V120" t="str">
        <f t="shared" si="1"/>
        <v>Weekday</v>
      </c>
    </row>
    <row r="121" spans="1:22" x14ac:dyDescent="0.3">
      <c r="A121" s="24">
        <v>45332</v>
      </c>
      <c r="B121" s="9" t="s">
        <v>75</v>
      </c>
      <c r="C121" s="9" t="s">
        <v>21</v>
      </c>
      <c r="D121" s="9" t="s">
        <v>46</v>
      </c>
      <c r="E121" s="5">
        <v>3823</v>
      </c>
      <c r="F121" s="5" t="b">
        <v>1</v>
      </c>
      <c r="G121" s="9" t="s">
        <v>34</v>
      </c>
      <c r="H121" s="9" t="s">
        <v>35</v>
      </c>
      <c r="I121" s="9" t="s">
        <v>47</v>
      </c>
      <c r="J121" s="9" t="s">
        <v>26</v>
      </c>
      <c r="K121" s="5">
        <v>5</v>
      </c>
      <c r="L121" s="9" t="s">
        <v>27</v>
      </c>
      <c r="M121" s="9" t="s">
        <v>58</v>
      </c>
      <c r="N121" s="5" t="b">
        <v>0</v>
      </c>
      <c r="O121" s="5">
        <v>26</v>
      </c>
      <c r="P121" s="9" t="s">
        <v>50</v>
      </c>
      <c r="Q121" s="5">
        <v>4</v>
      </c>
      <c r="R121" s="5">
        <v>2</v>
      </c>
      <c r="S121" s="5">
        <v>3625</v>
      </c>
      <c r="T121" s="10" t="s">
        <v>38</v>
      </c>
      <c r="U121" t="str">
        <f>IF(OR(E121&lt;'Q1'!$E$13,E121&gt;'Q1'!$E$14),"Outliers","Not an Outliers")</f>
        <v>Not an Outliers</v>
      </c>
      <c r="V121" t="str">
        <f t="shared" si="1"/>
        <v>Weekend</v>
      </c>
    </row>
    <row r="122" spans="1:22" x14ac:dyDescent="0.3">
      <c r="A122" s="23">
        <v>45332</v>
      </c>
      <c r="B122" s="7" t="s">
        <v>69</v>
      </c>
      <c r="C122" s="7" t="s">
        <v>45</v>
      </c>
      <c r="D122" s="7" t="s">
        <v>57</v>
      </c>
      <c r="E122" s="4">
        <v>1000</v>
      </c>
      <c r="F122" s="4" t="b">
        <v>1</v>
      </c>
      <c r="G122" s="7" t="s">
        <v>23</v>
      </c>
      <c r="H122" s="7" t="s">
        <v>35</v>
      </c>
      <c r="I122" s="7" t="s">
        <v>42</v>
      </c>
      <c r="J122" s="7" t="s">
        <v>48</v>
      </c>
      <c r="K122" s="4">
        <v>0</v>
      </c>
      <c r="L122" s="7" t="s">
        <v>36</v>
      </c>
      <c r="M122" s="7" t="s">
        <v>66</v>
      </c>
      <c r="N122" s="4" t="b">
        <v>0</v>
      </c>
      <c r="O122" s="4">
        <v>91</v>
      </c>
      <c r="P122" s="7" t="s">
        <v>29</v>
      </c>
      <c r="Q122" s="4">
        <v>8</v>
      </c>
      <c r="R122" s="4">
        <v>2</v>
      </c>
      <c r="S122" s="4">
        <v>3637</v>
      </c>
      <c r="T122" s="8" t="s">
        <v>30</v>
      </c>
      <c r="U122" t="str">
        <f>IF(OR(E122&lt;'Q1'!$E$13,E122&gt;'Q1'!$E$14),"Outliers","Not an Outliers")</f>
        <v>Not an Outliers</v>
      </c>
      <c r="V122" t="str">
        <f t="shared" si="1"/>
        <v>Weekend</v>
      </c>
    </row>
    <row r="123" spans="1:22" x14ac:dyDescent="0.3">
      <c r="A123" s="24">
        <v>45332</v>
      </c>
      <c r="B123" s="9" t="s">
        <v>74</v>
      </c>
      <c r="C123" s="9" t="s">
        <v>45</v>
      </c>
      <c r="D123" s="9" t="s">
        <v>22</v>
      </c>
      <c r="E123" s="5">
        <v>9736</v>
      </c>
      <c r="F123" s="5" t="b">
        <v>1</v>
      </c>
      <c r="G123" s="9" t="s">
        <v>40</v>
      </c>
      <c r="H123" s="9" t="s">
        <v>41</v>
      </c>
      <c r="I123" s="9" t="s">
        <v>25</v>
      </c>
      <c r="J123" s="9" t="s">
        <v>26</v>
      </c>
      <c r="K123" s="5">
        <v>1</v>
      </c>
      <c r="L123" s="9" t="s">
        <v>36</v>
      </c>
      <c r="M123" s="9" t="s">
        <v>66</v>
      </c>
      <c r="N123" s="5" t="b">
        <v>0</v>
      </c>
      <c r="O123" s="5">
        <v>41</v>
      </c>
      <c r="P123" s="9" t="s">
        <v>67</v>
      </c>
      <c r="Q123" s="5">
        <v>7</v>
      </c>
      <c r="R123" s="5">
        <v>3</v>
      </c>
      <c r="S123" s="5">
        <v>2966</v>
      </c>
      <c r="T123" s="10" t="s">
        <v>30</v>
      </c>
      <c r="U123" t="str">
        <f>IF(OR(E123&lt;'Q1'!$E$13,E123&gt;'Q1'!$E$14),"Outliers","Not an Outliers")</f>
        <v>Not an Outliers</v>
      </c>
      <c r="V123" t="str">
        <f t="shared" si="1"/>
        <v>Weekend</v>
      </c>
    </row>
    <row r="124" spans="1:22" x14ac:dyDescent="0.3">
      <c r="A124" s="23">
        <v>45332</v>
      </c>
      <c r="B124" s="7" t="s">
        <v>71</v>
      </c>
      <c r="C124" s="7" t="s">
        <v>45</v>
      </c>
      <c r="D124" s="7" t="s">
        <v>33</v>
      </c>
      <c r="E124" s="4">
        <v>4029</v>
      </c>
      <c r="F124" s="4" t="b">
        <v>0</v>
      </c>
      <c r="G124" s="7" t="s">
        <v>40</v>
      </c>
      <c r="H124" s="7" t="s">
        <v>70</v>
      </c>
      <c r="I124" s="7" t="s">
        <v>25</v>
      </c>
      <c r="J124" s="7" t="s">
        <v>43</v>
      </c>
      <c r="K124" s="4">
        <v>2</v>
      </c>
      <c r="L124" s="7" t="s">
        <v>49</v>
      </c>
      <c r="M124" s="7" t="s">
        <v>73</v>
      </c>
      <c r="N124" s="4" t="b">
        <v>0</v>
      </c>
      <c r="O124" s="4">
        <v>65</v>
      </c>
      <c r="P124" s="7" t="s">
        <v>29</v>
      </c>
      <c r="Q124" s="4">
        <v>1</v>
      </c>
      <c r="R124" s="4">
        <v>1</v>
      </c>
      <c r="S124" s="4">
        <v>2160</v>
      </c>
      <c r="T124" s="8" t="s">
        <v>30</v>
      </c>
      <c r="U124" t="str">
        <f>IF(OR(E124&lt;'Q1'!$E$13,E124&gt;'Q1'!$E$14),"Outliers","Not an Outliers")</f>
        <v>Not an Outliers</v>
      </c>
      <c r="V124" t="str">
        <f t="shared" si="1"/>
        <v>Weekend</v>
      </c>
    </row>
    <row r="125" spans="1:22" x14ac:dyDescent="0.3">
      <c r="A125" s="24">
        <v>45332</v>
      </c>
      <c r="B125" s="9" t="s">
        <v>55</v>
      </c>
      <c r="C125" s="9" t="s">
        <v>32</v>
      </c>
      <c r="D125" s="9" t="s">
        <v>33</v>
      </c>
      <c r="E125" s="5">
        <v>4124</v>
      </c>
      <c r="F125" s="5" t="b">
        <v>0</v>
      </c>
      <c r="G125" s="9" t="s">
        <v>64</v>
      </c>
      <c r="H125" s="9" t="s">
        <v>41</v>
      </c>
      <c r="I125" s="9" t="s">
        <v>59</v>
      </c>
      <c r="J125" s="9" t="s">
        <v>43</v>
      </c>
      <c r="K125" s="5">
        <v>4</v>
      </c>
      <c r="L125" s="9" t="s">
        <v>36</v>
      </c>
      <c r="M125" s="9" t="s">
        <v>66</v>
      </c>
      <c r="N125" s="5" t="b">
        <v>0</v>
      </c>
      <c r="O125" s="5">
        <v>79</v>
      </c>
      <c r="P125" s="9" t="s">
        <v>63</v>
      </c>
      <c r="Q125" s="5">
        <v>2</v>
      </c>
      <c r="R125" s="5">
        <v>3</v>
      </c>
      <c r="S125" s="5">
        <v>4184</v>
      </c>
      <c r="T125" s="10" t="s">
        <v>30</v>
      </c>
      <c r="U125" t="str">
        <f>IF(OR(E125&lt;'Q1'!$E$13,E125&gt;'Q1'!$E$14),"Outliers","Not an Outliers")</f>
        <v>Not an Outliers</v>
      </c>
      <c r="V125" t="str">
        <f t="shared" si="1"/>
        <v>Weekend</v>
      </c>
    </row>
    <row r="126" spans="1:22" x14ac:dyDescent="0.3">
      <c r="A126" s="23">
        <v>45332</v>
      </c>
      <c r="B126" s="7" t="s">
        <v>20</v>
      </c>
      <c r="C126" s="7" t="s">
        <v>60</v>
      </c>
      <c r="D126" s="7" t="s">
        <v>22</v>
      </c>
      <c r="E126" s="4">
        <v>9925</v>
      </c>
      <c r="F126" s="4" t="b">
        <v>0</v>
      </c>
      <c r="G126" s="7" t="s">
        <v>64</v>
      </c>
      <c r="H126" s="7" t="s">
        <v>41</v>
      </c>
      <c r="I126" s="7" t="s">
        <v>25</v>
      </c>
      <c r="J126" s="7" t="s">
        <v>43</v>
      </c>
      <c r="K126" s="4">
        <v>1</v>
      </c>
      <c r="L126" s="7" t="s">
        <v>36</v>
      </c>
      <c r="M126" s="7" t="s">
        <v>66</v>
      </c>
      <c r="N126" s="4" t="b">
        <v>1</v>
      </c>
      <c r="O126" s="4">
        <v>98</v>
      </c>
      <c r="P126" s="7" t="s">
        <v>50</v>
      </c>
      <c r="Q126" s="4">
        <v>2</v>
      </c>
      <c r="R126" s="4">
        <v>3</v>
      </c>
      <c r="S126" s="4">
        <v>2263</v>
      </c>
      <c r="T126" s="8" t="s">
        <v>30</v>
      </c>
      <c r="U126" t="str">
        <f>IF(OR(E126&lt;'Q1'!$E$13,E126&gt;'Q1'!$E$14),"Outliers","Not an Outliers")</f>
        <v>Not an Outliers</v>
      </c>
      <c r="V126" t="str">
        <f t="shared" si="1"/>
        <v>Weekend</v>
      </c>
    </row>
    <row r="127" spans="1:22" x14ac:dyDescent="0.3">
      <c r="A127" s="24">
        <v>45332</v>
      </c>
      <c r="B127" s="9" t="s">
        <v>62</v>
      </c>
      <c r="C127" s="9" t="s">
        <v>56</v>
      </c>
      <c r="D127" s="9" t="s">
        <v>53</v>
      </c>
      <c r="E127" s="5">
        <v>6057</v>
      </c>
      <c r="F127" s="5" t="b">
        <v>0</v>
      </c>
      <c r="G127" s="9" t="s">
        <v>34</v>
      </c>
      <c r="H127" s="9" t="s">
        <v>41</v>
      </c>
      <c r="I127" s="9" t="s">
        <v>47</v>
      </c>
      <c r="J127" s="9" t="s">
        <v>54</v>
      </c>
      <c r="K127" s="5">
        <v>12</v>
      </c>
      <c r="L127" s="9" t="s">
        <v>36</v>
      </c>
      <c r="M127" s="9" t="s">
        <v>66</v>
      </c>
      <c r="N127" s="5" t="b">
        <v>0</v>
      </c>
      <c r="O127" s="5">
        <v>1</v>
      </c>
      <c r="P127" s="9" t="s">
        <v>63</v>
      </c>
      <c r="Q127" s="5">
        <v>7</v>
      </c>
      <c r="R127" s="5">
        <v>2</v>
      </c>
      <c r="S127" s="5">
        <v>1203</v>
      </c>
      <c r="T127" s="10" t="s">
        <v>51</v>
      </c>
      <c r="U127" t="str">
        <f>IF(OR(E127&lt;'Q1'!$E$13,E127&gt;'Q1'!$E$14),"Outliers","Not an Outliers")</f>
        <v>Not an Outliers</v>
      </c>
      <c r="V127" t="str">
        <f t="shared" si="1"/>
        <v>Weekend</v>
      </c>
    </row>
    <row r="128" spans="1:22" x14ac:dyDescent="0.3">
      <c r="A128" s="23">
        <v>45332</v>
      </c>
      <c r="B128" s="7" t="s">
        <v>72</v>
      </c>
      <c r="C128" s="7" t="s">
        <v>21</v>
      </c>
      <c r="D128" s="7" t="s">
        <v>46</v>
      </c>
      <c r="E128" s="4">
        <v>3892</v>
      </c>
      <c r="F128" s="4" t="b">
        <v>0</v>
      </c>
      <c r="G128" s="7" t="s">
        <v>23</v>
      </c>
      <c r="H128" s="7" t="s">
        <v>41</v>
      </c>
      <c r="I128" s="7" t="s">
        <v>59</v>
      </c>
      <c r="J128" s="7" t="s">
        <v>54</v>
      </c>
      <c r="K128" s="4">
        <v>4</v>
      </c>
      <c r="L128" s="7" t="s">
        <v>36</v>
      </c>
      <c r="M128" s="7" t="s">
        <v>73</v>
      </c>
      <c r="N128" s="4" t="b">
        <v>1</v>
      </c>
      <c r="O128" s="4">
        <v>80</v>
      </c>
      <c r="P128" s="7" t="s">
        <v>50</v>
      </c>
      <c r="Q128" s="4">
        <v>9</v>
      </c>
      <c r="R128" s="4">
        <v>3</v>
      </c>
      <c r="S128" s="4">
        <v>1527</v>
      </c>
      <c r="T128" s="8" t="s">
        <v>38</v>
      </c>
      <c r="U128" t="str">
        <f>IF(OR(E128&lt;'Q1'!$E$13,E128&gt;'Q1'!$E$14),"Outliers","Not an Outliers")</f>
        <v>Not an Outliers</v>
      </c>
      <c r="V128" t="str">
        <f t="shared" si="1"/>
        <v>Weekend</v>
      </c>
    </row>
    <row r="129" spans="1:22" x14ac:dyDescent="0.3">
      <c r="A129" s="24">
        <v>45333</v>
      </c>
      <c r="B129" s="9" t="s">
        <v>52</v>
      </c>
      <c r="C129" s="9" t="s">
        <v>56</v>
      </c>
      <c r="D129" s="9" t="s">
        <v>57</v>
      </c>
      <c r="E129" s="5">
        <v>1000</v>
      </c>
      <c r="F129" s="5" t="b">
        <v>1</v>
      </c>
      <c r="G129" s="9" t="s">
        <v>65</v>
      </c>
      <c r="H129" s="9" t="s">
        <v>41</v>
      </c>
      <c r="I129" s="9" t="s">
        <v>25</v>
      </c>
      <c r="J129" s="9" t="s">
        <v>43</v>
      </c>
      <c r="K129" s="5">
        <v>8</v>
      </c>
      <c r="L129" s="9" t="s">
        <v>27</v>
      </c>
      <c r="M129" s="9" t="s">
        <v>66</v>
      </c>
      <c r="N129" s="5" t="b">
        <v>0</v>
      </c>
      <c r="O129" s="5">
        <v>107</v>
      </c>
      <c r="P129" s="9" t="s">
        <v>29</v>
      </c>
      <c r="Q129" s="5">
        <v>5</v>
      </c>
      <c r="R129" s="5">
        <v>2</v>
      </c>
      <c r="S129" s="5">
        <v>3976</v>
      </c>
      <c r="T129" s="10" t="s">
        <v>30</v>
      </c>
      <c r="U129" t="str">
        <f>IF(OR(E129&lt;'Q1'!$E$13,E129&gt;'Q1'!$E$14),"Outliers","Not an Outliers")</f>
        <v>Not an Outliers</v>
      </c>
      <c r="V129" t="str">
        <f t="shared" si="1"/>
        <v>Weekend</v>
      </c>
    </row>
    <row r="130" spans="1:22" x14ac:dyDescent="0.3">
      <c r="A130" s="23">
        <v>45333</v>
      </c>
      <c r="B130" s="7" t="s">
        <v>71</v>
      </c>
      <c r="C130" s="7" t="s">
        <v>45</v>
      </c>
      <c r="D130" s="7" t="s">
        <v>33</v>
      </c>
      <c r="E130" s="4">
        <v>3168</v>
      </c>
      <c r="F130" s="4" t="b">
        <v>0</v>
      </c>
      <c r="G130" s="7" t="s">
        <v>23</v>
      </c>
      <c r="H130" s="7" t="s">
        <v>70</v>
      </c>
      <c r="I130" s="7" t="s">
        <v>47</v>
      </c>
      <c r="J130" s="7" t="s">
        <v>43</v>
      </c>
      <c r="K130" s="4">
        <v>1</v>
      </c>
      <c r="L130" s="7" t="s">
        <v>49</v>
      </c>
      <c r="M130" s="7" t="s">
        <v>73</v>
      </c>
      <c r="N130" s="4" t="b">
        <v>1</v>
      </c>
      <c r="O130" s="4">
        <v>82</v>
      </c>
      <c r="P130" s="7" t="s">
        <v>50</v>
      </c>
      <c r="Q130" s="4">
        <v>4</v>
      </c>
      <c r="R130" s="4">
        <v>1</v>
      </c>
      <c r="S130" s="4">
        <v>4641</v>
      </c>
      <c r="T130" s="8" t="s">
        <v>51</v>
      </c>
      <c r="U130" t="str">
        <f>IF(OR(E130&lt;'Q1'!$E$13,E130&gt;'Q1'!$E$14),"Outliers","Not an Outliers")</f>
        <v>Not an Outliers</v>
      </c>
      <c r="V130" t="str">
        <f t="shared" si="1"/>
        <v>Weekend</v>
      </c>
    </row>
    <row r="131" spans="1:22" x14ac:dyDescent="0.3">
      <c r="A131" s="24">
        <v>45334</v>
      </c>
      <c r="B131" s="9" t="s">
        <v>76</v>
      </c>
      <c r="C131" s="9" t="s">
        <v>32</v>
      </c>
      <c r="D131" s="9" t="s">
        <v>46</v>
      </c>
      <c r="E131" s="5">
        <v>2760</v>
      </c>
      <c r="F131" s="5" t="b">
        <v>0</v>
      </c>
      <c r="G131" s="9" t="s">
        <v>65</v>
      </c>
      <c r="H131" s="9" t="s">
        <v>24</v>
      </c>
      <c r="I131" s="9" t="s">
        <v>42</v>
      </c>
      <c r="J131" s="9" t="s">
        <v>48</v>
      </c>
      <c r="K131" s="5">
        <v>2</v>
      </c>
      <c r="L131" s="9" t="s">
        <v>49</v>
      </c>
      <c r="M131" s="9" t="s">
        <v>58</v>
      </c>
      <c r="N131" s="5" t="b">
        <v>1</v>
      </c>
      <c r="O131" s="5">
        <v>105</v>
      </c>
      <c r="P131" s="9" t="s">
        <v>50</v>
      </c>
      <c r="Q131" s="5">
        <v>7</v>
      </c>
      <c r="R131" s="5">
        <v>2</v>
      </c>
      <c r="S131" s="5">
        <v>1261</v>
      </c>
      <c r="T131" s="10" t="s">
        <v>51</v>
      </c>
      <c r="U131" t="str">
        <f>IF(OR(E131&lt;'Q1'!$E$13,E131&gt;'Q1'!$E$14),"Outliers","Not an Outliers")</f>
        <v>Not an Outliers</v>
      </c>
      <c r="V131" t="str">
        <f t="shared" ref="V131:V194" si="2">IF(WEEKDAY(A131,2)&gt;5,"Weekend","Weekday")</f>
        <v>Weekday</v>
      </c>
    </row>
    <row r="132" spans="1:22" x14ac:dyDescent="0.3">
      <c r="A132" s="23">
        <v>45334</v>
      </c>
      <c r="B132" s="7" t="s">
        <v>55</v>
      </c>
      <c r="C132" s="7" t="s">
        <v>32</v>
      </c>
      <c r="D132" s="7" t="s">
        <v>33</v>
      </c>
      <c r="E132" s="4">
        <v>3432</v>
      </c>
      <c r="F132" s="4" t="b">
        <v>0</v>
      </c>
      <c r="G132" s="7" t="s">
        <v>34</v>
      </c>
      <c r="H132" s="7" t="s">
        <v>70</v>
      </c>
      <c r="I132" s="7" t="s">
        <v>25</v>
      </c>
      <c r="J132" s="7" t="s">
        <v>48</v>
      </c>
      <c r="K132" s="4">
        <v>2</v>
      </c>
      <c r="L132" s="7" t="s">
        <v>49</v>
      </c>
      <c r="M132" s="7" t="s">
        <v>58</v>
      </c>
      <c r="N132" s="4" t="b">
        <v>0</v>
      </c>
      <c r="O132" s="4">
        <v>78</v>
      </c>
      <c r="P132" s="7" t="s">
        <v>37</v>
      </c>
      <c r="Q132" s="4">
        <v>8</v>
      </c>
      <c r="R132" s="4">
        <v>2</v>
      </c>
      <c r="S132" s="4">
        <v>1523</v>
      </c>
      <c r="T132" s="8" t="s">
        <v>38</v>
      </c>
      <c r="U132" t="str">
        <f>IF(OR(E132&lt;'Q1'!$E$13,E132&gt;'Q1'!$E$14),"Outliers","Not an Outliers")</f>
        <v>Not an Outliers</v>
      </c>
      <c r="V132" t="str">
        <f t="shared" si="2"/>
        <v>Weekday</v>
      </c>
    </row>
    <row r="133" spans="1:22" x14ac:dyDescent="0.3">
      <c r="A133" s="24">
        <v>45336</v>
      </c>
      <c r="B133" s="9" t="s">
        <v>74</v>
      </c>
      <c r="C133" s="9" t="s">
        <v>56</v>
      </c>
      <c r="D133" s="9" t="s">
        <v>46</v>
      </c>
      <c r="E133" s="5">
        <v>1423</v>
      </c>
      <c r="F133" s="5" t="b">
        <v>0</v>
      </c>
      <c r="G133" s="9" t="s">
        <v>65</v>
      </c>
      <c r="H133" s="9" t="s">
        <v>41</v>
      </c>
      <c r="I133" s="9" t="s">
        <v>47</v>
      </c>
      <c r="J133" s="9" t="s">
        <v>54</v>
      </c>
      <c r="K133" s="5">
        <v>3</v>
      </c>
      <c r="L133" s="9" t="s">
        <v>49</v>
      </c>
      <c r="M133" s="9" t="s">
        <v>66</v>
      </c>
      <c r="N133" s="5" t="b">
        <v>1</v>
      </c>
      <c r="O133" s="5">
        <v>112</v>
      </c>
      <c r="P133" s="9" t="s">
        <v>50</v>
      </c>
      <c r="Q133" s="5">
        <v>3</v>
      </c>
      <c r="R133" s="5">
        <v>2</v>
      </c>
      <c r="S133" s="5">
        <v>1501</v>
      </c>
      <c r="T133" s="10" t="s">
        <v>51</v>
      </c>
      <c r="U133" t="str">
        <f>IF(OR(E133&lt;'Q1'!$E$13,E133&gt;'Q1'!$E$14),"Outliers","Not an Outliers")</f>
        <v>Not an Outliers</v>
      </c>
      <c r="V133" t="str">
        <f t="shared" si="2"/>
        <v>Weekday</v>
      </c>
    </row>
    <row r="134" spans="1:22" x14ac:dyDescent="0.3">
      <c r="A134" s="23">
        <v>45336</v>
      </c>
      <c r="B134" s="7" t="s">
        <v>72</v>
      </c>
      <c r="C134" s="7" t="s">
        <v>21</v>
      </c>
      <c r="D134" s="7" t="s">
        <v>53</v>
      </c>
      <c r="E134" s="4">
        <v>6873</v>
      </c>
      <c r="F134" s="4" t="b">
        <v>1</v>
      </c>
      <c r="G134" s="7" t="s">
        <v>23</v>
      </c>
      <c r="H134" s="7" t="s">
        <v>41</v>
      </c>
      <c r="I134" s="7" t="s">
        <v>47</v>
      </c>
      <c r="J134" s="7" t="s">
        <v>26</v>
      </c>
      <c r="K134" s="4">
        <v>0</v>
      </c>
      <c r="L134" s="7" t="s">
        <v>49</v>
      </c>
      <c r="M134" s="7" t="s">
        <v>58</v>
      </c>
      <c r="N134" s="4" t="b">
        <v>0</v>
      </c>
      <c r="O134" s="4">
        <v>65</v>
      </c>
      <c r="P134" s="7" t="s">
        <v>29</v>
      </c>
      <c r="Q134" s="4">
        <v>4</v>
      </c>
      <c r="R134" s="4">
        <v>1</v>
      </c>
      <c r="S134" s="4">
        <v>1081</v>
      </c>
      <c r="T134" s="8" t="s">
        <v>38</v>
      </c>
      <c r="U134" t="str">
        <f>IF(OR(E134&lt;'Q1'!$E$13,E134&gt;'Q1'!$E$14),"Outliers","Not an Outliers")</f>
        <v>Not an Outliers</v>
      </c>
      <c r="V134" t="str">
        <f t="shared" si="2"/>
        <v>Weekday</v>
      </c>
    </row>
    <row r="135" spans="1:22" x14ac:dyDescent="0.3">
      <c r="A135" s="24">
        <v>45337</v>
      </c>
      <c r="B135" s="9" t="s">
        <v>75</v>
      </c>
      <c r="C135" s="9" t="s">
        <v>21</v>
      </c>
      <c r="D135" s="9" t="s">
        <v>33</v>
      </c>
      <c r="E135" s="5">
        <v>2994</v>
      </c>
      <c r="F135" s="5" t="b">
        <v>0</v>
      </c>
      <c r="G135" s="9" t="s">
        <v>23</v>
      </c>
      <c r="H135" s="9" t="s">
        <v>70</v>
      </c>
      <c r="I135" s="9" t="s">
        <v>42</v>
      </c>
      <c r="J135" s="9" t="s">
        <v>43</v>
      </c>
      <c r="K135" s="5">
        <v>2</v>
      </c>
      <c r="L135" s="9" t="s">
        <v>49</v>
      </c>
      <c r="M135" s="9" t="s">
        <v>28</v>
      </c>
      <c r="N135" s="5" t="b">
        <v>1</v>
      </c>
      <c r="O135" s="5">
        <v>19</v>
      </c>
      <c r="P135" s="9" t="s">
        <v>29</v>
      </c>
      <c r="Q135" s="5">
        <v>6</v>
      </c>
      <c r="R135" s="5">
        <v>2</v>
      </c>
      <c r="S135" s="5">
        <v>4427</v>
      </c>
      <c r="T135" s="10" t="s">
        <v>30</v>
      </c>
      <c r="U135" t="str">
        <f>IF(OR(E135&lt;'Q1'!$E$13,E135&gt;'Q1'!$E$14),"Outliers","Not an Outliers")</f>
        <v>Not an Outliers</v>
      </c>
      <c r="V135" t="str">
        <f t="shared" si="2"/>
        <v>Weekday</v>
      </c>
    </row>
    <row r="136" spans="1:22" x14ac:dyDescent="0.3">
      <c r="A136" s="23">
        <v>45337</v>
      </c>
      <c r="B136" s="7" t="s">
        <v>55</v>
      </c>
      <c r="C136" s="7" t="s">
        <v>60</v>
      </c>
      <c r="D136" s="7" t="s">
        <v>22</v>
      </c>
      <c r="E136" s="4">
        <v>6702</v>
      </c>
      <c r="F136" s="4" t="b">
        <v>0</v>
      </c>
      <c r="G136" s="7" t="s">
        <v>65</v>
      </c>
      <c r="H136" s="7" t="s">
        <v>70</v>
      </c>
      <c r="I136" s="7" t="s">
        <v>25</v>
      </c>
      <c r="J136" s="7" t="s">
        <v>48</v>
      </c>
      <c r="K136" s="4">
        <v>1</v>
      </c>
      <c r="L136" s="7" t="s">
        <v>27</v>
      </c>
      <c r="M136" s="7" t="s">
        <v>66</v>
      </c>
      <c r="N136" s="4" t="b">
        <v>1</v>
      </c>
      <c r="O136" s="4">
        <v>83</v>
      </c>
      <c r="P136" s="7" t="s">
        <v>37</v>
      </c>
      <c r="Q136" s="4">
        <v>9</v>
      </c>
      <c r="R136" s="4">
        <v>2</v>
      </c>
      <c r="S136" s="4">
        <v>1571</v>
      </c>
      <c r="T136" s="8" t="s">
        <v>38</v>
      </c>
      <c r="U136" t="str">
        <f>IF(OR(E136&lt;'Q1'!$E$13,E136&gt;'Q1'!$E$14),"Outliers","Not an Outliers")</f>
        <v>Not an Outliers</v>
      </c>
      <c r="V136" t="str">
        <f t="shared" si="2"/>
        <v>Weekday</v>
      </c>
    </row>
    <row r="137" spans="1:22" x14ac:dyDescent="0.3">
      <c r="A137" s="24">
        <v>45337</v>
      </c>
      <c r="B137" s="9" t="s">
        <v>39</v>
      </c>
      <c r="C137" s="9" t="s">
        <v>56</v>
      </c>
      <c r="D137" s="9" t="s">
        <v>57</v>
      </c>
      <c r="E137" s="5">
        <v>1000</v>
      </c>
      <c r="F137" s="5" t="b">
        <v>1</v>
      </c>
      <c r="G137" s="9" t="s">
        <v>34</v>
      </c>
      <c r="H137" s="9" t="s">
        <v>35</v>
      </c>
      <c r="I137" s="9" t="s">
        <v>59</v>
      </c>
      <c r="J137" s="9" t="s">
        <v>26</v>
      </c>
      <c r="K137" s="5">
        <v>5</v>
      </c>
      <c r="L137" s="9" t="s">
        <v>27</v>
      </c>
      <c r="M137" s="9" t="s">
        <v>66</v>
      </c>
      <c r="N137" s="5" t="b">
        <v>1</v>
      </c>
      <c r="O137" s="5">
        <v>116</v>
      </c>
      <c r="P137" s="9" t="s">
        <v>29</v>
      </c>
      <c r="Q137" s="5">
        <v>3</v>
      </c>
      <c r="R137" s="5">
        <v>1</v>
      </c>
      <c r="S137" s="5">
        <v>3130</v>
      </c>
      <c r="T137" s="10" t="s">
        <v>30</v>
      </c>
      <c r="U137" t="str">
        <f>IF(OR(E137&lt;'Q1'!$E$13,E137&gt;'Q1'!$E$14),"Outliers","Not an Outliers")</f>
        <v>Not an Outliers</v>
      </c>
      <c r="V137" t="str">
        <f t="shared" si="2"/>
        <v>Weekday</v>
      </c>
    </row>
    <row r="138" spans="1:22" x14ac:dyDescent="0.3">
      <c r="A138" s="23">
        <v>45337</v>
      </c>
      <c r="B138" s="7" t="s">
        <v>77</v>
      </c>
      <c r="C138" s="7" t="s">
        <v>56</v>
      </c>
      <c r="D138" s="7" t="s">
        <v>46</v>
      </c>
      <c r="E138" s="4">
        <v>4656</v>
      </c>
      <c r="F138" s="4" t="b">
        <v>0</v>
      </c>
      <c r="G138" s="7" t="s">
        <v>64</v>
      </c>
      <c r="H138" s="7" t="s">
        <v>24</v>
      </c>
      <c r="I138" s="7" t="s">
        <v>42</v>
      </c>
      <c r="J138" s="7" t="s">
        <v>54</v>
      </c>
      <c r="K138" s="4">
        <v>1</v>
      </c>
      <c r="L138" s="7" t="s">
        <v>36</v>
      </c>
      <c r="M138" s="7" t="s">
        <v>66</v>
      </c>
      <c r="N138" s="4" t="b">
        <v>1</v>
      </c>
      <c r="O138" s="4">
        <v>52</v>
      </c>
      <c r="P138" s="7" t="s">
        <v>29</v>
      </c>
      <c r="Q138" s="4">
        <v>10</v>
      </c>
      <c r="R138" s="4">
        <v>2</v>
      </c>
      <c r="S138" s="4">
        <v>2793</v>
      </c>
      <c r="T138" s="8" t="s">
        <v>51</v>
      </c>
      <c r="U138" t="str">
        <f>IF(OR(E138&lt;'Q1'!$E$13,E138&gt;'Q1'!$E$14),"Outliers","Not an Outliers")</f>
        <v>Not an Outliers</v>
      </c>
      <c r="V138" t="str">
        <f t="shared" si="2"/>
        <v>Weekday</v>
      </c>
    </row>
    <row r="139" spans="1:22" x14ac:dyDescent="0.3">
      <c r="A139" s="24">
        <v>45338</v>
      </c>
      <c r="B139" s="9" t="s">
        <v>39</v>
      </c>
      <c r="C139" s="9" t="s">
        <v>60</v>
      </c>
      <c r="D139" s="9" t="s">
        <v>46</v>
      </c>
      <c r="E139" s="5">
        <v>3468</v>
      </c>
      <c r="F139" s="5" t="b">
        <v>0</v>
      </c>
      <c r="G139" s="9" t="s">
        <v>64</v>
      </c>
      <c r="H139" s="9" t="s">
        <v>41</v>
      </c>
      <c r="I139" s="9" t="s">
        <v>25</v>
      </c>
      <c r="J139" s="9" t="s">
        <v>54</v>
      </c>
      <c r="K139" s="5">
        <v>0</v>
      </c>
      <c r="L139" s="9" t="s">
        <v>27</v>
      </c>
      <c r="M139" s="9" t="s">
        <v>73</v>
      </c>
      <c r="N139" s="5" t="b">
        <v>1</v>
      </c>
      <c r="O139" s="5">
        <v>18</v>
      </c>
      <c r="P139" s="9" t="s">
        <v>50</v>
      </c>
      <c r="Q139" s="5">
        <v>6</v>
      </c>
      <c r="R139" s="5">
        <v>3</v>
      </c>
      <c r="S139" s="5">
        <v>1044</v>
      </c>
      <c r="T139" s="10" t="s">
        <v>38</v>
      </c>
      <c r="U139" t="str">
        <f>IF(OR(E139&lt;'Q1'!$E$13,E139&gt;'Q1'!$E$14),"Outliers","Not an Outliers")</f>
        <v>Not an Outliers</v>
      </c>
      <c r="V139" t="str">
        <f t="shared" si="2"/>
        <v>Weekday</v>
      </c>
    </row>
    <row r="140" spans="1:22" x14ac:dyDescent="0.3">
      <c r="A140" s="23">
        <v>45338</v>
      </c>
      <c r="B140" s="7" t="s">
        <v>68</v>
      </c>
      <c r="C140" s="7" t="s">
        <v>21</v>
      </c>
      <c r="D140" s="7" t="s">
        <v>53</v>
      </c>
      <c r="E140" s="4">
        <v>5304</v>
      </c>
      <c r="F140" s="4" t="b">
        <v>0</v>
      </c>
      <c r="G140" s="7" t="s">
        <v>65</v>
      </c>
      <c r="H140" s="7" t="s">
        <v>41</v>
      </c>
      <c r="I140" s="7" t="s">
        <v>59</v>
      </c>
      <c r="J140" s="7" t="s">
        <v>54</v>
      </c>
      <c r="K140" s="4">
        <v>2</v>
      </c>
      <c r="L140" s="7" t="s">
        <v>36</v>
      </c>
      <c r="M140" s="7" t="s">
        <v>73</v>
      </c>
      <c r="N140" s="4" t="b">
        <v>1</v>
      </c>
      <c r="O140" s="4">
        <v>20</v>
      </c>
      <c r="P140" s="7" t="s">
        <v>63</v>
      </c>
      <c r="Q140" s="4">
        <v>3</v>
      </c>
      <c r="R140" s="4">
        <v>1</v>
      </c>
      <c r="S140" s="4">
        <v>976</v>
      </c>
      <c r="T140" s="8" t="s">
        <v>51</v>
      </c>
      <c r="U140" t="str">
        <f>IF(OR(E140&lt;'Q1'!$E$13,E140&gt;'Q1'!$E$14),"Outliers","Not an Outliers")</f>
        <v>Not an Outliers</v>
      </c>
      <c r="V140" t="str">
        <f t="shared" si="2"/>
        <v>Weekday</v>
      </c>
    </row>
    <row r="141" spans="1:22" x14ac:dyDescent="0.3">
      <c r="A141" s="24">
        <v>45339</v>
      </c>
      <c r="B141" s="9" t="s">
        <v>74</v>
      </c>
      <c r="C141" s="9" t="s">
        <v>60</v>
      </c>
      <c r="D141" s="9" t="s">
        <v>53</v>
      </c>
      <c r="E141" s="5">
        <v>5589</v>
      </c>
      <c r="F141" s="5" t="b">
        <v>1</v>
      </c>
      <c r="G141" s="9" t="s">
        <v>23</v>
      </c>
      <c r="H141" s="9" t="s">
        <v>41</v>
      </c>
      <c r="I141" s="9" t="s">
        <v>59</v>
      </c>
      <c r="J141" s="9" t="s">
        <v>26</v>
      </c>
      <c r="K141" s="5">
        <v>1</v>
      </c>
      <c r="L141" s="9" t="s">
        <v>49</v>
      </c>
      <c r="M141" s="9" t="s">
        <v>73</v>
      </c>
      <c r="N141" s="5" t="b">
        <v>1</v>
      </c>
      <c r="O141" s="5">
        <v>59</v>
      </c>
      <c r="P141" s="9" t="s">
        <v>67</v>
      </c>
      <c r="Q141" s="5">
        <v>8</v>
      </c>
      <c r="R141" s="5">
        <v>2</v>
      </c>
      <c r="S141" s="5">
        <v>2815</v>
      </c>
      <c r="T141" s="10" t="s">
        <v>51</v>
      </c>
      <c r="U141" t="str">
        <f>IF(OR(E141&lt;'Q1'!$E$13,E141&gt;'Q1'!$E$14),"Outliers","Not an Outliers")</f>
        <v>Not an Outliers</v>
      </c>
      <c r="V141" t="str">
        <f t="shared" si="2"/>
        <v>Weekend</v>
      </c>
    </row>
    <row r="142" spans="1:22" x14ac:dyDescent="0.3">
      <c r="A142" s="23">
        <v>45339</v>
      </c>
      <c r="B142" s="7" t="s">
        <v>71</v>
      </c>
      <c r="C142" s="7" t="s">
        <v>32</v>
      </c>
      <c r="D142" s="7" t="s">
        <v>33</v>
      </c>
      <c r="E142" s="4">
        <v>2233</v>
      </c>
      <c r="F142" s="4" t="b">
        <v>0</v>
      </c>
      <c r="G142" s="7" t="s">
        <v>23</v>
      </c>
      <c r="H142" s="7" t="s">
        <v>35</v>
      </c>
      <c r="I142" s="7" t="s">
        <v>25</v>
      </c>
      <c r="J142" s="7" t="s">
        <v>26</v>
      </c>
      <c r="K142" s="4">
        <v>1</v>
      </c>
      <c r="L142" s="7" t="s">
        <v>36</v>
      </c>
      <c r="M142" s="7" t="s">
        <v>58</v>
      </c>
      <c r="N142" s="4" t="b">
        <v>1</v>
      </c>
      <c r="O142" s="4">
        <v>8</v>
      </c>
      <c r="P142" s="7" t="s">
        <v>37</v>
      </c>
      <c r="Q142" s="4">
        <v>4</v>
      </c>
      <c r="R142" s="4">
        <v>1</v>
      </c>
      <c r="S142" s="4">
        <v>3022</v>
      </c>
      <c r="T142" s="8" t="s">
        <v>51</v>
      </c>
      <c r="U142" t="str">
        <f>IF(OR(E142&lt;'Q1'!$E$13,E142&gt;'Q1'!$E$14),"Outliers","Not an Outliers")</f>
        <v>Not an Outliers</v>
      </c>
      <c r="V142" t="str">
        <f t="shared" si="2"/>
        <v>Weekend</v>
      </c>
    </row>
    <row r="143" spans="1:22" x14ac:dyDescent="0.3">
      <c r="A143" s="24">
        <v>45339</v>
      </c>
      <c r="B143" s="9" t="s">
        <v>75</v>
      </c>
      <c r="C143" s="9" t="s">
        <v>60</v>
      </c>
      <c r="D143" s="9" t="s">
        <v>46</v>
      </c>
      <c r="E143" s="5">
        <v>1935</v>
      </c>
      <c r="F143" s="5" t="b">
        <v>1</v>
      </c>
      <c r="G143" s="9" t="s">
        <v>34</v>
      </c>
      <c r="H143" s="9" t="s">
        <v>70</v>
      </c>
      <c r="I143" s="9" t="s">
        <v>25</v>
      </c>
      <c r="J143" s="9" t="s">
        <v>43</v>
      </c>
      <c r="K143" s="5">
        <v>1</v>
      </c>
      <c r="L143" s="9" t="s">
        <v>49</v>
      </c>
      <c r="M143" s="9" t="s">
        <v>58</v>
      </c>
      <c r="N143" s="5" t="b">
        <v>1</v>
      </c>
      <c r="O143" s="5">
        <v>84</v>
      </c>
      <c r="P143" s="9" t="s">
        <v>50</v>
      </c>
      <c r="Q143" s="5">
        <v>1</v>
      </c>
      <c r="R143" s="5">
        <v>1</v>
      </c>
      <c r="S143" s="5">
        <v>2642</v>
      </c>
      <c r="T143" s="10" t="s">
        <v>51</v>
      </c>
      <c r="U143" t="str">
        <f>IF(OR(E143&lt;'Q1'!$E$13,E143&gt;'Q1'!$E$14),"Outliers","Not an Outliers")</f>
        <v>Not an Outliers</v>
      </c>
      <c r="V143" t="str">
        <f t="shared" si="2"/>
        <v>Weekend</v>
      </c>
    </row>
    <row r="144" spans="1:22" x14ac:dyDescent="0.3">
      <c r="A144" s="23">
        <v>45340</v>
      </c>
      <c r="B144" s="7" t="s">
        <v>31</v>
      </c>
      <c r="C144" s="7" t="s">
        <v>32</v>
      </c>
      <c r="D144" s="7" t="s">
        <v>33</v>
      </c>
      <c r="E144" s="4">
        <v>1826</v>
      </c>
      <c r="F144" s="4" t="b">
        <v>0</v>
      </c>
      <c r="G144" s="7" t="s">
        <v>23</v>
      </c>
      <c r="H144" s="7" t="s">
        <v>24</v>
      </c>
      <c r="I144" s="7" t="s">
        <v>25</v>
      </c>
      <c r="J144" s="7" t="s">
        <v>43</v>
      </c>
      <c r="K144" s="4">
        <v>2</v>
      </c>
      <c r="L144" s="7" t="s">
        <v>49</v>
      </c>
      <c r="M144" s="7" t="s">
        <v>28</v>
      </c>
      <c r="N144" s="4" t="b">
        <v>0</v>
      </c>
      <c r="O144" s="4">
        <v>0</v>
      </c>
      <c r="P144" s="7" t="s">
        <v>50</v>
      </c>
      <c r="Q144" s="4">
        <v>10</v>
      </c>
      <c r="R144" s="4">
        <v>1</v>
      </c>
      <c r="S144" s="4">
        <v>4366</v>
      </c>
      <c r="T144" s="8" t="s">
        <v>38</v>
      </c>
      <c r="U144" t="str">
        <f>IF(OR(E144&lt;'Q1'!$E$13,E144&gt;'Q1'!$E$14),"Outliers","Not an Outliers")</f>
        <v>Not an Outliers</v>
      </c>
      <c r="V144" t="str">
        <f t="shared" si="2"/>
        <v>Weekend</v>
      </c>
    </row>
    <row r="145" spans="1:22" x14ac:dyDescent="0.3">
      <c r="A145" s="24">
        <v>45340</v>
      </c>
      <c r="B145" s="9" t="s">
        <v>20</v>
      </c>
      <c r="C145" s="9" t="s">
        <v>21</v>
      </c>
      <c r="D145" s="9" t="s">
        <v>57</v>
      </c>
      <c r="E145" s="5">
        <v>1000</v>
      </c>
      <c r="F145" s="5" t="b">
        <v>0</v>
      </c>
      <c r="G145" s="9" t="s">
        <v>23</v>
      </c>
      <c r="H145" s="9" t="s">
        <v>70</v>
      </c>
      <c r="I145" s="9" t="s">
        <v>47</v>
      </c>
      <c r="J145" s="9" t="s">
        <v>54</v>
      </c>
      <c r="K145" s="5">
        <v>3</v>
      </c>
      <c r="L145" s="9" t="s">
        <v>27</v>
      </c>
      <c r="M145" s="9" t="s">
        <v>66</v>
      </c>
      <c r="N145" s="5" t="b">
        <v>0</v>
      </c>
      <c r="O145" s="5">
        <v>32</v>
      </c>
      <c r="P145" s="9" t="s">
        <v>29</v>
      </c>
      <c r="Q145" s="5">
        <v>10</v>
      </c>
      <c r="R145" s="5">
        <v>3</v>
      </c>
      <c r="S145" s="5">
        <v>3121</v>
      </c>
      <c r="T145" s="10" t="s">
        <v>51</v>
      </c>
      <c r="U145" t="str">
        <f>IF(OR(E145&lt;'Q1'!$E$13,E145&gt;'Q1'!$E$14),"Outliers","Not an Outliers")</f>
        <v>Not an Outliers</v>
      </c>
      <c r="V145" t="str">
        <f t="shared" si="2"/>
        <v>Weekend</v>
      </c>
    </row>
    <row r="146" spans="1:22" x14ac:dyDescent="0.3">
      <c r="A146" s="23">
        <v>45340</v>
      </c>
      <c r="B146" s="7" t="s">
        <v>74</v>
      </c>
      <c r="C146" s="7" t="s">
        <v>45</v>
      </c>
      <c r="D146" s="7" t="s">
        <v>33</v>
      </c>
      <c r="E146" s="4">
        <v>4062</v>
      </c>
      <c r="F146" s="4" t="b">
        <v>0</v>
      </c>
      <c r="G146" s="7" t="s">
        <v>34</v>
      </c>
      <c r="H146" s="7" t="s">
        <v>70</v>
      </c>
      <c r="I146" s="7" t="s">
        <v>25</v>
      </c>
      <c r="J146" s="7" t="s">
        <v>26</v>
      </c>
      <c r="K146" s="4">
        <v>0</v>
      </c>
      <c r="L146" s="7" t="s">
        <v>36</v>
      </c>
      <c r="M146" s="7" t="s">
        <v>28</v>
      </c>
      <c r="N146" s="4" t="b">
        <v>1</v>
      </c>
      <c r="O146" s="4">
        <v>4</v>
      </c>
      <c r="P146" s="7" t="s">
        <v>37</v>
      </c>
      <c r="Q146" s="4">
        <v>9</v>
      </c>
      <c r="R146" s="4">
        <v>3</v>
      </c>
      <c r="S146" s="4">
        <v>1085</v>
      </c>
      <c r="T146" s="8" t="s">
        <v>30</v>
      </c>
      <c r="U146" t="str">
        <f>IF(OR(E146&lt;'Q1'!$E$13,E146&gt;'Q1'!$E$14),"Outliers","Not an Outliers")</f>
        <v>Not an Outliers</v>
      </c>
      <c r="V146" t="str">
        <f t="shared" si="2"/>
        <v>Weekend</v>
      </c>
    </row>
    <row r="147" spans="1:22" x14ac:dyDescent="0.3">
      <c r="A147" s="24">
        <v>45341</v>
      </c>
      <c r="B147" s="9" t="s">
        <v>76</v>
      </c>
      <c r="C147" s="9" t="s">
        <v>45</v>
      </c>
      <c r="D147" s="9" t="s">
        <v>57</v>
      </c>
      <c r="E147" s="5">
        <v>1000</v>
      </c>
      <c r="F147" s="5" t="b">
        <v>0</v>
      </c>
      <c r="G147" s="9" t="s">
        <v>23</v>
      </c>
      <c r="H147" s="9" t="s">
        <v>35</v>
      </c>
      <c r="I147" s="9" t="s">
        <v>42</v>
      </c>
      <c r="J147" s="9" t="s">
        <v>43</v>
      </c>
      <c r="K147" s="5">
        <v>1</v>
      </c>
      <c r="L147" s="9" t="s">
        <v>49</v>
      </c>
      <c r="M147" s="9" t="s">
        <v>28</v>
      </c>
      <c r="N147" s="5" t="b">
        <v>0</v>
      </c>
      <c r="O147" s="5">
        <v>58</v>
      </c>
      <c r="P147" s="9" t="s">
        <v>29</v>
      </c>
      <c r="Q147" s="5">
        <v>9</v>
      </c>
      <c r="R147" s="5">
        <v>1</v>
      </c>
      <c r="S147" s="5">
        <v>4305</v>
      </c>
      <c r="T147" s="10" t="s">
        <v>38</v>
      </c>
      <c r="U147" t="str">
        <f>IF(OR(E147&lt;'Q1'!$E$13,E147&gt;'Q1'!$E$14),"Outliers","Not an Outliers")</f>
        <v>Not an Outliers</v>
      </c>
      <c r="V147" t="str">
        <f t="shared" si="2"/>
        <v>Weekday</v>
      </c>
    </row>
    <row r="148" spans="1:22" x14ac:dyDescent="0.3">
      <c r="A148" s="23">
        <v>45341</v>
      </c>
      <c r="B148" s="7" t="s">
        <v>44</v>
      </c>
      <c r="C148" s="7" t="s">
        <v>56</v>
      </c>
      <c r="D148" s="7" t="s">
        <v>53</v>
      </c>
      <c r="E148" s="4">
        <v>7318</v>
      </c>
      <c r="F148" s="4" t="b">
        <v>0</v>
      </c>
      <c r="G148" s="7" t="s">
        <v>34</v>
      </c>
      <c r="H148" s="7" t="s">
        <v>41</v>
      </c>
      <c r="I148" s="7" t="s">
        <v>25</v>
      </c>
      <c r="J148" s="7" t="s">
        <v>43</v>
      </c>
      <c r="K148" s="4">
        <v>2</v>
      </c>
      <c r="L148" s="7" t="s">
        <v>27</v>
      </c>
      <c r="M148" s="7" t="s">
        <v>73</v>
      </c>
      <c r="N148" s="4" t="b">
        <v>1</v>
      </c>
      <c r="O148" s="4">
        <v>79</v>
      </c>
      <c r="P148" s="7" t="s">
        <v>50</v>
      </c>
      <c r="Q148" s="4">
        <v>4</v>
      </c>
      <c r="R148" s="4">
        <v>2</v>
      </c>
      <c r="S148" s="4">
        <v>4544</v>
      </c>
      <c r="T148" s="8" t="s">
        <v>51</v>
      </c>
      <c r="U148" t="str">
        <f>IF(OR(E148&lt;'Q1'!$E$13,E148&gt;'Q1'!$E$14),"Outliers","Not an Outliers")</f>
        <v>Not an Outliers</v>
      </c>
      <c r="V148" t="str">
        <f t="shared" si="2"/>
        <v>Weekday</v>
      </c>
    </row>
    <row r="149" spans="1:22" x14ac:dyDescent="0.3">
      <c r="A149" s="24">
        <v>45341</v>
      </c>
      <c r="B149" s="9" t="s">
        <v>55</v>
      </c>
      <c r="C149" s="9" t="s">
        <v>45</v>
      </c>
      <c r="D149" s="9" t="s">
        <v>33</v>
      </c>
      <c r="E149" s="5">
        <v>4326</v>
      </c>
      <c r="F149" s="5" t="b">
        <v>1</v>
      </c>
      <c r="G149" s="9" t="s">
        <v>40</v>
      </c>
      <c r="H149" s="9" t="s">
        <v>35</v>
      </c>
      <c r="I149" s="9" t="s">
        <v>25</v>
      </c>
      <c r="J149" s="9" t="s">
        <v>43</v>
      </c>
      <c r="K149" s="5">
        <v>3</v>
      </c>
      <c r="L149" s="9" t="s">
        <v>36</v>
      </c>
      <c r="M149" s="9" t="s">
        <v>28</v>
      </c>
      <c r="N149" s="5" t="b">
        <v>0</v>
      </c>
      <c r="O149" s="5">
        <v>33</v>
      </c>
      <c r="P149" s="9" t="s">
        <v>67</v>
      </c>
      <c r="Q149" s="5">
        <v>7</v>
      </c>
      <c r="R149" s="5">
        <v>2</v>
      </c>
      <c r="S149" s="5">
        <v>3347</v>
      </c>
      <c r="T149" s="10" t="s">
        <v>51</v>
      </c>
      <c r="U149" t="str">
        <f>IF(OR(E149&lt;'Q1'!$E$13,E149&gt;'Q1'!$E$14),"Outliers","Not an Outliers")</f>
        <v>Not an Outliers</v>
      </c>
      <c r="V149" t="str">
        <f t="shared" si="2"/>
        <v>Weekday</v>
      </c>
    </row>
    <row r="150" spans="1:22" x14ac:dyDescent="0.3">
      <c r="A150" s="23">
        <v>45342</v>
      </c>
      <c r="B150" s="7" t="s">
        <v>71</v>
      </c>
      <c r="C150" s="7" t="s">
        <v>60</v>
      </c>
      <c r="D150" s="7" t="s">
        <v>61</v>
      </c>
      <c r="E150" s="4">
        <v>1000</v>
      </c>
      <c r="F150" s="4" t="b">
        <v>1</v>
      </c>
      <c r="G150" s="7" t="s">
        <v>34</v>
      </c>
      <c r="H150" s="7" t="s">
        <v>35</v>
      </c>
      <c r="I150" s="7" t="s">
        <v>59</v>
      </c>
      <c r="J150" s="7" t="s">
        <v>26</v>
      </c>
      <c r="K150" s="4">
        <v>3</v>
      </c>
      <c r="L150" s="7" t="s">
        <v>27</v>
      </c>
      <c r="M150" s="7" t="s">
        <v>73</v>
      </c>
      <c r="N150" s="4" t="b">
        <v>0</v>
      </c>
      <c r="O150" s="4">
        <v>96</v>
      </c>
      <c r="P150" s="7" t="s">
        <v>29</v>
      </c>
      <c r="Q150" s="4">
        <v>8</v>
      </c>
      <c r="R150" s="4">
        <v>1</v>
      </c>
      <c r="S150" s="4">
        <v>4935</v>
      </c>
      <c r="T150" s="8" t="s">
        <v>30</v>
      </c>
      <c r="U150" t="str">
        <f>IF(OR(E150&lt;'Q1'!$E$13,E150&gt;'Q1'!$E$14),"Outliers","Not an Outliers")</f>
        <v>Not an Outliers</v>
      </c>
      <c r="V150" t="str">
        <f t="shared" si="2"/>
        <v>Weekday</v>
      </c>
    </row>
    <row r="151" spans="1:22" x14ac:dyDescent="0.3">
      <c r="A151" s="24">
        <v>45342</v>
      </c>
      <c r="B151" s="9" t="s">
        <v>20</v>
      </c>
      <c r="C151" s="9" t="s">
        <v>32</v>
      </c>
      <c r="D151" s="9" t="s">
        <v>53</v>
      </c>
      <c r="E151" s="5">
        <v>4662</v>
      </c>
      <c r="F151" s="5" t="b">
        <v>0</v>
      </c>
      <c r="G151" s="9" t="s">
        <v>65</v>
      </c>
      <c r="H151" s="9" t="s">
        <v>41</v>
      </c>
      <c r="I151" s="9" t="s">
        <v>59</v>
      </c>
      <c r="J151" s="9" t="s">
        <v>26</v>
      </c>
      <c r="K151" s="5">
        <v>5</v>
      </c>
      <c r="L151" s="9" t="s">
        <v>49</v>
      </c>
      <c r="M151" s="9" t="s">
        <v>58</v>
      </c>
      <c r="N151" s="5" t="b">
        <v>1</v>
      </c>
      <c r="O151" s="5">
        <v>110</v>
      </c>
      <c r="P151" s="9" t="s">
        <v>67</v>
      </c>
      <c r="Q151" s="5">
        <v>8</v>
      </c>
      <c r="R151" s="5">
        <v>3</v>
      </c>
      <c r="S151" s="5">
        <v>1893</v>
      </c>
      <c r="T151" s="10" t="s">
        <v>30</v>
      </c>
      <c r="U151" t="str">
        <f>IF(OR(E151&lt;'Q1'!$E$13,E151&gt;'Q1'!$E$14),"Outliers","Not an Outliers")</f>
        <v>Not an Outliers</v>
      </c>
      <c r="V151" t="str">
        <f t="shared" si="2"/>
        <v>Weekday</v>
      </c>
    </row>
    <row r="152" spans="1:22" x14ac:dyDescent="0.3">
      <c r="A152" s="23">
        <v>45343</v>
      </c>
      <c r="B152" s="7" t="s">
        <v>75</v>
      </c>
      <c r="C152" s="7" t="s">
        <v>45</v>
      </c>
      <c r="D152" s="7" t="s">
        <v>57</v>
      </c>
      <c r="E152" s="4">
        <v>1000</v>
      </c>
      <c r="F152" s="4" t="b">
        <v>0</v>
      </c>
      <c r="G152" s="7" t="s">
        <v>34</v>
      </c>
      <c r="H152" s="7" t="s">
        <v>24</v>
      </c>
      <c r="I152" s="7" t="s">
        <v>25</v>
      </c>
      <c r="J152" s="7" t="s">
        <v>54</v>
      </c>
      <c r="K152" s="4">
        <v>3</v>
      </c>
      <c r="L152" s="7" t="s">
        <v>27</v>
      </c>
      <c r="M152" s="7" t="s">
        <v>58</v>
      </c>
      <c r="N152" s="4" t="b">
        <v>1</v>
      </c>
      <c r="O152" s="4">
        <v>22</v>
      </c>
      <c r="P152" s="7" t="s">
        <v>29</v>
      </c>
      <c r="Q152" s="4">
        <v>3</v>
      </c>
      <c r="R152" s="4">
        <v>2</v>
      </c>
      <c r="S152" s="4">
        <v>1719</v>
      </c>
      <c r="T152" s="8" t="s">
        <v>51</v>
      </c>
      <c r="U152" t="str">
        <f>IF(OR(E152&lt;'Q1'!$E$13,E152&gt;'Q1'!$E$14),"Outliers","Not an Outliers")</f>
        <v>Not an Outliers</v>
      </c>
      <c r="V152" t="str">
        <f t="shared" si="2"/>
        <v>Weekday</v>
      </c>
    </row>
    <row r="153" spans="1:22" x14ac:dyDescent="0.3">
      <c r="A153" s="24">
        <v>45343</v>
      </c>
      <c r="B153" s="9" t="s">
        <v>39</v>
      </c>
      <c r="C153" s="9" t="s">
        <v>21</v>
      </c>
      <c r="D153" s="9" t="s">
        <v>46</v>
      </c>
      <c r="E153" s="5">
        <v>2838</v>
      </c>
      <c r="F153" s="5" t="b">
        <v>0</v>
      </c>
      <c r="G153" s="9" t="s">
        <v>23</v>
      </c>
      <c r="H153" s="9" t="s">
        <v>70</v>
      </c>
      <c r="I153" s="9" t="s">
        <v>59</v>
      </c>
      <c r="J153" s="9" t="s">
        <v>26</v>
      </c>
      <c r="K153" s="5">
        <v>1</v>
      </c>
      <c r="L153" s="9" t="s">
        <v>36</v>
      </c>
      <c r="M153" s="9" t="s">
        <v>58</v>
      </c>
      <c r="N153" s="5" t="b">
        <v>0</v>
      </c>
      <c r="O153" s="5">
        <v>67</v>
      </c>
      <c r="P153" s="9" t="s">
        <v>67</v>
      </c>
      <c r="Q153" s="5">
        <v>5</v>
      </c>
      <c r="R153" s="5">
        <v>2</v>
      </c>
      <c r="S153" s="5">
        <v>4044</v>
      </c>
      <c r="T153" s="10" t="s">
        <v>51</v>
      </c>
      <c r="U153" t="str">
        <f>IF(OR(E153&lt;'Q1'!$E$13,E153&gt;'Q1'!$E$14),"Outliers","Not an Outliers")</f>
        <v>Not an Outliers</v>
      </c>
      <c r="V153" t="str">
        <f t="shared" si="2"/>
        <v>Weekday</v>
      </c>
    </row>
    <row r="154" spans="1:22" x14ac:dyDescent="0.3">
      <c r="A154" s="23">
        <v>45343</v>
      </c>
      <c r="B154" s="7" t="s">
        <v>71</v>
      </c>
      <c r="C154" s="7" t="s">
        <v>60</v>
      </c>
      <c r="D154" s="7" t="s">
        <v>33</v>
      </c>
      <c r="E154" s="4">
        <v>3642</v>
      </c>
      <c r="F154" s="4" t="b">
        <v>0</v>
      </c>
      <c r="G154" s="7" t="s">
        <v>23</v>
      </c>
      <c r="H154" s="7" t="s">
        <v>41</v>
      </c>
      <c r="I154" s="7" t="s">
        <v>59</v>
      </c>
      <c r="J154" s="7" t="s">
        <v>43</v>
      </c>
      <c r="K154" s="4">
        <v>4</v>
      </c>
      <c r="L154" s="7" t="s">
        <v>49</v>
      </c>
      <c r="M154" s="7" t="s">
        <v>58</v>
      </c>
      <c r="N154" s="4" t="b">
        <v>1</v>
      </c>
      <c r="O154" s="4">
        <v>111</v>
      </c>
      <c r="P154" s="7" t="s">
        <v>37</v>
      </c>
      <c r="Q154" s="4">
        <v>8</v>
      </c>
      <c r="R154" s="4">
        <v>1</v>
      </c>
      <c r="S154" s="4">
        <v>503</v>
      </c>
      <c r="T154" s="8" t="s">
        <v>38</v>
      </c>
      <c r="U154" t="str">
        <f>IF(OR(E154&lt;'Q1'!$E$13,E154&gt;'Q1'!$E$14),"Outliers","Not an Outliers")</f>
        <v>Not an Outliers</v>
      </c>
      <c r="V154" t="str">
        <f t="shared" si="2"/>
        <v>Weekday</v>
      </c>
    </row>
    <row r="155" spans="1:22" x14ac:dyDescent="0.3">
      <c r="A155" s="24">
        <v>45343</v>
      </c>
      <c r="B155" s="9" t="s">
        <v>20</v>
      </c>
      <c r="C155" s="9" t="s">
        <v>32</v>
      </c>
      <c r="D155" s="9" t="s">
        <v>46</v>
      </c>
      <c r="E155" s="5">
        <v>4393</v>
      </c>
      <c r="F155" s="5" t="b">
        <v>0</v>
      </c>
      <c r="G155" s="9" t="s">
        <v>65</v>
      </c>
      <c r="H155" s="9" t="s">
        <v>41</v>
      </c>
      <c r="I155" s="9" t="s">
        <v>42</v>
      </c>
      <c r="J155" s="9" t="s">
        <v>26</v>
      </c>
      <c r="K155" s="5">
        <v>0</v>
      </c>
      <c r="L155" s="9" t="s">
        <v>27</v>
      </c>
      <c r="M155" s="9" t="s">
        <v>73</v>
      </c>
      <c r="N155" s="5" t="b">
        <v>1</v>
      </c>
      <c r="O155" s="5">
        <v>5</v>
      </c>
      <c r="P155" s="9" t="s">
        <v>29</v>
      </c>
      <c r="Q155" s="5">
        <v>5</v>
      </c>
      <c r="R155" s="5">
        <v>2</v>
      </c>
      <c r="S155" s="5">
        <v>1732</v>
      </c>
      <c r="T155" s="10" t="s">
        <v>38</v>
      </c>
      <c r="U155" t="str">
        <f>IF(OR(E155&lt;'Q1'!$E$13,E155&gt;'Q1'!$E$14),"Outliers","Not an Outliers")</f>
        <v>Not an Outliers</v>
      </c>
      <c r="V155" t="str">
        <f t="shared" si="2"/>
        <v>Weekday</v>
      </c>
    </row>
    <row r="156" spans="1:22" x14ac:dyDescent="0.3">
      <c r="A156" s="23">
        <v>45343</v>
      </c>
      <c r="B156" s="7" t="s">
        <v>55</v>
      </c>
      <c r="C156" s="7" t="s">
        <v>60</v>
      </c>
      <c r="D156" s="7" t="s">
        <v>33</v>
      </c>
      <c r="E156" s="4">
        <v>3157</v>
      </c>
      <c r="F156" s="4" t="b">
        <v>1</v>
      </c>
      <c r="G156" s="7" t="s">
        <v>40</v>
      </c>
      <c r="H156" s="7" t="s">
        <v>70</v>
      </c>
      <c r="I156" s="7" t="s">
        <v>47</v>
      </c>
      <c r="J156" s="7" t="s">
        <v>26</v>
      </c>
      <c r="K156" s="4">
        <v>2</v>
      </c>
      <c r="L156" s="7" t="s">
        <v>36</v>
      </c>
      <c r="M156" s="7" t="s">
        <v>73</v>
      </c>
      <c r="N156" s="4" t="b">
        <v>0</v>
      </c>
      <c r="O156" s="4">
        <v>101</v>
      </c>
      <c r="P156" s="7" t="s">
        <v>50</v>
      </c>
      <c r="Q156" s="4">
        <v>1</v>
      </c>
      <c r="R156" s="4">
        <v>3</v>
      </c>
      <c r="S156" s="4">
        <v>2434</v>
      </c>
      <c r="T156" s="8" t="s">
        <v>51</v>
      </c>
      <c r="U156" t="str">
        <f>IF(OR(E156&lt;'Q1'!$E$13,E156&gt;'Q1'!$E$14),"Outliers","Not an Outliers")</f>
        <v>Not an Outliers</v>
      </c>
      <c r="V156" t="str">
        <f t="shared" si="2"/>
        <v>Weekday</v>
      </c>
    </row>
    <row r="157" spans="1:22" x14ac:dyDescent="0.3">
      <c r="A157" s="24">
        <v>45344</v>
      </c>
      <c r="B157" s="9" t="s">
        <v>55</v>
      </c>
      <c r="C157" s="9" t="s">
        <v>32</v>
      </c>
      <c r="D157" s="9" t="s">
        <v>22</v>
      </c>
      <c r="E157" s="5">
        <v>6697</v>
      </c>
      <c r="F157" s="5" t="b">
        <v>0</v>
      </c>
      <c r="G157" s="9" t="s">
        <v>23</v>
      </c>
      <c r="H157" s="9" t="s">
        <v>35</v>
      </c>
      <c r="I157" s="9" t="s">
        <v>42</v>
      </c>
      <c r="J157" s="9" t="s">
        <v>26</v>
      </c>
      <c r="K157" s="5">
        <v>0</v>
      </c>
      <c r="L157" s="9" t="s">
        <v>36</v>
      </c>
      <c r="M157" s="9" t="s">
        <v>66</v>
      </c>
      <c r="N157" s="5" t="b">
        <v>0</v>
      </c>
      <c r="O157" s="5">
        <v>34</v>
      </c>
      <c r="P157" s="9" t="s">
        <v>37</v>
      </c>
      <c r="Q157" s="5">
        <v>7</v>
      </c>
      <c r="R157" s="5">
        <v>1</v>
      </c>
      <c r="S157" s="5">
        <v>1813</v>
      </c>
      <c r="T157" s="10" t="s">
        <v>51</v>
      </c>
      <c r="U157" t="str">
        <f>IF(OR(E157&lt;'Q1'!$E$13,E157&gt;'Q1'!$E$14),"Outliers","Not an Outliers")</f>
        <v>Not an Outliers</v>
      </c>
      <c r="V157" t="str">
        <f t="shared" si="2"/>
        <v>Weekday</v>
      </c>
    </row>
    <row r="158" spans="1:22" x14ac:dyDescent="0.3">
      <c r="A158" s="23">
        <v>45344</v>
      </c>
      <c r="B158" s="7" t="s">
        <v>62</v>
      </c>
      <c r="C158" s="7" t="s">
        <v>56</v>
      </c>
      <c r="D158" s="7" t="s">
        <v>53</v>
      </c>
      <c r="E158" s="4">
        <v>7566</v>
      </c>
      <c r="F158" s="4" t="b">
        <v>0</v>
      </c>
      <c r="G158" s="7" t="s">
        <v>34</v>
      </c>
      <c r="H158" s="7" t="s">
        <v>35</v>
      </c>
      <c r="I158" s="7" t="s">
        <v>59</v>
      </c>
      <c r="J158" s="7" t="s">
        <v>54</v>
      </c>
      <c r="K158" s="4">
        <v>2</v>
      </c>
      <c r="L158" s="7" t="s">
        <v>27</v>
      </c>
      <c r="M158" s="7" t="s">
        <v>28</v>
      </c>
      <c r="N158" s="4" t="b">
        <v>0</v>
      </c>
      <c r="O158" s="4">
        <v>53</v>
      </c>
      <c r="P158" s="7" t="s">
        <v>63</v>
      </c>
      <c r="Q158" s="4">
        <v>6</v>
      </c>
      <c r="R158" s="4">
        <v>1</v>
      </c>
      <c r="S158" s="4">
        <v>4310</v>
      </c>
      <c r="T158" s="8" t="s">
        <v>30</v>
      </c>
      <c r="U158" t="str">
        <f>IF(OR(E158&lt;'Q1'!$E$13,E158&gt;'Q1'!$E$14),"Outliers","Not an Outliers")</f>
        <v>Not an Outliers</v>
      </c>
      <c r="V158" t="str">
        <f t="shared" si="2"/>
        <v>Weekday</v>
      </c>
    </row>
    <row r="159" spans="1:22" x14ac:dyDescent="0.3">
      <c r="A159" s="24">
        <v>45344</v>
      </c>
      <c r="B159" s="9" t="s">
        <v>39</v>
      </c>
      <c r="C159" s="9" t="s">
        <v>60</v>
      </c>
      <c r="D159" s="9" t="s">
        <v>53</v>
      </c>
      <c r="E159" s="5">
        <v>2724</v>
      </c>
      <c r="F159" s="5" t="b">
        <v>0</v>
      </c>
      <c r="G159" s="9" t="s">
        <v>40</v>
      </c>
      <c r="H159" s="9" t="s">
        <v>41</v>
      </c>
      <c r="I159" s="9" t="s">
        <v>25</v>
      </c>
      <c r="J159" s="9" t="s">
        <v>26</v>
      </c>
      <c r="K159" s="5">
        <v>3</v>
      </c>
      <c r="L159" s="9" t="s">
        <v>27</v>
      </c>
      <c r="M159" s="9" t="s">
        <v>58</v>
      </c>
      <c r="N159" s="5" t="b">
        <v>1</v>
      </c>
      <c r="O159" s="5">
        <v>90</v>
      </c>
      <c r="P159" s="9" t="s">
        <v>50</v>
      </c>
      <c r="Q159" s="5">
        <v>9</v>
      </c>
      <c r="R159" s="5">
        <v>3</v>
      </c>
      <c r="S159" s="5">
        <v>3333</v>
      </c>
      <c r="T159" s="10" t="s">
        <v>38</v>
      </c>
      <c r="U159" t="str">
        <f>IF(OR(E159&lt;'Q1'!$E$13,E159&gt;'Q1'!$E$14),"Outliers","Not an Outliers")</f>
        <v>Not an Outliers</v>
      </c>
      <c r="V159" t="str">
        <f t="shared" si="2"/>
        <v>Weekday</v>
      </c>
    </row>
    <row r="160" spans="1:22" x14ac:dyDescent="0.3">
      <c r="A160" s="23">
        <v>45344</v>
      </c>
      <c r="B160" s="7" t="s">
        <v>44</v>
      </c>
      <c r="C160" s="7" t="s">
        <v>60</v>
      </c>
      <c r="D160" s="7" t="s">
        <v>46</v>
      </c>
      <c r="E160" s="4">
        <v>4752</v>
      </c>
      <c r="F160" s="4" t="b">
        <v>1</v>
      </c>
      <c r="G160" s="7" t="s">
        <v>64</v>
      </c>
      <c r="H160" s="7" t="s">
        <v>35</v>
      </c>
      <c r="I160" s="7" t="s">
        <v>25</v>
      </c>
      <c r="J160" s="7" t="s">
        <v>26</v>
      </c>
      <c r="K160" s="4">
        <v>2</v>
      </c>
      <c r="L160" s="7" t="s">
        <v>27</v>
      </c>
      <c r="M160" s="7" t="s">
        <v>66</v>
      </c>
      <c r="N160" s="4" t="b">
        <v>1</v>
      </c>
      <c r="O160" s="4">
        <v>29</v>
      </c>
      <c r="P160" s="7" t="s">
        <v>37</v>
      </c>
      <c r="Q160" s="4">
        <v>7</v>
      </c>
      <c r="R160" s="4">
        <v>3</v>
      </c>
      <c r="S160" s="4">
        <v>3093</v>
      </c>
      <c r="T160" s="8" t="s">
        <v>38</v>
      </c>
      <c r="U160" t="str">
        <f>IF(OR(E160&lt;'Q1'!$E$13,E160&gt;'Q1'!$E$14),"Outliers","Not an Outliers")</f>
        <v>Not an Outliers</v>
      </c>
      <c r="V160" t="str">
        <f t="shared" si="2"/>
        <v>Weekday</v>
      </c>
    </row>
    <row r="161" spans="1:22" x14ac:dyDescent="0.3">
      <c r="A161" s="24">
        <v>45344</v>
      </c>
      <c r="B161" s="9" t="s">
        <v>74</v>
      </c>
      <c r="C161" s="9" t="s">
        <v>21</v>
      </c>
      <c r="D161" s="9" t="s">
        <v>22</v>
      </c>
      <c r="E161" s="5">
        <v>7754</v>
      </c>
      <c r="F161" s="5" t="b">
        <v>0</v>
      </c>
      <c r="G161" s="9" t="s">
        <v>65</v>
      </c>
      <c r="H161" s="9" t="s">
        <v>35</v>
      </c>
      <c r="I161" s="9" t="s">
        <v>25</v>
      </c>
      <c r="J161" s="9" t="s">
        <v>54</v>
      </c>
      <c r="K161" s="5">
        <v>1</v>
      </c>
      <c r="L161" s="9" t="s">
        <v>36</v>
      </c>
      <c r="M161" s="9" t="s">
        <v>73</v>
      </c>
      <c r="N161" s="5" t="b">
        <v>0</v>
      </c>
      <c r="O161" s="5">
        <v>112</v>
      </c>
      <c r="P161" s="9" t="s">
        <v>63</v>
      </c>
      <c r="Q161" s="5">
        <v>9</v>
      </c>
      <c r="R161" s="5">
        <v>2</v>
      </c>
      <c r="S161" s="5">
        <v>1753</v>
      </c>
      <c r="T161" s="10" t="s">
        <v>51</v>
      </c>
      <c r="U161" t="str">
        <f>IF(OR(E161&lt;'Q1'!$E$13,E161&gt;'Q1'!$E$14),"Outliers","Not an Outliers")</f>
        <v>Not an Outliers</v>
      </c>
      <c r="V161" t="str">
        <f t="shared" si="2"/>
        <v>Weekday</v>
      </c>
    </row>
    <row r="162" spans="1:22" x14ac:dyDescent="0.3">
      <c r="A162" s="23">
        <v>45345</v>
      </c>
      <c r="B162" s="7" t="s">
        <v>44</v>
      </c>
      <c r="C162" s="7" t="s">
        <v>56</v>
      </c>
      <c r="D162" s="7" t="s">
        <v>57</v>
      </c>
      <c r="E162" s="4">
        <v>1000</v>
      </c>
      <c r="F162" s="4" t="b">
        <v>0</v>
      </c>
      <c r="G162" s="7" t="s">
        <v>23</v>
      </c>
      <c r="H162" s="7" t="s">
        <v>41</v>
      </c>
      <c r="I162" s="7" t="s">
        <v>59</v>
      </c>
      <c r="J162" s="7" t="s">
        <v>43</v>
      </c>
      <c r="K162" s="4">
        <v>4</v>
      </c>
      <c r="L162" s="7" t="s">
        <v>49</v>
      </c>
      <c r="M162" s="7" t="s">
        <v>73</v>
      </c>
      <c r="N162" s="4" t="b">
        <v>1</v>
      </c>
      <c r="O162" s="4">
        <v>110</v>
      </c>
      <c r="P162" s="7" t="s">
        <v>50</v>
      </c>
      <c r="Q162" s="4">
        <v>9</v>
      </c>
      <c r="R162" s="4">
        <v>2</v>
      </c>
      <c r="S162" s="4">
        <v>2153</v>
      </c>
      <c r="T162" s="8" t="s">
        <v>51</v>
      </c>
      <c r="U162" t="str">
        <f>IF(OR(E162&lt;'Q1'!$E$13,E162&gt;'Q1'!$E$14),"Outliers","Not an Outliers")</f>
        <v>Not an Outliers</v>
      </c>
      <c r="V162" t="str">
        <f t="shared" si="2"/>
        <v>Weekday</v>
      </c>
    </row>
    <row r="163" spans="1:22" x14ac:dyDescent="0.3">
      <c r="A163" s="24">
        <v>45345</v>
      </c>
      <c r="B163" s="9" t="s">
        <v>62</v>
      </c>
      <c r="C163" s="9" t="s">
        <v>32</v>
      </c>
      <c r="D163" s="9" t="s">
        <v>46</v>
      </c>
      <c r="E163" s="5">
        <v>2991</v>
      </c>
      <c r="F163" s="5" t="b">
        <v>1</v>
      </c>
      <c r="G163" s="9" t="s">
        <v>40</v>
      </c>
      <c r="H163" s="9" t="s">
        <v>35</v>
      </c>
      <c r="I163" s="9" t="s">
        <v>59</v>
      </c>
      <c r="J163" s="9" t="s">
        <v>54</v>
      </c>
      <c r="K163" s="5">
        <v>3</v>
      </c>
      <c r="L163" s="9" t="s">
        <v>36</v>
      </c>
      <c r="M163" s="9" t="s">
        <v>73</v>
      </c>
      <c r="N163" s="5" t="b">
        <v>1</v>
      </c>
      <c r="O163" s="5">
        <v>61</v>
      </c>
      <c r="P163" s="9" t="s">
        <v>63</v>
      </c>
      <c r="Q163" s="5">
        <v>9</v>
      </c>
      <c r="R163" s="5">
        <v>1</v>
      </c>
      <c r="S163" s="5">
        <v>1621</v>
      </c>
      <c r="T163" s="10" t="s">
        <v>38</v>
      </c>
      <c r="U163" t="str">
        <f>IF(OR(E163&lt;'Q1'!$E$13,E163&gt;'Q1'!$E$14),"Outliers","Not an Outliers")</f>
        <v>Not an Outliers</v>
      </c>
      <c r="V163" t="str">
        <f t="shared" si="2"/>
        <v>Weekday</v>
      </c>
    </row>
    <row r="164" spans="1:22" x14ac:dyDescent="0.3">
      <c r="A164" s="23">
        <v>45345</v>
      </c>
      <c r="B164" s="7" t="s">
        <v>76</v>
      </c>
      <c r="C164" s="7" t="s">
        <v>32</v>
      </c>
      <c r="D164" s="7" t="s">
        <v>33</v>
      </c>
      <c r="E164" s="4">
        <v>4880</v>
      </c>
      <c r="F164" s="4" t="b">
        <v>0</v>
      </c>
      <c r="G164" s="7" t="s">
        <v>34</v>
      </c>
      <c r="H164" s="7" t="s">
        <v>70</v>
      </c>
      <c r="I164" s="7" t="s">
        <v>25</v>
      </c>
      <c r="J164" s="7" t="s">
        <v>48</v>
      </c>
      <c r="K164" s="4">
        <v>3</v>
      </c>
      <c r="L164" s="7" t="s">
        <v>49</v>
      </c>
      <c r="M164" s="7" t="s">
        <v>28</v>
      </c>
      <c r="N164" s="4" t="b">
        <v>1</v>
      </c>
      <c r="O164" s="4">
        <v>61</v>
      </c>
      <c r="P164" s="7" t="s">
        <v>29</v>
      </c>
      <c r="Q164" s="4">
        <v>7</v>
      </c>
      <c r="R164" s="4">
        <v>2</v>
      </c>
      <c r="S164" s="4">
        <v>2298</v>
      </c>
      <c r="T164" s="8" t="s">
        <v>30</v>
      </c>
      <c r="U164" t="str">
        <f>IF(OR(E164&lt;'Q1'!$E$13,E164&gt;'Q1'!$E$14),"Outliers","Not an Outliers")</f>
        <v>Not an Outliers</v>
      </c>
      <c r="V164" t="str">
        <f t="shared" si="2"/>
        <v>Weekday</v>
      </c>
    </row>
    <row r="165" spans="1:22" x14ac:dyDescent="0.3">
      <c r="A165" s="24">
        <v>45345</v>
      </c>
      <c r="B165" s="9" t="s">
        <v>76</v>
      </c>
      <c r="C165" s="9" t="s">
        <v>56</v>
      </c>
      <c r="D165" s="9" t="s">
        <v>57</v>
      </c>
      <c r="E165" s="5">
        <v>1000</v>
      </c>
      <c r="F165" s="5" t="b">
        <v>1</v>
      </c>
      <c r="G165" s="9" t="s">
        <v>40</v>
      </c>
      <c r="H165" s="9" t="s">
        <v>35</v>
      </c>
      <c r="I165" s="9" t="s">
        <v>47</v>
      </c>
      <c r="J165" s="9" t="s">
        <v>26</v>
      </c>
      <c r="K165" s="5">
        <v>3</v>
      </c>
      <c r="L165" s="9" t="s">
        <v>36</v>
      </c>
      <c r="M165" s="9" t="s">
        <v>58</v>
      </c>
      <c r="N165" s="5" t="b">
        <v>1</v>
      </c>
      <c r="O165" s="5">
        <v>29</v>
      </c>
      <c r="P165" s="9" t="s">
        <v>37</v>
      </c>
      <c r="Q165" s="5">
        <v>7</v>
      </c>
      <c r="R165" s="5">
        <v>3</v>
      </c>
      <c r="S165" s="5">
        <v>1938</v>
      </c>
      <c r="T165" s="10" t="s">
        <v>30</v>
      </c>
      <c r="U165" t="str">
        <f>IF(OR(E165&lt;'Q1'!$E$13,E165&gt;'Q1'!$E$14),"Outliers","Not an Outliers")</f>
        <v>Not an Outliers</v>
      </c>
      <c r="V165" t="str">
        <f t="shared" si="2"/>
        <v>Weekday</v>
      </c>
    </row>
    <row r="166" spans="1:22" x14ac:dyDescent="0.3">
      <c r="A166" s="23">
        <v>45346</v>
      </c>
      <c r="B166" s="7" t="s">
        <v>62</v>
      </c>
      <c r="C166" s="7" t="s">
        <v>60</v>
      </c>
      <c r="D166" s="7" t="s">
        <v>53</v>
      </c>
      <c r="E166" s="4">
        <v>7194</v>
      </c>
      <c r="F166" s="4" t="b">
        <v>1</v>
      </c>
      <c r="G166" s="7" t="s">
        <v>34</v>
      </c>
      <c r="H166" s="7" t="s">
        <v>35</v>
      </c>
      <c r="I166" s="7" t="s">
        <v>47</v>
      </c>
      <c r="J166" s="7" t="s">
        <v>54</v>
      </c>
      <c r="K166" s="4">
        <v>0</v>
      </c>
      <c r="L166" s="7" t="s">
        <v>27</v>
      </c>
      <c r="M166" s="7" t="s">
        <v>58</v>
      </c>
      <c r="N166" s="4" t="b">
        <v>0</v>
      </c>
      <c r="O166" s="4">
        <v>111</v>
      </c>
      <c r="P166" s="7" t="s">
        <v>50</v>
      </c>
      <c r="Q166" s="4">
        <v>7</v>
      </c>
      <c r="R166" s="4">
        <v>1</v>
      </c>
      <c r="S166" s="4">
        <v>3255</v>
      </c>
      <c r="T166" s="8" t="s">
        <v>38</v>
      </c>
      <c r="U166" t="str">
        <f>IF(OR(E166&lt;'Q1'!$E$13,E166&gt;'Q1'!$E$14),"Outliers","Not an Outliers")</f>
        <v>Not an Outliers</v>
      </c>
      <c r="V166" t="str">
        <f t="shared" si="2"/>
        <v>Weekend</v>
      </c>
    </row>
    <row r="167" spans="1:22" x14ac:dyDescent="0.3">
      <c r="A167" s="24">
        <v>45346</v>
      </c>
      <c r="B167" s="9" t="s">
        <v>39</v>
      </c>
      <c r="C167" s="9" t="s">
        <v>60</v>
      </c>
      <c r="D167" s="9" t="s">
        <v>53</v>
      </c>
      <c r="E167" s="5">
        <v>2107</v>
      </c>
      <c r="F167" s="5" t="b">
        <v>0</v>
      </c>
      <c r="G167" s="9" t="s">
        <v>64</v>
      </c>
      <c r="H167" s="9" t="s">
        <v>24</v>
      </c>
      <c r="I167" s="9" t="s">
        <v>47</v>
      </c>
      <c r="J167" s="9" t="s">
        <v>48</v>
      </c>
      <c r="K167" s="5">
        <v>3</v>
      </c>
      <c r="L167" s="9" t="s">
        <v>49</v>
      </c>
      <c r="M167" s="9" t="s">
        <v>28</v>
      </c>
      <c r="N167" s="5" t="b">
        <v>0</v>
      </c>
      <c r="O167" s="5">
        <v>96</v>
      </c>
      <c r="P167" s="9" t="s">
        <v>29</v>
      </c>
      <c r="Q167" s="5">
        <v>10</v>
      </c>
      <c r="R167" s="5">
        <v>1</v>
      </c>
      <c r="S167" s="5">
        <v>3712</v>
      </c>
      <c r="T167" s="10" t="s">
        <v>30</v>
      </c>
      <c r="U167" t="str">
        <f>IF(OR(E167&lt;'Q1'!$E$13,E167&gt;'Q1'!$E$14),"Outliers","Not an Outliers")</f>
        <v>Not an Outliers</v>
      </c>
      <c r="V167" t="str">
        <f t="shared" si="2"/>
        <v>Weekend</v>
      </c>
    </row>
    <row r="168" spans="1:22" x14ac:dyDescent="0.3">
      <c r="A168" s="23">
        <v>45347</v>
      </c>
      <c r="B168" s="7" t="s">
        <v>52</v>
      </c>
      <c r="C168" s="7" t="s">
        <v>32</v>
      </c>
      <c r="D168" s="7" t="s">
        <v>57</v>
      </c>
      <c r="E168" s="4">
        <v>1000</v>
      </c>
      <c r="F168" s="4" t="b">
        <v>0</v>
      </c>
      <c r="G168" s="7" t="s">
        <v>34</v>
      </c>
      <c r="H168" s="7" t="s">
        <v>24</v>
      </c>
      <c r="I168" s="7" t="s">
        <v>42</v>
      </c>
      <c r="J168" s="7" t="s">
        <v>26</v>
      </c>
      <c r="K168" s="4">
        <v>2</v>
      </c>
      <c r="L168" s="7" t="s">
        <v>49</v>
      </c>
      <c r="M168" s="7" t="s">
        <v>66</v>
      </c>
      <c r="N168" s="4" t="b">
        <v>0</v>
      </c>
      <c r="O168" s="4">
        <v>18</v>
      </c>
      <c r="P168" s="7" t="s">
        <v>63</v>
      </c>
      <c r="Q168" s="4">
        <v>6</v>
      </c>
      <c r="R168" s="4">
        <v>3</v>
      </c>
      <c r="S168" s="4">
        <v>4787</v>
      </c>
      <c r="T168" s="8" t="s">
        <v>51</v>
      </c>
      <c r="U168" t="str">
        <f>IF(OR(E168&lt;'Q1'!$E$13,E168&gt;'Q1'!$E$14),"Outliers","Not an Outliers")</f>
        <v>Not an Outliers</v>
      </c>
      <c r="V168" t="str">
        <f t="shared" si="2"/>
        <v>Weekend</v>
      </c>
    </row>
    <row r="169" spans="1:22" x14ac:dyDescent="0.3">
      <c r="A169" s="24">
        <v>45347</v>
      </c>
      <c r="B169" s="9" t="s">
        <v>39</v>
      </c>
      <c r="C169" s="9" t="s">
        <v>21</v>
      </c>
      <c r="D169" s="9" t="s">
        <v>33</v>
      </c>
      <c r="E169" s="5">
        <v>1991</v>
      </c>
      <c r="F169" s="5" t="b">
        <v>0</v>
      </c>
      <c r="G169" s="9" t="s">
        <v>40</v>
      </c>
      <c r="H169" s="9" t="s">
        <v>70</v>
      </c>
      <c r="I169" s="9" t="s">
        <v>47</v>
      </c>
      <c r="J169" s="9" t="s">
        <v>26</v>
      </c>
      <c r="K169" s="5">
        <v>0</v>
      </c>
      <c r="L169" s="9" t="s">
        <v>49</v>
      </c>
      <c r="M169" s="9" t="s">
        <v>73</v>
      </c>
      <c r="N169" s="5" t="b">
        <v>0</v>
      </c>
      <c r="O169" s="5">
        <v>87</v>
      </c>
      <c r="P169" s="9" t="s">
        <v>29</v>
      </c>
      <c r="Q169" s="5">
        <v>9</v>
      </c>
      <c r="R169" s="5">
        <v>3</v>
      </c>
      <c r="S169" s="5">
        <v>629</v>
      </c>
      <c r="T169" s="10" t="s">
        <v>38</v>
      </c>
      <c r="U169" t="str">
        <f>IF(OR(E169&lt;'Q1'!$E$13,E169&gt;'Q1'!$E$14),"Outliers","Not an Outliers")</f>
        <v>Not an Outliers</v>
      </c>
      <c r="V169" t="str">
        <f t="shared" si="2"/>
        <v>Weekend</v>
      </c>
    </row>
    <row r="170" spans="1:22" x14ac:dyDescent="0.3">
      <c r="A170" s="23">
        <v>45348</v>
      </c>
      <c r="B170" s="7" t="s">
        <v>62</v>
      </c>
      <c r="C170" s="7" t="s">
        <v>60</v>
      </c>
      <c r="D170" s="7" t="s">
        <v>61</v>
      </c>
      <c r="E170" s="4">
        <v>1000</v>
      </c>
      <c r="F170" s="4" t="b">
        <v>0</v>
      </c>
      <c r="G170" s="7" t="s">
        <v>34</v>
      </c>
      <c r="H170" s="7" t="s">
        <v>24</v>
      </c>
      <c r="I170" s="7" t="s">
        <v>59</v>
      </c>
      <c r="J170" s="7" t="s">
        <v>26</v>
      </c>
      <c r="K170" s="4">
        <v>2</v>
      </c>
      <c r="L170" s="7" t="s">
        <v>36</v>
      </c>
      <c r="M170" s="7" t="s">
        <v>73</v>
      </c>
      <c r="N170" s="4" t="b">
        <v>0</v>
      </c>
      <c r="O170" s="4">
        <v>95</v>
      </c>
      <c r="P170" s="7" t="s">
        <v>37</v>
      </c>
      <c r="Q170" s="4">
        <v>4</v>
      </c>
      <c r="R170" s="4">
        <v>1</v>
      </c>
      <c r="S170" s="4">
        <v>1997</v>
      </c>
      <c r="T170" s="8" t="s">
        <v>38</v>
      </c>
      <c r="U170" t="str">
        <f>IF(OR(E170&lt;'Q1'!$E$13,E170&gt;'Q1'!$E$14),"Outliers","Not an Outliers")</f>
        <v>Not an Outliers</v>
      </c>
      <c r="V170" t="str">
        <f t="shared" si="2"/>
        <v>Weekday</v>
      </c>
    </row>
    <row r="171" spans="1:22" x14ac:dyDescent="0.3">
      <c r="A171" s="24">
        <v>45348</v>
      </c>
      <c r="B171" s="9" t="s">
        <v>76</v>
      </c>
      <c r="C171" s="9" t="s">
        <v>45</v>
      </c>
      <c r="D171" s="9" t="s">
        <v>57</v>
      </c>
      <c r="E171" s="5">
        <v>1000</v>
      </c>
      <c r="F171" s="5" t="b">
        <v>1</v>
      </c>
      <c r="G171" s="9" t="s">
        <v>65</v>
      </c>
      <c r="H171" s="9" t="s">
        <v>35</v>
      </c>
      <c r="I171" s="9" t="s">
        <v>42</v>
      </c>
      <c r="J171" s="9" t="s">
        <v>54</v>
      </c>
      <c r="K171" s="5">
        <v>2</v>
      </c>
      <c r="L171" s="9" t="s">
        <v>49</v>
      </c>
      <c r="M171" s="9" t="s">
        <v>66</v>
      </c>
      <c r="N171" s="5" t="b">
        <v>1</v>
      </c>
      <c r="O171" s="5">
        <v>106</v>
      </c>
      <c r="P171" s="9" t="s">
        <v>50</v>
      </c>
      <c r="Q171" s="5">
        <v>2</v>
      </c>
      <c r="R171" s="5">
        <v>1</v>
      </c>
      <c r="S171" s="5">
        <v>2223</v>
      </c>
      <c r="T171" s="10" t="s">
        <v>38</v>
      </c>
      <c r="U171" t="str">
        <f>IF(OR(E171&lt;'Q1'!$E$13,E171&gt;'Q1'!$E$14),"Outliers","Not an Outliers")</f>
        <v>Not an Outliers</v>
      </c>
      <c r="V171" t="str">
        <f t="shared" si="2"/>
        <v>Weekday</v>
      </c>
    </row>
    <row r="172" spans="1:22" x14ac:dyDescent="0.3">
      <c r="A172" s="23">
        <v>45348</v>
      </c>
      <c r="B172" s="7" t="s">
        <v>39</v>
      </c>
      <c r="C172" s="7" t="s">
        <v>32</v>
      </c>
      <c r="D172" s="7" t="s">
        <v>33</v>
      </c>
      <c r="E172" s="4">
        <v>3924</v>
      </c>
      <c r="F172" s="4" t="b">
        <v>1</v>
      </c>
      <c r="G172" s="7" t="s">
        <v>23</v>
      </c>
      <c r="H172" s="7" t="s">
        <v>70</v>
      </c>
      <c r="I172" s="7" t="s">
        <v>59</v>
      </c>
      <c r="J172" s="7" t="s">
        <v>43</v>
      </c>
      <c r="K172" s="4">
        <v>5</v>
      </c>
      <c r="L172" s="7" t="s">
        <v>27</v>
      </c>
      <c r="M172" s="7" t="s">
        <v>28</v>
      </c>
      <c r="N172" s="4" t="b">
        <v>0</v>
      </c>
      <c r="O172" s="4">
        <v>61</v>
      </c>
      <c r="P172" s="7" t="s">
        <v>67</v>
      </c>
      <c r="Q172" s="4">
        <v>2</v>
      </c>
      <c r="R172" s="4">
        <v>2</v>
      </c>
      <c r="S172" s="4">
        <v>1984</v>
      </c>
      <c r="T172" s="8" t="s">
        <v>38</v>
      </c>
      <c r="U172" t="str">
        <f>IF(OR(E172&lt;'Q1'!$E$13,E172&gt;'Q1'!$E$14),"Outliers","Not an Outliers")</f>
        <v>Not an Outliers</v>
      </c>
      <c r="V172" t="str">
        <f t="shared" si="2"/>
        <v>Weekday</v>
      </c>
    </row>
    <row r="173" spans="1:22" x14ac:dyDescent="0.3">
      <c r="A173" s="24">
        <v>45349</v>
      </c>
      <c r="B173" s="9" t="s">
        <v>44</v>
      </c>
      <c r="C173" s="9" t="s">
        <v>45</v>
      </c>
      <c r="D173" s="9" t="s">
        <v>57</v>
      </c>
      <c r="E173" s="5">
        <v>1000</v>
      </c>
      <c r="F173" s="5" t="b">
        <v>0</v>
      </c>
      <c r="G173" s="9" t="s">
        <v>64</v>
      </c>
      <c r="H173" s="9" t="s">
        <v>70</v>
      </c>
      <c r="I173" s="9" t="s">
        <v>42</v>
      </c>
      <c r="J173" s="9" t="s">
        <v>48</v>
      </c>
      <c r="K173" s="5">
        <v>0</v>
      </c>
      <c r="L173" s="9" t="s">
        <v>49</v>
      </c>
      <c r="M173" s="9" t="s">
        <v>66</v>
      </c>
      <c r="N173" s="5" t="b">
        <v>1</v>
      </c>
      <c r="O173" s="5">
        <v>114</v>
      </c>
      <c r="P173" s="9" t="s">
        <v>50</v>
      </c>
      <c r="Q173" s="5">
        <v>7</v>
      </c>
      <c r="R173" s="5">
        <v>1</v>
      </c>
      <c r="S173" s="5">
        <v>4217</v>
      </c>
      <c r="T173" s="10" t="s">
        <v>30</v>
      </c>
      <c r="U173" t="str">
        <f>IF(OR(E173&lt;'Q1'!$E$13,E173&gt;'Q1'!$E$14),"Outliers","Not an Outliers")</f>
        <v>Not an Outliers</v>
      </c>
      <c r="V173" t="str">
        <f t="shared" si="2"/>
        <v>Weekday</v>
      </c>
    </row>
    <row r="174" spans="1:22" x14ac:dyDescent="0.3">
      <c r="A174" s="23">
        <v>45349</v>
      </c>
      <c r="B174" s="7" t="s">
        <v>55</v>
      </c>
      <c r="C174" s="7" t="s">
        <v>60</v>
      </c>
      <c r="D174" s="7" t="s">
        <v>46</v>
      </c>
      <c r="E174" s="4">
        <v>2113</v>
      </c>
      <c r="F174" s="4" t="b">
        <v>1</v>
      </c>
      <c r="G174" s="7" t="s">
        <v>40</v>
      </c>
      <c r="H174" s="7" t="s">
        <v>35</v>
      </c>
      <c r="I174" s="7" t="s">
        <v>47</v>
      </c>
      <c r="J174" s="7" t="s">
        <v>26</v>
      </c>
      <c r="K174" s="4">
        <v>3</v>
      </c>
      <c r="L174" s="7" t="s">
        <v>36</v>
      </c>
      <c r="M174" s="7" t="s">
        <v>28</v>
      </c>
      <c r="N174" s="4" t="b">
        <v>1</v>
      </c>
      <c r="O174" s="4">
        <v>106</v>
      </c>
      <c r="P174" s="7" t="s">
        <v>37</v>
      </c>
      <c r="Q174" s="4">
        <v>4</v>
      </c>
      <c r="R174" s="4">
        <v>1</v>
      </c>
      <c r="S174" s="4">
        <v>1283</v>
      </c>
      <c r="T174" s="8" t="s">
        <v>30</v>
      </c>
      <c r="U174" t="str">
        <f>IF(OR(E174&lt;'Q1'!$E$13,E174&gt;'Q1'!$E$14),"Outliers","Not an Outliers")</f>
        <v>Not an Outliers</v>
      </c>
      <c r="V174" t="str">
        <f t="shared" si="2"/>
        <v>Weekday</v>
      </c>
    </row>
    <row r="175" spans="1:22" x14ac:dyDescent="0.3">
      <c r="A175" s="24">
        <v>45350</v>
      </c>
      <c r="B175" s="9" t="s">
        <v>52</v>
      </c>
      <c r="C175" s="9" t="s">
        <v>45</v>
      </c>
      <c r="D175" s="9" t="s">
        <v>53</v>
      </c>
      <c r="E175" s="5">
        <v>6020</v>
      </c>
      <c r="F175" s="5" t="b">
        <v>0</v>
      </c>
      <c r="G175" s="9" t="s">
        <v>23</v>
      </c>
      <c r="H175" s="9" t="s">
        <v>24</v>
      </c>
      <c r="I175" s="9" t="s">
        <v>42</v>
      </c>
      <c r="J175" s="9" t="s">
        <v>54</v>
      </c>
      <c r="K175" s="5">
        <v>2</v>
      </c>
      <c r="L175" s="9" t="s">
        <v>49</v>
      </c>
      <c r="M175" s="9" t="s">
        <v>28</v>
      </c>
      <c r="N175" s="5" t="b">
        <v>0</v>
      </c>
      <c r="O175" s="5">
        <v>77</v>
      </c>
      <c r="P175" s="9" t="s">
        <v>37</v>
      </c>
      <c r="Q175" s="5">
        <v>4</v>
      </c>
      <c r="R175" s="5">
        <v>3</v>
      </c>
      <c r="S175" s="5">
        <v>1489</v>
      </c>
      <c r="T175" s="10" t="s">
        <v>51</v>
      </c>
      <c r="U175" t="str">
        <f>IF(OR(E175&lt;'Q1'!$E$13,E175&gt;'Q1'!$E$14),"Outliers","Not an Outliers")</f>
        <v>Not an Outliers</v>
      </c>
      <c r="V175" t="str">
        <f t="shared" si="2"/>
        <v>Weekday</v>
      </c>
    </row>
    <row r="176" spans="1:22" x14ac:dyDescent="0.3">
      <c r="A176" s="23">
        <v>45350</v>
      </c>
      <c r="B176" s="7" t="s">
        <v>52</v>
      </c>
      <c r="C176" s="7" t="s">
        <v>56</v>
      </c>
      <c r="D176" s="7" t="s">
        <v>57</v>
      </c>
      <c r="E176" s="4">
        <v>1000</v>
      </c>
      <c r="F176" s="4" t="b">
        <v>0</v>
      </c>
      <c r="G176" s="7" t="s">
        <v>65</v>
      </c>
      <c r="H176" s="7" t="s">
        <v>35</v>
      </c>
      <c r="I176" s="7" t="s">
        <v>47</v>
      </c>
      <c r="J176" s="7" t="s">
        <v>26</v>
      </c>
      <c r="K176" s="4">
        <v>3</v>
      </c>
      <c r="L176" s="7" t="s">
        <v>27</v>
      </c>
      <c r="M176" s="7" t="s">
        <v>28</v>
      </c>
      <c r="N176" s="4" t="b">
        <v>1</v>
      </c>
      <c r="O176" s="4">
        <v>78</v>
      </c>
      <c r="P176" s="7" t="s">
        <v>67</v>
      </c>
      <c r="Q176" s="4">
        <v>7</v>
      </c>
      <c r="R176" s="4">
        <v>3</v>
      </c>
      <c r="S176" s="4">
        <v>723</v>
      </c>
      <c r="T176" s="8" t="s">
        <v>51</v>
      </c>
      <c r="U176" t="str">
        <f>IF(OR(E176&lt;'Q1'!$E$13,E176&gt;'Q1'!$E$14),"Outliers","Not an Outliers")</f>
        <v>Not an Outliers</v>
      </c>
      <c r="V176" t="str">
        <f t="shared" si="2"/>
        <v>Weekday</v>
      </c>
    </row>
    <row r="177" spans="1:22" x14ac:dyDescent="0.3">
      <c r="A177" s="24">
        <v>45350</v>
      </c>
      <c r="B177" s="9" t="s">
        <v>31</v>
      </c>
      <c r="C177" s="9" t="s">
        <v>56</v>
      </c>
      <c r="D177" s="9" t="s">
        <v>57</v>
      </c>
      <c r="E177" s="5">
        <v>1000</v>
      </c>
      <c r="F177" s="5" t="b">
        <v>1</v>
      </c>
      <c r="G177" s="9" t="s">
        <v>65</v>
      </c>
      <c r="H177" s="9" t="s">
        <v>41</v>
      </c>
      <c r="I177" s="9" t="s">
        <v>47</v>
      </c>
      <c r="J177" s="9" t="s">
        <v>54</v>
      </c>
      <c r="K177" s="5">
        <v>3</v>
      </c>
      <c r="L177" s="9" t="s">
        <v>49</v>
      </c>
      <c r="M177" s="9" t="s">
        <v>28</v>
      </c>
      <c r="N177" s="5" t="b">
        <v>0</v>
      </c>
      <c r="O177" s="5">
        <v>91</v>
      </c>
      <c r="P177" s="9" t="s">
        <v>63</v>
      </c>
      <c r="Q177" s="5">
        <v>9</v>
      </c>
      <c r="R177" s="5">
        <v>3</v>
      </c>
      <c r="S177" s="5">
        <v>593</v>
      </c>
      <c r="T177" s="10" t="s">
        <v>51</v>
      </c>
      <c r="U177" t="str">
        <f>IF(OR(E177&lt;'Q1'!$E$13,E177&gt;'Q1'!$E$14),"Outliers","Not an Outliers")</f>
        <v>Not an Outliers</v>
      </c>
      <c r="V177" t="str">
        <f t="shared" si="2"/>
        <v>Weekday</v>
      </c>
    </row>
    <row r="178" spans="1:22" x14ac:dyDescent="0.3">
      <c r="A178" s="23">
        <v>45352</v>
      </c>
      <c r="B178" s="7" t="s">
        <v>44</v>
      </c>
      <c r="C178" s="7" t="s">
        <v>45</v>
      </c>
      <c r="D178" s="7" t="s">
        <v>57</v>
      </c>
      <c r="E178" s="4">
        <v>1000</v>
      </c>
      <c r="F178" s="4" t="b">
        <v>0</v>
      </c>
      <c r="G178" s="7" t="s">
        <v>23</v>
      </c>
      <c r="H178" s="7" t="s">
        <v>70</v>
      </c>
      <c r="I178" s="7" t="s">
        <v>25</v>
      </c>
      <c r="J178" s="7" t="s">
        <v>54</v>
      </c>
      <c r="K178" s="4">
        <v>3</v>
      </c>
      <c r="L178" s="7" t="s">
        <v>27</v>
      </c>
      <c r="M178" s="7" t="s">
        <v>28</v>
      </c>
      <c r="N178" s="4" t="b">
        <v>1</v>
      </c>
      <c r="O178" s="4">
        <v>78</v>
      </c>
      <c r="P178" s="7" t="s">
        <v>29</v>
      </c>
      <c r="Q178" s="4">
        <v>5</v>
      </c>
      <c r="R178" s="4">
        <v>1</v>
      </c>
      <c r="S178" s="4">
        <v>1154</v>
      </c>
      <c r="T178" s="8" t="s">
        <v>51</v>
      </c>
      <c r="U178" t="str">
        <f>IF(OR(E178&lt;'Q1'!$E$13,E178&gt;'Q1'!$E$14),"Outliers","Not an Outliers")</f>
        <v>Not an Outliers</v>
      </c>
      <c r="V178" t="str">
        <f t="shared" si="2"/>
        <v>Weekday</v>
      </c>
    </row>
    <row r="179" spans="1:22" x14ac:dyDescent="0.3">
      <c r="A179" s="24">
        <v>45352</v>
      </c>
      <c r="B179" s="9" t="s">
        <v>68</v>
      </c>
      <c r="C179" s="9" t="s">
        <v>21</v>
      </c>
      <c r="D179" s="9" t="s">
        <v>46</v>
      </c>
      <c r="E179" s="5">
        <v>2370</v>
      </c>
      <c r="F179" s="5" t="b">
        <v>0</v>
      </c>
      <c r="G179" s="9" t="s">
        <v>65</v>
      </c>
      <c r="H179" s="9" t="s">
        <v>35</v>
      </c>
      <c r="I179" s="9" t="s">
        <v>42</v>
      </c>
      <c r="J179" s="9" t="s">
        <v>26</v>
      </c>
      <c r="K179" s="5">
        <v>0</v>
      </c>
      <c r="L179" s="9" t="s">
        <v>49</v>
      </c>
      <c r="M179" s="9" t="s">
        <v>66</v>
      </c>
      <c r="N179" s="5" t="b">
        <v>1</v>
      </c>
      <c r="O179" s="5">
        <v>60</v>
      </c>
      <c r="P179" s="9" t="s">
        <v>37</v>
      </c>
      <c r="Q179" s="5">
        <v>7</v>
      </c>
      <c r="R179" s="5">
        <v>1</v>
      </c>
      <c r="S179" s="5">
        <v>3860</v>
      </c>
      <c r="T179" s="10" t="s">
        <v>30</v>
      </c>
      <c r="U179" t="str">
        <f>IF(OR(E179&lt;'Q1'!$E$13,E179&gt;'Q1'!$E$14),"Outliers","Not an Outliers")</f>
        <v>Not an Outliers</v>
      </c>
      <c r="V179" t="str">
        <f t="shared" si="2"/>
        <v>Weekday</v>
      </c>
    </row>
    <row r="180" spans="1:22" x14ac:dyDescent="0.3">
      <c r="A180" s="23">
        <v>45353</v>
      </c>
      <c r="B180" s="7" t="s">
        <v>75</v>
      </c>
      <c r="C180" s="7" t="s">
        <v>21</v>
      </c>
      <c r="D180" s="7" t="s">
        <v>33</v>
      </c>
      <c r="E180" s="4">
        <v>4558</v>
      </c>
      <c r="F180" s="4" t="b">
        <v>0</v>
      </c>
      <c r="G180" s="7" t="s">
        <v>40</v>
      </c>
      <c r="H180" s="7" t="s">
        <v>24</v>
      </c>
      <c r="I180" s="7" t="s">
        <v>25</v>
      </c>
      <c r="J180" s="7" t="s">
        <v>26</v>
      </c>
      <c r="K180" s="4">
        <v>0</v>
      </c>
      <c r="L180" s="7" t="s">
        <v>27</v>
      </c>
      <c r="M180" s="7" t="s">
        <v>73</v>
      </c>
      <c r="N180" s="4" t="b">
        <v>0</v>
      </c>
      <c r="O180" s="4">
        <v>20</v>
      </c>
      <c r="P180" s="7" t="s">
        <v>37</v>
      </c>
      <c r="Q180" s="4">
        <v>2</v>
      </c>
      <c r="R180" s="4">
        <v>3</v>
      </c>
      <c r="S180" s="4">
        <v>4513</v>
      </c>
      <c r="T180" s="8" t="s">
        <v>38</v>
      </c>
      <c r="U180" t="str">
        <f>IF(OR(E180&lt;'Q1'!$E$13,E180&gt;'Q1'!$E$14),"Outliers","Not an Outliers")</f>
        <v>Not an Outliers</v>
      </c>
      <c r="V180" t="str">
        <f t="shared" si="2"/>
        <v>Weekend</v>
      </c>
    </row>
    <row r="181" spans="1:22" x14ac:dyDescent="0.3">
      <c r="A181" s="24">
        <v>45354</v>
      </c>
      <c r="B181" s="9" t="s">
        <v>39</v>
      </c>
      <c r="C181" s="9" t="s">
        <v>56</v>
      </c>
      <c r="D181" s="9" t="s">
        <v>57</v>
      </c>
      <c r="E181" s="5">
        <v>1000</v>
      </c>
      <c r="F181" s="5" t="b">
        <v>0</v>
      </c>
      <c r="G181" s="9" t="s">
        <v>40</v>
      </c>
      <c r="H181" s="9" t="s">
        <v>70</v>
      </c>
      <c r="I181" s="9" t="s">
        <v>59</v>
      </c>
      <c r="J181" s="9" t="s">
        <v>54</v>
      </c>
      <c r="K181" s="5">
        <v>4</v>
      </c>
      <c r="L181" s="9" t="s">
        <v>36</v>
      </c>
      <c r="M181" s="9" t="s">
        <v>28</v>
      </c>
      <c r="N181" s="5" t="b">
        <v>1</v>
      </c>
      <c r="O181" s="5">
        <v>14</v>
      </c>
      <c r="P181" s="9" t="s">
        <v>63</v>
      </c>
      <c r="Q181" s="5">
        <v>7</v>
      </c>
      <c r="R181" s="5">
        <v>3</v>
      </c>
      <c r="S181" s="5">
        <v>4730</v>
      </c>
      <c r="T181" s="10" t="s">
        <v>38</v>
      </c>
      <c r="U181" t="str">
        <f>IF(OR(E181&lt;'Q1'!$E$13,E181&gt;'Q1'!$E$14),"Outliers","Not an Outliers")</f>
        <v>Not an Outliers</v>
      </c>
      <c r="V181" t="str">
        <f t="shared" si="2"/>
        <v>Weekend</v>
      </c>
    </row>
    <row r="182" spans="1:22" x14ac:dyDescent="0.3">
      <c r="A182" s="23">
        <v>45354</v>
      </c>
      <c r="B182" s="7" t="s">
        <v>72</v>
      </c>
      <c r="C182" s="7" t="s">
        <v>32</v>
      </c>
      <c r="D182" s="7" t="s">
        <v>46</v>
      </c>
      <c r="E182" s="4">
        <v>3940</v>
      </c>
      <c r="F182" s="4" t="b">
        <v>1</v>
      </c>
      <c r="G182" s="7" t="s">
        <v>65</v>
      </c>
      <c r="H182" s="7" t="s">
        <v>35</v>
      </c>
      <c r="I182" s="7" t="s">
        <v>59</v>
      </c>
      <c r="J182" s="7" t="s">
        <v>26</v>
      </c>
      <c r="K182" s="4">
        <v>5</v>
      </c>
      <c r="L182" s="7" t="s">
        <v>27</v>
      </c>
      <c r="M182" s="7" t="s">
        <v>58</v>
      </c>
      <c r="N182" s="4" t="b">
        <v>1</v>
      </c>
      <c r="O182" s="4">
        <v>119</v>
      </c>
      <c r="P182" s="7" t="s">
        <v>67</v>
      </c>
      <c r="Q182" s="4">
        <v>1</v>
      </c>
      <c r="R182" s="4">
        <v>3</v>
      </c>
      <c r="S182" s="4">
        <v>2264</v>
      </c>
      <c r="T182" s="8" t="s">
        <v>38</v>
      </c>
      <c r="U182" t="str">
        <f>IF(OR(E182&lt;'Q1'!$E$13,E182&gt;'Q1'!$E$14),"Outliers","Not an Outliers")</f>
        <v>Not an Outliers</v>
      </c>
      <c r="V182" t="str">
        <f t="shared" si="2"/>
        <v>Weekend</v>
      </c>
    </row>
    <row r="183" spans="1:22" x14ac:dyDescent="0.3">
      <c r="A183" s="24">
        <v>45355</v>
      </c>
      <c r="B183" s="9" t="s">
        <v>71</v>
      </c>
      <c r="C183" s="9" t="s">
        <v>21</v>
      </c>
      <c r="D183" s="9" t="s">
        <v>22</v>
      </c>
      <c r="E183" s="5">
        <v>6423</v>
      </c>
      <c r="F183" s="5" t="b">
        <v>1</v>
      </c>
      <c r="G183" s="9" t="s">
        <v>34</v>
      </c>
      <c r="H183" s="9" t="s">
        <v>41</v>
      </c>
      <c r="I183" s="9" t="s">
        <v>42</v>
      </c>
      <c r="J183" s="9" t="s">
        <v>43</v>
      </c>
      <c r="K183" s="5">
        <v>5</v>
      </c>
      <c r="L183" s="9" t="s">
        <v>27</v>
      </c>
      <c r="M183" s="9" t="s">
        <v>73</v>
      </c>
      <c r="N183" s="5" t="b">
        <v>0</v>
      </c>
      <c r="O183" s="5">
        <v>103</v>
      </c>
      <c r="P183" s="9" t="s">
        <v>63</v>
      </c>
      <c r="Q183" s="5">
        <v>8</v>
      </c>
      <c r="R183" s="5">
        <v>3</v>
      </c>
      <c r="S183" s="5">
        <v>2274</v>
      </c>
      <c r="T183" s="10" t="s">
        <v>51</v>
      </c>
      <c r="U183" t="str">
        <f>IF(OR(E183&lt;'Q1'!$E$13,E183&gt;'Q1'!$E$14),"Outliers","Not an Outliers")</f>
        <v>Not an Outliers</v>
      </c>
      <c r="V183" t="str">
        <f t="shared" si="2"/>
        <v>Weekday</v>
      </c>
    </row>
    <row r="184" spans="1:22" x14ac:dyDescent="0.3">
      <c r="A184" s="23">
        <v>45355</v>
      </c>
      <c r="B184" s="7" t="s">
        <v>20</v>
      </c>
      <c r="C184" s="7" t="s">
        <v>56</v>
      </c>
      <c r="D184" s="7" t="s">
        <v>53</v>
      </c>
      <c r="E184" s="4">
        <v>6400</v>
      </c>
      <c r="F184" s="4" t="b">
        <v>0</v>
      </c>
      <c r="G184" s="7" t="s">
        <v>40</v>
      </c>
      <c r="H184" s="7" t="s">
        <v>70</v>
      </c>
      <c r="I184" s="7" t="s">
        <v>42</v>
      </c>
      <c r="J184" s="7" t="s">
        <v>54</v>
      </c>
      <c r="K184" s="4">
        <v>3</v>
      </c>
      <c r="L184" s="7" t="s">
        <v>49</v>
      </c>
      <c r="M184" s="7" t="s">
        <v>28</v>
      </c>
      <c r="N184" s="4" t="b">
        <v>1</v>
      </c>
      <c r="O184" s="4">
        <v>3</v>
      </c>
      <c r="P184" s="7" t="s">
        <v>50</v>
      </c>
      <c r="Q184" s="4">
        <v>9</v>
      </c>
      <c r="R184" s="4">
        <v>2</v>
      </c>
      <c r="S184" s="4">
        <v>4011</v>
      </c>
      <c r="T184" s="8" t="s">
        <v>51</v>
      </c>
      <c r="U184" t="str">
        <f>IF(OR(E184&lt;'Q1'!$E$13,E184&gt;'Q1'!$E$14),"Outliers","Not an Outliers")</f>
        <v>Not an Outliers</v>
      </c>
      <c r="V184" t="str">
        <f t="shared" si="2"/>
        <v>Weekday</v>
      </c>
    </row>
    <row r="185" spans="1:22" x14ac:dyDescent="0.3">
      <c r="A185" s="24">
        <v>45356</v>
      </c>
      <c r="B185" s="9" t="s">
        <v>68</v>
      </c>
      <c r="C185" s="9" t="s">
        <v>45</v>
      </c>
      <c r="D185" s="9" t="s">
        <v>22</v>
      </c>
      <c r="E185" s="5">
        <v>7583</v>
      </c>
      <c r="F185" s="5" t="b">
        <v>0</v>
      </c>
      <c r="G185" s="9" t="s">
        <v>65</v>
      </c>
      <c r="H185" s="9" t="s">
        <v>24</v>
      </c>
      <c r="I185" s="9" t="s">
        <v>59</v>
      </c>
      <c r="J185" s="9" t="s">
        <v>26</v>
      </c>
      <c r="K185" s="5">
        <v>3</v>
      </c>
      <c r="L185" s="9" t="s">
        <v>36</v>
      </c>
      <c r="M185" s="9" t="s">
        <v>28</v>
      </c>
      <c r="N185" s="5" t="b">
        <v>0</v>
      </c>
      <c r="O185" s="5">
        <v>16</v>
      </c>
      <c r="P185" s="9" t="s">
        <v>67</v>
      </c>
      <c r="Q185" s="5">
        <v>5</v>
      </c>
      <c r="R185" s="5">
        <v>2</v>
      </c>
      <c r="S185" s="5">
        <v>3499</v>
      </c>
      <c r="T185" s="10" t="s">
        <v>30</v>
      </c>
      <c r="U185" t="str">
        <f>IF(OR(E185&lt;'Q1'!$E$13,E185&gt;'Q1'!$E$14),"Outliers","Not an Outliers")</f>
        <v>Not an Outliers</v>
      </c>
      <c r="V185" t="str">
        <f t="shared" si="2"/>
        <v>Weekday</v>
      </c>
    </row>
    <row r="186" spans="1:22" x14ac:dyDescent="0.3">
      <c r="A186" s="23">
        <v>45356</v>
      </c>
      <c r="B186" s="7" t="s">
        <v>62</v>
      </c>
      <c r="C186" s="7" t="s">
        <v>45</v>
      </c>
      <c r="D186" s="7" t="s">
        <v>53</v>
      </c>
      <c r="E186" s="4">
        <v>5732</v>
      </c>
      <c r="F186" s="4" t="b">
        <v>0</v>
      </c>
      <c r="G186" s="7" t="s">
        <v>40</v>
      </c>
      <c r="H186" s="7" t="s">
        <v>24</v>
      </c>
      <c r="I186" s="7" t="s">
        <v>25</v>
      </c>
      <c r="J186" s="7" t="s">
        <v>43</v>
      </c>
      <c r="K186" s="4">
        <v>4</v>
      </c>
      <c r="L186" s="7" t="s">
        <v>49</v>
      </c>
      <c r="M186" s="7" t="s">
        <v>28</v>
      </c>
      <c r="N186" s="4" t="b">
        <v>1</v>
      </c>
      <c r="O186" s="4">
        <v>102</v>
      </c>
      <c r="P186" s="7" t="s">
        <v>63</v>
      </c>
      <c r="Q186" s="4">
        <v>6</v>
      </c>
      <c r="R186" s="4">
        <v>3</v>
      </c>
      <c r="S186" s="4">
        <v>1800</v>
      </c>
      <c r="T186" s="8" t="s">
        <v>30</v>
      </c>
      <c r="U186" t="str">
        <f>IF(OR(E186&lt;'Q1'!$E$13,E186&gt;'Q1'!$E$14),"Outliers","Not an Outliers")</f>
        <v>Not an Outliers</v>
      </c>
      <c r="V186" t="str">
        <f t="shared" si="2"/>
        <v>Weekday</v>
      </c>
    </row>
    <row r="187" spans="1:22" x14ac:dyDescent="0.3">
      <c r="A187" s="24">
        <v>45357</v>
      </c>
      <c r="B187" s="9" t="s">
        <v>77</v>
      </c>
      <c r="C187" s="9" t="s">
        <v>32</v>
      </c>
      <c r="D187" s="9" t="s">
        <v>57</v>
      </c>
      <c r="E187" s="5">
        <v>1000</v>
      </c>
      <c r="F187" s="5" t="b">
        <v>1</v>
      </c>
      <c r="G187" s="9" t="s">
        <v>40</v>
      </c>
      <c r="H187" s="9" t="s">
        <v>24</v>
      </c>
      <c r="I187" s="9" t="s">
        <v>59</v>
      </c>
      <c r="J187" s="9" t="s">
        <v>26</v>
      </c>
      <c r="K187" s="5">
        <v>2</v>
      </c>
      <c r="L187" s="9" t="s">
        <v>27</v>
      </c>
      <c r="M187" s="9" t="s">
        <v>58</v>
      </c>
      <c r="N187" s="5" t="b">
        <v>1</v>
      </c>
      <c r="O187" s="5">
        <v>102</v>
      </c>
      <c r="P187" s="9" t="s">
        <v>50</v>
      </c>
      <c r="Q187" s="5">
        <v>9</v>
      </c>
      <c r="R187" s="5">
        <v>2</v>
      </c>
      <c r="S187" s="5">
        <v>3047</v>
      </c>
      <c r="T187" s="10" t="s">
        <v>51</v>
      </c>
      <c r="U187" t="str">
        <f>IF(OR(E187&lt;'Q1'!$E$13,E187&gt;'Q1'!$E$14),"Outliers","Not an Outliers")</f>
        <v>Not an Outliers</v>
      </c>
      <c r="V187" t="str">
        <f t="shared" si="2"/>
        <v>Weekday</v>
      </c>
    </row>
    <row r="188" spans="1:22" x14ac:dyDescent="0.3">
      <c r="A188" s="23">
        <v>45357</v>
      </c>
      <c r="B188" s="7" t="s">
        <v>39</v>
      </c>
      <c r="C188" s="7" t="s">
        <v>56</v>
      </c>
      <c r="D188" s="7" t="s">
        <v>46</v>
      </c>
      <c r="E188" s="4">
        <v>1013</v>
      </c>
      <c r="F188" s="4" t="b">
        <v>1</v>
      </c>
      <c r="G188" s="7" t="s">
        <v>65</v>
      </c>
      <c r="H188" s="7" t="s">
        <v>70</v>
      </c>
      <c r="I188" s="7" t="s">
        <v>47</v>
      </c>
      <c r="J188" s="7" t="s">
        <v>48</v>
      </c>
      <c r="K188" s="4">
        <v>5</v>
      </c>
      <c r="L188" s="7" t="s">
        <v>36</v>
      </c>
      <c r="M188" s="7" t="s">
        <v>66</v>
      </c>
      <c r="N188" s="4" t="b">
        <v>1</v>
      </c>
      <c r="O188" s="4">
        <v>104</v>
      </c>
      <c r="P188" s="7" t="s">
        <v>50</v>
      </c>
      <c r="Q188" s="4">
        <v>7</v>
      </c>
      <c r="R188" s="4">
        <v>2</v>
      </c>
      <c r="S188" s="4">
        <v>4303</v>
      </c>
      <c r="T188" s="8" t="s">
        <v>38</v>
      </c>
      <c r="U188" t="str">
        <f>IF(OR(E188&lt;'Q1'!$E$13,E188&gt;'Q1'!$E$14),"Outliers","Not an Outliers")</f>
        <v>Not an Outliers</v>
      </c>
      <c r="V188" t="str">
        <f t="shared" si="2"/>
        <v>Weekday</v>
      </c>
    </row>
    <row r="189" spans="1:22" x14ac:dyDescent="0.3">
      <c r="A189" s="24">
        <v>45357</v>
      </c>
      <c r="B189" s="9" t="s">
        <v>69</v>
      </c>
      <c r="C189" s="9" t="s">
        <v>56</v>
      </c>
      <c r="D189" s="9" t="s">
        <v>46</v>
      </c>
      <c r="E189" s="5">
        <v>4849</v>
      </c>
      <c r="F189" s="5" t="b">
        <v>1</v>
      </c>
      <c r="G189" s="9" t="s">
        <v>64</v>
      </c>
      <c r="H189" s="9" t="s">
        <v>70</v>
      </c>
      <c r="I189" s="9" t="s">
        <v>42</v>
      </c>
      <c r="J189" s="9" t="s">
        <v>26</v>
      </c>
      <c r="K189" s="5">
        <v>3</v>
      </c>
      <c r="L189" s="9" t="s">
        <v>49</v>
      </c>
      <c r="M189" s="9" t="s">
        <v>28</v>
      </c>
      <c r="N189" s="5" t="b">
        <v>0</v>
      </c>
      <c r="O189" s="5">
        <v>22</v>
      </c>
      <c r="P189" s="9" t="s">
        <v>37</v>
      </c>
      <c r="Q189" s="5">
        <v>6</v>
      </c>
      <c r="R189" s="5">
        <v>2</v>
      </c>
      <c r="S189" s="5">
        <v>3840</v>
      </c>
      <c r="T189" s="10" t="s">
        <v>51</v>
      </c>
      <c r="U189" t="str">
        <f>IF(OR(E189&lt;'Q1'!$E$13,E189&gt;'Q1'!$E$14),"Outliers","Not an Outliers")</f>
        <v>Not an Outliers</v>
      </c>
      <c r="V189" t="str">
        <f t="shared" si="2"/>
        <v>Weekday</v>
      </c>
    </row>
    <row r="190" spans="1:22" x14ac:dyDescent="0.3">
      <c r="A190" s="23">
        <v>45358</v>
      </c>
      <c r="B190" s="7" t="s">
        <v>77</v>
      </c>
      <c r="C190" s="7" t="s">
        <v>21</v>
      </c>
      <c r="D190" s="7" t="s">
        <v>22</v>
      </c>
      <c r="E190" s="4">
        <v>6605</v>
      </c>
      <c r="F190" s="4" t="b">
        <v>1</v>
      </c>
      <c r="G190" s="7" t="s">
        <v>34</v>
      </c>
      <c r="H190" s="7" t="s">
        <v>35</v>
      </c>
      <c r="I190" s="7" t="s">
        <v>42</v>
      </c>
      <c r="J190" s="7" t="s">
        <v>43</v>
      </c>
      <c r="K190" s="4">
        <v>0</v>
      </c>
      <c r="L190" s="7" t="s">
        <v>49</v>
      </c>
      <c r="M190" s="7" t="s">
        <v>73</v>
      </c>
      <c r="N190" s="4" t="b">
        <v>1</v>
      </c>
      <c r="O190" s="4">
        <v>101</v>
      </c>
      <c r="P190" s="7" t="s">
        <v>67</v>
      </c>
      <c r="Q190" s="4">
        <v>2</v>
      </c>
      <c r="R190" s="4">
        <v>1</v>
      </c>
      <c r="S190" s="4">
        <v>2580</v>
      </c>
      <c r="T190" s="8" t="s">
        <v>30</v>
      </c>
      <c r="U190" t="str">
        <f>IF(OR(E190&lt;'Q1'!$E$13,E190&gt;'Q1'!$E$14),"Outliers","Not an Outliers")</f>
        <v>Not an Outliers</v>
      </c>
      <c r="V190" t="str">
        <f t="shared" si="2"/>
        <v>Weekday</v>
      </c>
    </row>
    <row r="191" spans="1:22" x14ac:dyDescent="0.3">
      <c r="A191" s="24">
        <v>45358</v>
      </c>
      <c r="B191" s="9" t="s">
        <v>39</v>
      </c>
      <c r="C191" s="9" t="s">
        <v>45</v>
      </c>
      <c r="D191" s="9" t="s">
        <v>57</v>
      </c>
      <c r="E191" s="5">
        <v>1000</v>
      </c>
      <c r="F191" s="5" t="b">
        <v>1</v>
      </c>
      <c r="G191" s="9" t="s">
        <v>65</v>
      </c>
      <c r="H191" s="9" t="s">
        <v>70</v>
      </c>
      <c r="I191" s="9" t="s">
        <v>47</v>
      </c>
      <c r="J191" s="9" t="s">
        <v>54</v>
      </c>
      <c r="K191" s="5">
        <v>3</v>
      </c>
      <c r="L191" s="9" t="s">
        <v>49</v>
      </c>
      <c r="M191" s="9" t="s">
        <v>28</v>
      </c>
      <c r="N191" s="5" t="b">
        <v>0</v>
      </c>
      <c r="O191" s="5">
        <v>24</v>
      </c>
      <c r="P191" s="9" t="s">
        <v>50</v>
      </c>
      <c r="Q191" s="5">
        <v>1</v>
      </c>
      <c r="R191" s="5">
        <v>1</v>
      </c>
      <c r="S191" s="5">
        <v>1220</v>
      </c>
      <c r="T191" s="10" t="s">
        <v>30</v>
      </c>
      <c r="U191" t="str">
        <f>IF(OR(E191&lt;'Q1'!$E$13,E191&gt;'Q1'!$E$14),"Outliers","Not an Outliers")</f>
        <v>Not an Outliers</v>
      </c>
      <c r="V191" t="str">
        <f t="shared" si="2"/>
        <v>Weekday</v>
      </c>
    </row>
    <row r="192" spans="1:22" x14ac:dyDescent="0.3">
      <c r="A192" s="23">
        <v>45359</v>
      </c>
      <c r="B192" s="7" t="s">
        <v>52</v>
      </c>
      <c r="C192" s="7" t="s">
        <v>60</v>
      </c>
      <c r="D192" s="7" t="s">
        <v>22</v>
      </c>
      <c r="E192" s="4">
        <v>9524</v>
      </c>
      <c r="F192" s="4" t="b">
        <v>0</v>
      </c>
      <c r="G192" s="7" t="s">
        <v>23</v>
      </c>
      <c r="H192" s="7" t="s">
        <v>41</v>
      </c>
      <c r="I192" s="7" t="s">
        <v>25</v>
      </c>
      <c r="J192" s="7" t="s">
        <v>43</v>
      </c>
      <c r="K192" s="4">
        <v>3</v>
      </c>
      <c r="L192" s="7" t="s">
        <v>27</v>
      </c>
      <c r="M192" s="7" t="s">
        <v>28</v>
      </c>
      <c r="N192" s="4" t="b">
        <v>1</v>
      </c>
      <c r="O192" s="4">
        <v>93</v>
      </c>
      <c r="P192" s="7" t="s">
        <v>63</v>
      </c>
      <c r="Q192" s="4">
        <v>10</v>
      </c>
      <c r="R192" s="4">
        <v>2</v>
      </c>
      <c r="S192" s="4">
        <v>4906</v>
      </c>
      <c r="T192" s="8" t="s">
        <v>51</v>
      </c>
      <c r="U192" t="str">
        <f>IF(OR(E192&lt;'Q1'!$E$13,E192&gt;'Q1'!$E$14),"Outliers","Not an Outliers")</f>
        <v>Not an Outliers</v>
      </c>
      <c r="V192" t="str">
        <f t="shared" si="2"/>
        <v>Weekday</v>
      </c>
    </row>
    <row r="193" spans="1:22" x14ac:dyDescent="0.3">
      <c r="A193" s="24">
        <v>45359</v>
      </c>
      <c r="B193" s="9" t="s">
        <v>44</v>
      </c>
      <c r="C193" s="9" t="s">
        <v>21</v>
      </c>
      <c r="D193" s="9" t="s">
        <v>53</v>
      </c>
      <c r="E193" s="5">
        <v>3425</v>
      </c>
      <c r="F193" s="5" t="b">
        <v>1</v>
      </c>
      <c r="G193" s="9" t="s">
        <v>40</v>
      </c>
      <c r="H193" s="9" t="s">
        <v>41</v>
      </c>
      <c r="I193" s="9" t="s">
        <v>42</v>
      </c>
      <c r="J193" s="9" t="s">
        <v>43</v>
      </c>
      <c r="K193" s="5">
        <v>0</v>
      </c>
      <c r="L193" s="9" t="s">
        <v>49</v>
      </c>
      <c r="M193" s="9" t="s">
        <v>58</v>
      </c>
      <c r="N193" s="5" t="b">
        <v>1</v>
      </c>
      <c r="O193" s="5">
        <v>32</v>
      </c>
      <c r="P193" s="9" t="s">
        <v>63</v>
      </c>
      <c r="Q193" s="5">
        <v>6</v>
      </c>
      <c r="R193" s="5">
        <v>3</v>
      </c>
      <c r="S193" s="5">
        <v>1664</v>
      </c>
      <c r="T193" s="10" t="s">
        <v>51</v>
      </c>
      <c r="U193" t="str">
        <f>IF(OR(E193&lt;'Q1'!$E$13,E193&gt;'Q1'!$E$14),"Outliers","Not an Outliers")</f>
        <v>Not an Outliers</v>
      </c>
      <c r="V193" t="str">
        <f t="shared" si="2"/>
        <v>Weekday</v>
      </c>
    </row>
    <row r="194" spans="1:22" x14ac:dyDescent="0.3">
      <c r="A194" s="23">
        <v>45359</v>
      </c>
      <c r="B194" s="7" t="s">
        <v>39</v>
      </c>
      <c r="C194" s="7" t="s">
        <v>56</v>
      </c>
      <c r="D194" s="7" t="s">
        <v>33</v>
      </c>
      <c r="E194" s="4">
        <v>4050</v>
      </c>
      <c r="F194" s="4" t="b">
        <v>0</v>
      </c>
      <c r="G194" s="7" t="s">
        <v>23</v>
      </c>
      <c r="H194" s="7" t="s">
        <v>24</v>
      </c>
      <c r="I194" s="7" t="s">
        <v>47</v>
      </c>
      <c r="J194" s="7" t="s">
        <v>54</v>
      </c>
      <c r="K194" s="4">
        <v>1</v>
      </c>
      <c r="L194" s="7" t="s">
        <v>49</v>
      </c>
      <c r="M194" s="7" t="s">
        <v>66</v>
      </c>
      <c r="N194" s="4" t="b">
        <v>0</v>
      </c>
      <c r="O194" s="4">
        <v>42</v>
      </c>
      <c r="P194" s="7" t="s">
        <v>29</v>
      </c>
      <c r="Q194" s="4">
        <v>9</v>
      </c>
      <c r="R194" s="4">
        <v>2</v>
      </c>
      <c r="S194" s="4">
        <v>1206</v>
      </c>
      <c r="T194" s="8" t="s">
        <v>51</v>
      </c>
      <c r="U194" t="str">
        <f>IF(OR(E194&lt;'Q1'!$E$13,E194&gt;'Q1'!$E$14),"Outliers","Not an Outliers")</f>
        <v>Not an Outliers</v>
      </c>
      <c r="V194" t="str">
        <f t="shared" si="2"/>
        <v>Weekday</v>
      </c>
    </row>
    <row r="195" spans="1:22" x14ac:dyDescent="0.3">
      <c r="A195" s="24">
        <v>45361</v>
      </c>
      <c r="B195" s="9" t="s">
        <v>68</v>
      </c>
      <c r="C195" s="9" t="s">
        <v>21</v>
      </c>
      <c r="D195" s="9" t="s">
        <v>22</v>
      </c>
      <c r="E195" s="5">
        <v>9543</v>
      </c>
      <c r="F195" s="5" t="b">
        <v>1</v>
      </c>
      <c r="G195" s="9" t="s">
        <v>65</v>
      </c>
      <c r="H195" s="9" t="s">
        <v>35</v>
      </c>
      <c r="I195" s="9" t="s">
        <v>25</v>
      </c>
      <c r="J195" s="9" t="s">
        <v>43</v>
      </c>
      <c r="K195" s="5">
        <v>4</v>
      </c>
      <c r="L195" s="9" t="s">
        <v>36</v>
      </c>
      <c r="M195" s="9" t="s">
        <v>58</v>
      </c>
      <c r="N195" s="5" t="b">
        <v>1</v>
      </c>
      <c r="O195" s="5">
        <v>96</v>
      </c>
      <c r="P195" s="9" t="s">
        <v>29</v>
      </c>
      <c r="Q195" s="5">
        <v>6</v>
      </c>
      <c r="R195" s="5">
        <v>3</v>
      </c>
      <c r="S195" s="5">
        <v>3807</v>
      </c>
      <c r="T195" s="10" t="s">
        <v>51</v>
      </c>
      <c r="U195" t="str">
        <f>IF(OR(E195&lt;'Q1'!$E$13,E195&gt;'Q1'!$E$14),"Outliers","Not an Outliers")</f>
        <v>Not an Outliers</v>
      </c>
      <c r="V195" t="str">
        <f t="shared" ref="V195:V258" si="3">IF(WEEKDAY(A195,2)&gt;5,"Weekend","Weekday")</f>
        <v>Weekend</v>
      </c>
    </row>
    <row r="196" spans="1:22" x14ac:dyDescent="0.3">
      <c r="A196" s="23">
        <v>45362</v>
      </c>
      <c r="B196" s="7" t="s">
        <v>77</v>
      </c>
      <c r="C196" s="7" t="s">
        <v>32</v>
      </c>
      <c r="D196" s="7" t="s">
        <v>57</v>
      </c>
      <c r="E196" s="4">
        <v>1000</v>
      </c>
      <c r="F196" s="4" t="b">
        <v>1</v>
      </c>
      <c r="G196" s="7" t="s">
        <v>34</v>
      </c>
      <c r="H196" s="7" t="s">
        <v>24</v>
      </c>
      <c r="I196" s="7" t="s">
        <v>47</v>
      </c>
      <c r="J196" s="7" t="s">
        <v>26</v>
      </c>
      <c r="K196" s="4">
        <v>2</v>
      </c>
      <c r="L196" s="7" t="s">
        <v>36</v>
      </c>
      <c r="M196" s="7" t="s">
        <v>28</v>
      </c>
      <c r="N196" s="4" t="b">
        <v>0</v>
      </c>
      <c r="O196" s="4">
        <v>39</v>
      </c>
      <c r="P196" s="7" t="s">
        <v>50</v>
      </c>
      <c r="Q196" s="4">
        <v>3</v>
      </c>
      <c r="R196" s="4">
        <v>3</v>
      </c>
      <c r="S196" s="4">
        <v>2362</v>
      </c>
      <c r="T196" s="8" t="s">
        <v>38</v>
      </c>
      <c r="U196" t="str">
        <f>IF(OR(E196&lt;'Q1'!$E$13,E196&gt;'Q1'!$E$14),"Outliers","Not an Outliers")</f>
        <v>Not an Outliers</v>
      </c>
      <c r="V196" t="str">
        <f t="shared" si="3"/>
        <v>Weekday</v>
      </c>
    </row>
    <row r="197" spans="1:22" x14ac:dyDescent="0.3">
      <c r="A197" s="24">
        <v>45362</v>
      </c>
      <c r="B197" s="9" t="s">
        <v>55</v>
      </c>
      <c r="C197" s="9" t="s">
        <v>56</v>
      </c>
      <c r="D197" s="9" t="s">
        <v>57</v>
      </c>
      <c r="E197" s="5">
        <v>1000</v>
      </c>
      <c r="F197" s="5" t="b">
        <v>0</v>
      </c>
      <c r="G197" s="9" t="s">
        <v>34</v>
      </c>
      <c r="H197" s="9" t="s">
        <v>41</v>
      </c>
      <c r="I197" s="9" t="s">
        <v>25</v>
      </c>
      <c r="J197" s="9" t="s">
        <v>43</v>
      </c>
      <c r="K197" s="5">
        <v>0</v>
      </c>
      <c r="L197" s="9" t="s">
        <v>36</v>
      </c>
      <c r="M197" s="9" t="s">
        <v>73</v>
      </c>
      <c r="N197" s="5" t="b">
        <v>1</v>
      </c>
      <c r="O197" s="5">
        <v>34</v>
      </c>
      <c r="P197" s="9" t="s">
        <v>29</v>
      </c>
      <c r="Q197" s="5">
        <v>1</v>
      </c>
      <c r="R197" s="5">
        <v>1</v>
      </c>
      <c r="S197" s="5">
        <v>850</v>
      </c>
      <c r="T197" s="10" t="s">
        <v>51</v>
      </c>
      <c r="U197" t="str">
        <f>IF(OR(E197&lt;'Q1'!$E$13,E197&gt;'Q1'!$E$14),"Outliers","Not an Outliers")</f>
        <v>Not an Outliers</v>
      </c>
      <c r="V197" t="str">
        <f t="shared" si="3"/>
        <v>Weekday</v>
      </c>
    </row>
    <row r="198" spans="1:22" x14ac:dyDescent="0.3">
      <c r="A198" s="23">
        <v>45362</v>
      </c>
      <c r="B198" s="7" t="s">
        <v>76</v>
      </c>
      <c r="C198" s="7" t="s">
        <v>60</v>
      </c>
      <c r="D198" s="7" t="s">
        <v>61</v>
      </c>
      <c r="E198" s="4">
        <v>1000</v>
      </c>
      <c r="F198" s="4" t="b">
        <v>0</v>
      </c>
      <c r="G198" s="7" t="s">
        <v>40</v>
      </c>
      <c r="H198" s="7" t="s">
        <v>35</v>
      </c>
      <c r="I198" s="7" t="s">
        <v>42</v>
      </c>
      <c r="J198" s="7" t="s">
        <v>48</v>
      </c>
      <c r="K198" s="4">
        <v>1</v>
      </c>
      <c r="L198" s="7" t="s">
        <v>49</v>
      </c>
      <c r="M198" s="7" t="s">
        <v>28</v>
      </c>
      <c r="N198" s="4" t="b">
        <v>0</v>
      </c>
      <c r="O198" s="4">
        <v>10</v>
      </c>
      <c r="P198" s="7" t="s">
        <v>50</v>
      </c>
      <c r="Q198" s="4">
        <v>9</v>
      </c>
      <c r="R198" s="4">
        <v>1</v>
      </c>
      <c r="S198" s="4">
        <v>2655</v>
      </c>
      <c r="T198" s="8" t="s">
        <v>30</v>
      </c>
      <c r="U198" t="str">
        <f>IF(OR(E198&lt;'Q1'!$E$13,E198&gt;'Q1'!$E$14),"Outliers","Not an Outliers")</f>
        <v>Not an Outliers</v>
      </c>
      <c r="V198" t="str">
        <f t="shared" si="3"/>
        <v>Weekday</v>
      </c>
    </row>
    <row r="199" spans="1:22" x14ac:dyDescent="0.3">
      <c r="A199" s="24">
        <v>45362</v>
      </c>
      <c r="B199" s="9" t="s">
        <v>39</v>
      </c>
      <c r="C199" s="9" t="s">
        <v>21</v>
      </c>
      <c r="D199" s="9" t="s">
        <v>33</v>
      </c>
      <c r="E199" s="5">
        <v>8170</v>
      </c>
      <c r="F199" s="5" t="b">
        <v>1</v>
      </c>
      <c r="G199" s="9" t="s">
        <v>23</v>
      </c>
      <c r="H199" s="9" t="s">
        <v>35</v>
      </c>
      <c r="I199" s="9" t="s">
        <v>59</v>
      </c>
      <c r="J199" s="9" t="s">
        <v>54</v>
      </c>
      <c r="K199" s="5">
        <v>3</v>
      </c>
      <c r="L199" s="9" t="s">
        <v>49</v>
      </c>
      <c r="M199" s="9" t="s">
        <v>28</v>
      </c>
      <c r="N199" s="5" t="b">
        <v>1</v>
      </c>
      <c r="O199" s="5">
        <v>46</v>
      </c>
      <c r="P199" s="9" t="s">
        <v>29</v>
      </c>
      <c r="Q199" s="5">
        <v>2</v>
      </c>
      <c r="R199" s="5">
        <v>3</v>
      </c>
      <c r="S199" s="5">
        <v>1893</v>
      </c>
      <c r="T199" s="10" t="s">
        <v>38</v>
      </c>
      <c r="U199" t="str">
        <f>IF(OR(E199&lt;'Q1'!$E$13,E199&gt;'Q1'!$E$14),"Outliers","Not an Outliers")</f>
        <v>Not an Outliers</v>
      </c>
      <c r="V199" t="str">
        <f t="shared" si="3"/>
        <v>Weekday</v>
      </c>
    </row>
    <row r="200" spans="1:22" x14ac:dyDescent="0.3">
      <c r="A200" s="23">
        <v>45362</v>
      </c>
      <c r="B200" s="7" t="s">
        <v>71</v>
      </c>
      <c r="C200" s="7" t="s">
        <v>45</v>
      </c>
      <c r="D200" s="7" t="s">
        <v>53</v>
      </c>
      <c r="E200" s="4">
        <v>20565</v>
      </c>
      <c r="F200" s="4" t="b">
        <v>0</v>
      </c>
      <c r="G200" s="7" t="s">
        <v>40</v>
      </c>
      <c r="H200" s="7" t="s">
        <v>24</v>
      </c>
      <c r="I200" s="7" t="s">
        <v>59</v>
      </c>
      <c r="J200" s="7" t="s">
        <v>48</v>
      </c>
      <c r="K200" s="4">
        <v>2</v>
      </c>
      <c r="L200" s="7" t="s">
        <v>27</v>
      </c>
      <c r="M200" s="7" t="s">
        <v>66</v>
      </c>
      <c r="N200" s="4" t="b">
        <v>1</v>
      </c>
      <c r="O200" s="4">
        <v>17</v>
      </c>
      <c r="P200" s="7" t="s">
        <v>37</v>
      </c>
      <c r="Q200" s="4">
        <v>2</v>
      </c>
      <c r="R200" s="4">
        <v>3</v>
      </c>
      <c r="S200" s="4">
        <v>1311</v>
      </c>
      <c r="T200" s="8" t="s">
        <v>30</v>
      </c>
      <c r="U200" t="str">
        <f>IF(OR(E200&lt;'Q1'!$E$13,E200&gt;'Q1'!$E$14),"Outliers","Not an Outliers")</f>
        <v>Outliers</v>
      </c>
      <c r="V200" t="str">
        <f t="shared" si="3"/>
        <v>Weekday</v>
      </c>
    </row>
    <row r="201" spans="1:22" x14ac:dyDescent="0.3">
      <c r="A201" s="24">
        <v>45364</v>
      </c>
      <c r="B201" s="9" t="s">
        <v>77</v>
      </c>
      <c r="C201" s="9" t="s">
        <v>60</v>
      </c>
      <c r="D201" s="9" t="s">
        <v>61</v>
      </c>
      <c r="E201" s="5">
        <v>1000</v>
      </c>
      <c r="F201" s="5" t="b">
        <v>1</v>
      </c>
      <c r="G201" s="9" t="s">
        <v>64</v>
      </c>
      <c r="H201" s="9" t="s">
        <v>35</v>
      </c>
      <c r="I201" s="9" t="s">
        <v>25</v>
      </c>
      <c r="J201" s="9" t="s">
        <v>43</v>
      </c>
      <c r="K201" s="5">
        <v>2</v>
      </c>
      <c r="L201" s="9" t="s">
        <v>36</v>
      </c>
      <c r="M201" s="9" t="s">
        <v>28</v>
      </c>
      <c r="N201" s="5" t="b">
        <v>0</v>
      </c>
      <c r="O201" s="5">
        <v>29</v>
      </c>
      <c r="P201" s="9" t="s">
        <v>50</v>
      </c>
      <c r="Q201" s="5">
        <v>2</v>
      </c>
      <c r="R201" s="5">
        <v>1</v>
      </c>
      <c r="S201" s="5">
        <v>3358</v>
      </c>
      <c r="T201" s="10" t="s">
        <v>38</v>
      </c>
      <c r="U201" t="str">
        <f>IF(OR(E201&lt;'Q1'!$E$13,E201&gt;'Q1'!$E$14),"Outliers","Not an Outliers")</f>
        <v>Not an Outliers</v>
      </c>
      <c r="V201" t="str">
        <f t="shared" si="3"/>
        <v>Weekday</v>
      </c>
    </row>
    <row r="202" spans="1:22" x14ac:dyDescent="0.3">
      <c r="A202" s="23">
        <v>45364</v>
      </c>
      <c r="B202" s="7" t="s">
        <v>31</v>
      </c>
      <c r="C202" s="7" t="s">
        <v>21</v>
      </c>
      <c r="D202" s="7" t="s">
        <v>57</v>
      </c>
      <c r="E202" s="4">
        <v>1000</v>
      </c>
      <c r="F202" s="4" t="b">
        <v>0</v>
      </c>
      <c r="G202" s="7" t="s">
        <v>23</v>
      </c>
      <c r="H202" s="7" t="s">
        <v>24</v>
      </c>
      <c r="I202" s="7" t="s">
        <v>42</v>
      </c>
      <c r="J202" s="7" t="s">
        <v>54</v>
      </c>
      <c r="K202" s="4">
        <v>5</v>
      </c>
      <c r="L202" s="7" t="s">
        <v>36</v>
      </c>
      <c r="M202" s="7" t="s">
        <v>73</v>
      </c>
      <c r="N202" s="4" t="b">
        <v>1</v>
      </c>
      <c r="O202" s="4">
        <v>19</v>
      </c>
      <c r="P202" s="7" t="s">
        <v>50</v>
      </c>
      <c r="Q202" s="4">
        <v>2</v>
      </c>
      <c r="R202" s="4">
        <v>1</v>
      </c>
      <c r="S202" s="4">
        <v>1062</v>
      </c>
      <c r="T202" s="8" t="s">
        <v>38</v>
      </c>
      <c r="U202" t="str">
        <f>IF(OR(E202&lt;'Q1'!$E$13,E202&gt;'Q1'!$E$14),"Outliers","Not an Outliers")</f>
        <v>Not an Outliers</v>
      </c>
      <c r="V202" t="str">
        <f t="shared" si="3"/>
        <v>Weekday</v>
      </c>
    </row>
    <row r="203" spans="1:22" x14ac:dyDescent="0.3">
      <c r="A203" s="24">
        <v>45364</v>
      </c>
      <c r="B203" s="9" t="s">
        <v>20</v>
      </c>
      <c r="C203" s="9" t="s">
        <v>45</v>
      </c>
      <c r="D203" s="9" t="s">
        <v>57</v>
      </c>
      <c r="E203" s="5">
        <v>1000</v>
      </c>
      <c r="F203" s="5" t="b">
        <v>0</v>
      </c>
      <c r="G203" s="9" t="s">
        <v>23</v>
      </c>
      <c r="H203" s="9" t="s">
        <v>70</v>
      </c>
      <c r="I203" s="9" t="s">
        <v>42</v>
      </c>
      <c r="J203" s="9" t="s">
        <v>54</v>
      </c>
      <c r="K203" s="5">
        <v>0</v>
      </c>
      <c r="L203" s="9" t="s">
        <v>27</v>
      </c>
      <c r="M203" s="9" t="s">
        <v>28</v>
      </c>
      <c r="N203" s="5" t="b">
        <v>1</v>
      </c>
      <c r="O203" s="5">
        <v>9</v>
      </c>
      <c r="P203" s="9" t="s">
        <v>50</v>
      </c>
      <c r="Q203" s="5">
        <v>3</v>
      </c>
      <c r="R203" s="5">
        <v>1</v>
      </c>
      <c r="S203" s="5">
        <v>3908</v>
      </c>
      <c r="T203" s="10" t="s">
        <v>30</v>
      </c>
      <c r="U203" t="str">
        <f>IF(OR(E203&lt;'Q1'!$E$13,E203&gt;'Q1'!$E$14),"Outliers","Not an Outliers")</f>
        <v>Not an Outliers</v>
      </c>
      <c r="V203" t="str">
        <f t="shared" si="3"/>
        <v>Weekday</v>
      </c>
    </row>
    <row r="204" spans="1:22" x14ac:dyDescent="0.3">
      <c r="A204" s="23">
        <v>45365</v>
      </c>
      <c r="B204" s="7" t="s">
        <v>31</v>
      </c>
      <c r="C204" s="7" t="s">
        <v>21</v>
      </c>
      <c r="D204" s="7" t="s">
        <v>22</v>
      </c>
      <c r="E204" s="4">
        <v>8928</v>
      </c>
      <c r="F204" s="4" t="b">
        <v>1</v>
      </c>
      <c r="G204" s="7" t="s">
        <v>40</v>
      </c>
      <c r="H204" s="7" t="s">
        <v>24</v>
      </c>
      <c r="I204" s="7" t="s">
        <v>42</v>
      </c>
      <c r="J204" s="7" t="s">
        <v>43</v>
      </c>
      <c r="K204" s="4">
        <v>3</v>
      </c>
      <c r="L204" s="7" t="s">
        <v>49</v>
      </c>
      <c r="M204" s="7" t="s">
        <v>66</v>
      </c>
      <c r="N204" s="4" t="b">
        <v>0</v>
      </c>
      <c r="O204" s="4">
        <v>1</v>
      </c>
      <c r="P204" s="7" t="s">
        <v>29</v>
      </c>
      <c r="Q204" s="4">
        <v>6</v>
      </c>
      <c r="R204" s="4">
        <v>3</v>
      </c>
      <c r="S204" s="4">
        <v>3045</v>
      </c>
      <c r="T204" s="8" t="s">
        <v>51</v>
      </c>
      <c r="U204" t="str">
        <f>IF(OR(E204&lt;'Q1'!$E$13,E204&gt;'Q1'!$E$14),"Outliers","Not an Outliers")</f>
        <v>Not an Outliers</v>
      </c>
      <c r="V204" t="str">
        <f t="shared" si="3"/>
        <v>Weekday</v>
      </c>
    </row>
    <row r="205" spans="1:22" x14ac:dyDescent="0.3">
      <c r="A205" s="24">
        <v>45365</v>
      </c>
      <c r="B205" s="9" t="s">
        <v>69</v>
      </c>
      <c r="C205" s="9" t="s">
        <v>60</v>
      </c>
      <c r="D205" s="9" t="s">
        <v>22</v>
      </c>
      <c r="E205" s="5">
        <v>7190</v>
      </c>
      <c r="F205" s="5" t="b">
        <v>0</v>
      </c>
      <c r="G205" s="9" t="s">
        <v>34</v>
      </c>
      <c r="H205" s="9" t="s">
        <v>41</v>
      </c>
      <c r="I205" s="9" t="s">
        <v>59</v>
      </c>
      <c r="J205" s="9" t="s">
        <v>48</v>
      </c>
      <c r="K205" s="5">
        <v>4</v>
      </c>
      <c r="L205" s="9" t="s">
        <v>27</v>
      </c>
      <c r="M205" s="9" t="s">
        <v>73</v>
      </c>
      <c r="N205" s="5" t="b">
        <v>0</v>
      </c>
      <c r="O205" s="5">
        <v>23</v>
      </c>
      <c r="P205" s="9" t="s">
        <v>67</v>
      </c>
      <c r="Q205" s="5">
        <v>1</v>
      </c>
      <c r="R205" s="5">
        <v>2</v>
      </c>
      <c r="S205" s="5">
        <v>4779</v>
      </c>
      <c r="T205" s="10" t="s">
        <v>51</v>
      </c>
      <c r="U205" t="str">
        <f>IF(OR(E205&lt;'Q1'!$E$13,E205&gt;'Q1'!$E$14),"Outliers","Not an Outliers")</f>
        <v>Not an Outliers</v>
      </c>
      <c r="V205" t="str">
        <f t="shared" si="3"/>
        <v>Weekday</v>
      </c>
    </row>
    <row r="206" spans="1:22" x14ac:dyDescent="0.3">
      <c r="A206" s="23">
        <v>45366</v>
      </c>
      <c r="B206" s="7" t="s">
        <v>77</v>
      </c>
      <c r="C206" s="7" t="s">
        <v>32</v>
      </c>
      <c r="D206" s="7" t="s">
        <v>22</v>
      </c>
      <c r="E206" s="4">
        <v>9455</v>
      </c>
      <c r="F206" s="4" t="b">
        <v>0</v>
      </c>
      <c r="G206" s="7" t="s">
        <v>40</v>
      </c>
      <c r="H206" s="7" t="s">
        <v>35</v>
      </c>
      <c r="I206" s="7" t="s">
        <v>47</v>
      </c>
      <c r="J206" s="7" t="s">
        <v>26</v>
      </c>
      <c r="K206" s="4">
        <v>2</v>
      </c>
      <c r="L206" s="7" t="s">
        <v>49</v>
      </c>
      <c r="M206" s="7" t="s">
        <v>66</v>
      </c>
      <c r="N206" s="4" t="b">
        <v>1</v>
      </c>
      <c r="O206" s="4">
        <v>94</v>
      </c>
      <c r="P206" s="7" t="s">
        <v>37</v>
      </c>
      <c r="Q206" s="4">
        <v>9</v>
      </c>
      <c r="R206" s="4">
        <v>1</v>
      </c>
      <c r="S206" s="4">
        <v>1414</v>
      </c>
      <c r="T206" s="8" t="s">
        <v>51</v>
      </c>
      <c r="U206" t="str">
        <f>IF(OR(E206&lt;'Q1'!$E$13,E206&gt;'Q1'!$E$14),"Outliers","Not an Outliers")</f>
        <v>Not an Outliers</v>
      </c>
      <c r="V206" t="str">
        <f t="shared" si="3"/>
        <v>Weekday</v>
      </c>
    </row>
    <row r="207" spans="1:22" x14ac:dyDescent="0.3">
      <c r="A207" s="24">
        <v>45366</v>
      </c>
      <c r="B207" s="9" t="s">
        <v>52</v>
      </c>
      <c r="C207" s="9" t="s">
        <v>32</v>
      </c>
      <c r="D207" s="9" t="s">
        <v>53</v>
      </c>
      <c r="E207" s="5">
        <v>6200</v>
      </c>
      <c r="F207" s="5" t="b">
        <v>0</v>
      </c>
      <c r="G207" s="9" t="s">
        <v>34</v>
      </c>
      <c r="H207" s="9" t="s">
        <v>24</v>
      </c>
      <c r="I207" s="9" t="s">
        <v>25</v>
      </c>
      <c r="J207" s="9" t="s">
        <v>48</v>
      </c>
      <c r="K207" s="5">
        <v>3</v>
      </c>
      <c r="L207" s="9" t="s">
        <v>49</v>
      </c>
      <c r="M207" s="9" t="s">
        <v>28</v>
      </c>
      <c r="N207" s="5" t="b">
        <v>1</v>
      </c>
      <c r="O207" s="5">
        <v>47</v>
      </c>
      <c r="P207" s="9" t="s">
        <v>29</v>
      </c>
      <c r="Q207" s="5">
        <v>5</v>
      </c>
      <c r="R207" s="5">
        <v>3</v>
      </c>
      <c r="S207" s="5">
        <v>2006</v>
      </c>
      <c r="T207" s="10" t="s">
        <v>38</v>
      </c>
      <c r="U207" t="str">
        <f>IF(OR(E207&lt;'Q1'!$E$13,E207&gt;'Q1'!$E$14),"Outliers","Not an Outliers")</f>
        <v>Not an Outliers</v>
      </c>
      <c r="V207" t="str">
        <f t="shared" si="3"/>
        <v>Weekday</v>
      </c>
    </row>
    <row r="208" spans="1:22" x14ac:dyDescent="0.3">
      <c r="A208" s="23">
        <v>45367</v>
      </c>
      <c r="B208" s="7" t="s">
        <v>77</v>
      </c>
      <c r="C208" s="7" t="s">
        <v>45</v>
      </c>
      <c r="D208" s="7" t="s">
        <v>53</v>
      </c>
      <c r="E208" s="4">
        <v>3649</v>
      </c>
      <c r="F208" s="4" t="b">
        <v>0</v>
      </c>
      <c r="G208" s="7" t="s">
        <v>40</v>
      </c>
      <c r="H208" s="7" t="s">
        <v>24</v>
      </c>
      <c r="I208" s="7" t="s">
        <v>59</v>
      </c>
      <c r="J208" s="7" t="s">
        <v>48</v>
      </c>
      <c r="K208" s="4">
        <v>5</v>
      </c>
      <c r="L208" s="7" t="s">
        <v>27</v>
      </c>
      <c r="M208" s="7" t="s">
        <v>66</v>
      </c>
      <c r="N208" s="4" t="b">
        <v>1</v>
      </c>
      <c r="O208" s="4">
        <v>114</v>
      </c>
      <c r="P208" s="7" t="s">
        <v>50</v>
      </c>
      <c r="Q208" s="4">
        <v>10</v>
      </c>
      <c r="R208" s="4">
        <v>2</v>
      </c>
      <c r="S208" s="4">
        <v>4559</v>
      </c>
      <c r="T208" s="8" t="s">
        <v>38</v>
      </c>
      <c r="U208" t="str">
        <f>IF(OR(E208&lt;'Q1'!$E$13,E208&gt;'Q1'!$E$14),"Outliers","Not an Outliers")</f>
        <v>Not an Outliers</v>
      </c>
      <c r="V208" t="str">
        <f t="shared" si="3"/>
        <v>Weekend</v>
      </c>
    </row>
    <row r="209" spans="1:22" x14ac:dyDescent="0.3">
      <c r="A209" s="24">
        <v>45367</v>
      </c>
      <c r="B209" s="9" t="s">
        <v>55</v>
      </c>
      <c r="C209" s="9" t="s">
        <v>56</v>
      </c>
      <c r="D209" s="9" t="s">
        <v>33</v>
      </c>
      <c r="E209" s="5">
        <v>2656</v>
      </c>
      <c r="F209" s="5" t="b">
        <v>1</v>
      </c>
      <c r="G209" s="9" t="s">
        <v>65</v>
      </c>
      <c r="H209" s="9" t="s">
        <v>41</v>
      </c>
      <c r="I209" s="9" t="s">
        <v>47</v>
      </c>
      <c r="J209" s="9" t="s">
        <v>48</v>
      </c>
      <c r="K209" s="5">
        <v>5</v>
      </c>
      <c r="L209" s="9" t="s">
        <v>27</v>
      </c>
      <c r="M209" s="9" t="s">
        <v>73</v>
      </c>
      <c r="N209" s="5" t="b">
        <v>1</v>
      </c>
      <c r="O209" s="5">
        <v>107</v>
      </c>
      <c r="P209" s="9" t="s">
        <v>29</v>
      </c>
      <c r="Q209" s="5">
        <v>9</v>
      </c>
      <c r="R209" s="5">
        <v>1</v>
      </c>
      <c r="S209" s="5">
        <v>2052</v>
      </c>
      <c r="T209" s="10" t="s">
        <v>51</v>
      </c>
      <c r="U209" t="str">
        <f>IF(OR(E209&lt;'Q1'!$E$13,E209&gt;'Q1'!$E$14),"Outliers","Not an Outliers")</f>
        <v>Not an Outliers</v>
      </c>
      <c r="V209" t="str">
        <f t="shared" si="3"/>
        <v>Weekend</v>
      </c>
    </row>
    <row r="210" spans="1:22" x14ac:dyDescent="0.3">
      <c r="A210" s="23">
        <v>45367</v>
      </c>
      <c r="B210" s="7" t="s">
        <v>74</v>
      </c>
      <c r="C210" s="7" t="s">
        <v>45</v>
      </c>
      <c r="D210" s="7" t="s">
        <v>46</v>
      </c>
      <c r="E210" s="4">
        <v>2864</v>
      </c>
      <c r="F210" s="4" t="b">
        <v>1</v>
      </c>
      <c r="G210" s="7" t="s">
        <v>40</v>
      </c>
      <c r="H210" s="7" t="s">
        <v>35</v>
      </c>
      <c r="I210" s="7" t="s">
        <v>59</v>
      </c>
      <c r="J210" s="7" t="s">
        <v>43</v>
      </c>
      <c r="K210" s="4">
        <v>1</v>
      </c>
      <c r="L210" s="7" t="s">
        <v>49</v>
      </c>
      <c r="M210" s="7" t="s">
        <v>28</v>
      </c>
      <c r="N210" s="4" t="b">
        <v>0</v>
      </c>
      <c r="O210" s="4">
        <v>5</v>
      </c>
      <c r="P210" s="7" t="s">
        <v>63</v>
      </c>
      <c r="Q210" s="4">
        <v>1</v>
      </c>
      <c r="R210" s="4">
        <v>2</v>
      </c>
      <c r="S210" s="4">
        <v>3092</v>
      </c>
      <c r="T210" s="8" t="s">
        <v>38</v>
      </c>
      <c r="U210" t="str">
        <f>IF(OR(E210&lt;'Q1'!$E$13,E210&gt;'Q1'!$E$14),"Outliers","Not an Outliers")</f>
        <v>Not an Outliers</v>
      </c>
      <c r="V210" t="str">
        <f t="shared" si="3"/>
        <v>Weekend</v>
      </c>
    </row>
    <row r="211" spans="1:22" x14ac:dyDescent="0.3">
      <c r="A211" s="24">
        <v>45367</v>
      </c>
      <c r="B211" s="9" t="s">
        <v>76</v>
      </c>
      <c r="C211" s="9" t="s">
        <v>56</v>
      </c>
      <c r="D211" s="9" t="s">
        <v>53</v>
      </c>
      <c r="E211" s="5">
        <v>7437</v>
      </c>
      <c r="F211" s="5" t="b">
        <v>1</v>
      </c>
      <c r="G211" s="9" t="s">
        <v>40</v>
      </c>
      <c r="H211" s="9" t="s">
        <v>35</v>
      </c>
      <c r="I211" s="9" t="s">
        <v>59</v>
      </c>
      <c r="J211" s="9" t="s">
        <v>54</v>
      </c>
      <c r="K211" s="5">
        <v>2</v>
      </c>
      <c r="L211" s="9" t="s">
        <v>49</v>
      </c>
      <c r="M211" s="9" t="s">
        <v>58</v>
      </c>
      <c r="N211" s="5" t="b">
        <v>1</v>
      </c>
      <c r="O211" s="5">
        <v>85</v>
      </c>
      <c r="P211" s="9" t="s">
        <v>63</v>
      </c>
      <c r="Q211" s="5">
        <v>9</v>
      </c>
      <c r="R211" s="5">
        <v>2</v>
      </c>
      <c r="S211" s="5">
        <v>4192</v>
      </c>
      <c r="T211" s="10" t="s">
        <v>38</v>
      </c>
      <c r="U211" t="str">
        <f>IF(OR(E211&lt;'Q1'!$E$13,E211&gt;'Q1'!$E$14),"Outliers","Not an Outliers")</f>
        <v>Not an Outliers</v>
      </c>
      <c r="V211" t="str">
        <f t="shared" si="3"/>
        <v>Weekend</v>
      </c>
    </row>
    <row r="212" spans="1:22" x14ac:dyDescent="0.3">
      <c r="A212" s="23">
        <v>45367</v>
      </c>
      <c r="B212" s="7" t="s">
        <v>39</v>
      </c>
      <c r="C212" s="7" t="s">
        <v>21</v>
      </c>
      <c r="D212" s="7" t="s">
        <v>53</v>
      </c>
      <c r="E212" s="4">
        <v>29415</v>
      </c>
      <c r="F212" s="4" t="b">
        <v>0</v>
      </c>
      <c r="G212" s="7" t="s">
        <v>65</v>
      </c>
      <c r="H212" s="7" t="s">
        <v>24</v>
      </c>
      <c r="I212" s="7" t="s">
        <v>59</v>
      </c>
      <c r="J212" s="7" t="s">
        <v>54</v>
      </c>
      <c r="K212" s="4">
        <v>0</v>
      </c>
      <c r="L212" s="7" t="s">
        <v>27</v>
      </c>
      <c r="M212" s="7" t="s">
        <v>58</v>
      </c>
      <c r="N212" s="4" t="b">
        <v>0</v>
      </c>
      <c r="O212" s="4">
        <v>72</v>
      </c>
      <c r="P212" s="7" t="s">
        <v>29</v>
      </c>
      <c r="Q212" s="4">
        <v>10</v>
      </c>
      <c r="R212" s="4">
        <v>1</v>
      </c>
      <c r="S212" s="4">
        <v>4743</v>
      </c>
      <c r="T212" s="8" t="s">
        <v>38</v>
      </c>
      <c r="U212" t="str">
        <f>IF(OR(E212&lt;'Q1'!$E$13,E212&gt;'Q1'!$E$14),"Outliers","Not an Outliers")</f>
        <v>Outliers</v>
      </c>
      <c r="V212" t="str">
        <f t="shared" si="3"/>
        <v>Weekend</v>
      </c>
    </row>
    <row r="213" spans="1:22" x14ac:dyDescent="0.3">
      <c r="A213" s="24">
        <v>45367</v>
      </c>
      <c r="B213" s="9" t="s">
        <v>52</v>
      </c>
      <c r="C213" s="9" t="s">
        <v>32</v>
      </c>
      <c r="D213" s="9" t="s">
        <v>57</v>
      </c>
      <c r="E213" s="5">
        <v>1000</v>
      </c>
      <c r="F213" s="5" t="b">
        <v>0</v>
      </c>
      <c r="G213" s="9" t="s">
        <v>65</v>
      </c>
      <c r="H213" s="9" t="s">
        <v>41</v>
      </c>
      <c r="I213" s="9" t="s">
        <v>42</v>
      </c>
      <c r="J213" s="9" t="s">
        <v>48</v>
      </c>
      <c r="K213" s="5">
        <v>4</v>
      </c>
      <c r="L213" s="9" t="s">
        <v>27</v>
      </c>
      <c r="M213" s="9" t="s">
        <v>66</v>
      </c>
      <c r="N213" s="5" t="b">
        <v>0</v>
      </c>
      <c r="O213" s="5">
        <v>65</v>
      </c>
      <c r="P213" s="9" t="s">
        <v>50</v>
      </c>
      <c r="Q213" s="5">
        <v>2</v>
      </c>
      <c r="R213" s="5">
        <v>3</v>
      </c>
      <c r="S213" s="5">
        <v>1227</v>
      </c>
      <c r="T213" s="10" t="s">
        <v>51</v>
      </c>
      <c r="U213" t="str">
        <f>IF(OR(E213&lt;'Q1'!$E$13,E213&gt;'Q1'!$E$14),"Outliers","Not an Outliers")</f>
        <v>Not an Outliers</v>
      </c>
      <c r="V213" t="str">
        <f t="shared" si="3"/>
        <v>Weekend</v>
      </c>
    </row>
    <row r="214" spans="1:22" x14ac:dyDescent="0.3">
      <c r="A214" s="23">
        <v>45367</v>
      </c>
      <c r="B214" s="7" t="s">
        <v>71</v>
      </c>
      <c r="C214" s="7" t="s">
        <v>56</v>
      </c>
      <c r="D214" s="7" t="s">
        <v>46</v>
      </c>
      <c r="E214" s="4">
        <v>4009</v>
      </c>
      <c r="F214" s="4" t="b">
        <v>0</v>
      </c>
      <c r="G214" s="7" t="s">
        <v>34</v>
      </c>
      <c r="H214" s="7" t="s">
        <v>35</v>
      </c>
      <c r="I214" s="7" t="s">
        <v>42</v>
      </c>
      <c r="J214" s="7" t="s">
        <v>43</v>
      </c>
      <c r="K214" s="4">
        <v>5</v>
      </c>
      <c r="L214" s="7" t="s">
        <v>49</v>
      </c>
      <c r="M214" s="7" t="s">
        <v>73</v>
      </c>
      <c r="N214" s="4" t="b">
        <v>1</v>
      </c>
      <c r="O214" s="4">
        <v>12</v>
      </c>
      <c r="P214" s="7" t="s">
        <v>67</v>
      </c>
      <c r="Q214" s="4">
        <v>5</v>
      </c>
      <c r="R214" s="4">
        <v>1</v>
      </c>
      <c r="S214" s="4">
        <v>2209</v>
      </c>
      <c r="T214" s="8" t="s">
        <v>51</v>
      </c>
      <c r="U214" t="str">
        <f>IF(OR(E214&lt;'Q1'!$E$13,E214&gt;'Q1'!$E$14),"Outliers","Not an Outliers")</f>
        <v>Not an Outliers</v>
      </c>
      <c r="V214" t="str">
        <f t="shared" si="3"/>
        <v>Weekend</v>
      </c>
    </row>
    <row r="215" spans="1:22" x14ac:dyDescent="0.3">
      <c r="A215" s="24">
        <v>45367</v>
      </c>
      <c r="B215" s="9" t="s">
        <v>44</v>
      </c>
      <c r="C215" s="9" t="s">
        <v>21</v>
      </c>
      <c r="D215" s="9" t="s">
        <v>57</v>
      </c>
      <c r="E215" s="5">
        <v>1000</v>
      </c>
      <c r="F215" s="5" t="b">
        <v>0</v>
      </c>
      <c r="G215" s="9" t="s">
        <v>34</v>
      </c>
      <c r="H215" s="9" t="s">
        <v>35</v>
      </c>
      <c r="I215" s="9" t="s">
        <v>59</v>
      </c>
      <c r="J215" s="9" t="s">
        <v>54</v>
      </c>
      <c r="K215" s="5">
        <v>1</v>
      </c>
      <c r="L215" s="9" t="s">
        <v>27</v>
      </c>
      <c r="M215" s="9" t="s">
        <v>28</v>
      </c>
      <c r="N215" s="5" t="b">
        <v>1</v>
      </c>
      <c r="O215" s="5">
        <v>67</v>
      </c>
      <c r="P215" s="9" t="s">
        <v>37</v>
      </c>
      <c r="Q215" s="5">
        <v>5</v>
      </c>
      <c r="R215" s="5">
        <v>3</v>
      </c>
      <c r="S215" s="5">
        <v>4506</v>
      </c>
      <c r="T215" s="10" t="s">
        <v>30</v>
      </c>
      <c r="U215" t="str">
        <f>IF(OR(E215&lt;'Q1'!$E$13,E215&gt;'Q1'!$E$14),"Outliers","Not an Outliers")</f>
        <v>Not an Outliers</v>
      </c>
      <c r="V215" t="str">
        <f t="shared" si="3"/>
        <v>Weekend</v>
      </c>
    </row>
    <row r="216" spans="1:22" x14ac:dyDescent="0.3">
      <c r="A216" s="23">
        <v>45368</v>
      </c>
      <c r="B216" s="7" t="s">
        <v>76</v>
      </c>
      <c r="C216" s="7" t="s">
        <v>21</v>
      </c>
      <c r="D216" s="7" t="s">
        <v>57</v>
      </c>
      <c r="E216" s="4">
        <v>1000</v>
      </c>
      <c r="F216" s="4" t="b">
        <v>1</v>
      </c>
      <c r="G216" s="7" t="s">
        <v>65</v>
      </c>
      <c r="H216" s="7" t="s">
        <v>24</v>
      </c>
      <c r="I216" s="7" t="s">
        <v>59</v>
      </c>
      <c r="J216" s="7" t="s">
        <v>43</v>
      </c>
      <c r="K216" s="4">
        <v>2</v>
      </c>
      <c r="L216" s="7" t="s">
        <v>49</v>
      </c>
      <c r="M216" s="7" t="s">
        <v>66</v>
      </c>
      <c r="N216" s="4" t="b">
        <v>0</v>
      </c>
      <c r="O216" s="4">
        <v>87</v>
      </c>
      <c r="P216" s="7" t="s">
        <v>50</v>
      </c>
      <c r="Q216" s="4">
        <v>9</v>
      </c>
      <c r="R216" s="4">
        <v>1</v>
      </c>
      <c r="S216" s="4">
        <v>759</v>
      </c>
      <c r="T216" s="8" t="s">
        <v>38</v>
      </c>
      <c r="U216" t="str">
        <f>IF(OR(E216&lt;'Q1'!$E$13,E216&gt;'Q1'!$E$14),"Outliers","Not an Outliers")</f>
        <v>Not an Outliers</v>
      </c>
      <c r="V216" t="str">
        <f t="shared" si="3"/>
        <v>Weekend</v>
      </c>
    </row>
    <row r="217" spans="1:22" x14ac:dyDescent="0.3">
      <c r="A217" s="24">
        <v>45368</v>
      </c>
      <c r="B217" s="9" t="s">
        <v>44</v>
      </c>
      <c r="C217" s="9" t="s">
        <v>56</v>
      </c>
      <c r="D217" s="9" t="s">
        <v>33</v>
      </c>
      <c r="E217" s="5">
        <v>4565</v>
      </c>
      <c r="F217" s="5" t="b">
        <v>0</v>
      </c>
      <c r="G217" s="9" t="s">
        <v>65</v>
      </c>
      <c r="H217" s="9" t="s">
        <v>35</v>
      </c>
      <c r="I217" s="9" t="s">
        <v>25</v>
      </c>
      <c r="J217" s="9" t="s">
        <v>43</v>
      </c>
      <c r="K217" s="5">
        <v>1</v>
      </c>
      <c r="L217" s="9" t="s">
        <v>49</v>
      </c>
      <c r="M217" s="9" t="s">
        <v>73</v>
      </c>
      <c r="N217" s="5" t="b">
        <v>1</v>
      </c>
      <c r="O217" s="5">
        <v>115</v>
      </c>
      <c r="P217" s="9" t="s">
        <v>67</v>
      </c>
      <c r="Q217" s="5">
        <v>6</v>
      </c>
      <c r="R217" s="5">
        <v>1</v>
      </c>
      <c r="S217" s="5">
        <v>1044</v>
      </c>
      <c r="T217" s="10" t="s">
        <v>51</v>
      </c>
      <c r="U217" t="str">
        <f>IF(OR(E217&lt;'Q1'!$E$13,E217&gt;'Q1'!$E$14),"Outliers","Not an Outliers")</f>
        <v>Not an Outliers</v>
      </c>
      <c r="V217" t="str">
        <f t="shared" si="3"/>
        <v>Weekend</v>
      </c>
    </row>
    <row r="218" spans="1:22" x14ac:dyDescent="0.3">
      <c r="A218" s="23">
        <v>45369</v>
      </c>
      <c r="B218" s="7" t="s">
        <v>69</v>
      </c>
      <c r="C218" s="7" t="s">
        <v>45</v>
      </c>
      <c r="D218" s="7" t="s">
        <v>22</v>
      </c>
      <c r="E218" s="4">
        <v>8640</v>
      </c>
      <c r="F218" s="4" t="b">
        <v>0</v>
      </c>
      <c r="G218" s="7" t="s">
        <v>34</v>
      </c>
      <c r="H218" s="7" t="s">
        <v>70</v>
      </c>
      <c r="I218" s="7" t="s">
        <v>59</v>
      </c>
      <c r="J218" s="7" t="s">
        <v>48</v>
      </c>
      <c r="K218" s="4">
        <v>0</v>
      </c>
      <c r="L218" s="7" t="s">
        <v>49</v>
      </c>
      <c r="M218" s="7" t="s">
        <v>73</v>
      </c>
      <c r="N218" s="4" t="b">
        <v>0</v>
      </c>
      <c r="O218" s="4">
        <v>103</v>
      </c>
      <c r="P218" s="7" t="s">
        <v>37</v>
      </c>
      <c r="Q218" s="4">
        <v>10</v>
      </c>
      <c r="R218" s="4">
        <v>2</v>
      </c>
      <c r="S218" s="4">
        <v>2065</v>
      </c>
      <c r="T218" s="8" t="s">
        <v>51</v>
      </c>
      <c r="U218" t="str">
        <f>IF(OR(E218&lt;'Q1'!$E$13,E218&gt;'Q1'!$E$14),"Outliers","Not an Outliers")</f>
        <v>Not an Outliers</v>
      </c>
      <c r="V218" t="str">
        <f t="shared" si="3"/>
        <v>Weekday</v>
      </c>
    </row>
    <row r="219" spans="1:22" x14ac:dyDescent="0.3">
      <c r="A219" s="24">
        <v>45369</v>
      </c>
      <c r="B219" s="9" t="s">
        <v>71</v>
      </c>
      <c r="C219" s="9" t="s">
        <v>32</v>
      </c>
      <c r="D219" s="9" t="s">
        <v>22</v>
      </c>
      <c r="E219" s="5">
        <v>8231</v>
      </c>
      <c r="F219" s="5" t="b">
        <v>0</v>
      </c>
      <c r="G219" s="9" t="s">
        <v>64</v>
      </c>
      <c r="H219" s="9" t="s">
        <v>41</v>
      </c>
      <c r="I219" s="9" t="s">
        <v>25</v>
      </c>
      <c r="J219" s="9" t="s">
        <v>48</v>
      </c>
      <c r="K219" s="5">
        <v>5</v>
      </c>
      <c r="L219" s="9" t="s">
        <v>49</v>
      </c>
      <c r="M219" s="9" t="s">
        <v>58</v>
      </c>
      <c r="N219" s="5" t="b">
        <v>1</v>
      </c>
      <c r="O219" s="5">
        <v>110</v>
      </c>
      <c r="P219" s="9" t="s">
        <v>50</v>
      </c>
      <c r="Q219" s="5">
        <v>5</v>
      </c>
      <c r="R219" s="5">
        <v>1</v>
      </c>
      <c r="S219" s="5">
        <v>1719</v>
      </c>
      <c r="T219" s="10" t="s">
        <v>51</v>
      </c>
      <c r="U219" t="str">
        <f>IF(OR(E219&lt;'Q1'!$E$13,E219&gt;'Q1'!$E$14),"Outliers","Not an Outliers")</f>
        <v>Not an Outliers</v>
      </c>
      <c r="V219" t="str">
        <f t="shared" si="3"/>
        <v>Weekday</v>
      </c>
    </row>
    <row r="220" spans="1:22" x14ac:dyDescent="0.3">
      <c r="A220" s="23">
        <v>45370</v>
      </c>
      <c r="B220" s="7" t="s">
        <v>44</v>
      </c>
      <c r="C220" s="7" t="s">
        <v>21</v>
      </c>
      <c r="D220" s="7" t="s">
        <v>22</v>
      </c>
      <c r="E220" s="4">
        <v>6970</v>
      </c>
      <c r="F220" s="4" t="b">
        <v>0</v>
      </c>
      <c r="G220" s="7" t="s">
        <v>40</v>
      </c>
      <c r="H220" s="7" t="s">
        <v>35</v>
      </c>
      <c r="I220" s="7" t="s">
        <v>59</v>
      </c>
      <c r="J220" s="7" t="s">
        <v>26</v>
      </c>
      <c r="K220" s="4">
        <v>3</v>
      </c>
      <c r="L220" s="7" t="s">
        <v>36</v>
      </c>
      <c r="M220" s="7" t="s">
        <v>28</v>
      </c>
      <c r="N220" s="4" t="b">
        <v>1</v>
      </c>
      <c r="O220" s="4">
        <v>88</v>
      </c>
      <c r="P220" s="7" t="s">
        <v>29</v>
      </c>
      <c r="Q220" s="4">
        <v>10</v>
      </c>
      <c r="R220" s="4">
        <v>3</v>
      </c>
      <c r="S220" s="4">
        <v>1644</v>
      </c>
      <c r="T220" s="8" t="s">
        <v>30</v>
      </c>
      <c r="U220" t="str">
        <f>IF(OR(E220&lt;'Q1'!$E$13,E220&gt;'Q1'!$E$14),"Outliers","Not an Outliers")</f>
        <v>Not an Outliers</v>
      </c>
      <c r="V220" t="str">
        <f t="shared" si="3"/>
        <v>Weekday</v>
      </c>
    </row>
    <row r="221" spans="1:22" x14ac:dyDescent="0.3">
      <c r="A221" s="24">
        <v>45370</v>
      </c>
      <c r="B221" s="9" t="s">
        <v>44</v>
      </c>
      <c r="C221" s="9" t="s">
        <v>60</v>
      </c>
      <c r="D221" s="9" t="s">
        <v>61</v>
      </c>
      <c r="E221" s="5">
        <v>1000</v>
      </c>
      <c r="F221" s="5" t="b">
        <v>0</v>
      </c>
      <c r="G221" s="9" t="s">
        <v>34</v>
      </c>
      <c r="H221" s="9" t="s">
        <v>70</v>
      </c>
      <c r="I221" s="9" t="s">
        <v>42</v>
      </c>
      <c r="J221" s="9" t="s">
        <v>43</v>
      </c>
      <c r="K221" s="5">
        <v>0</v>
      </c>
      <c r="L221" s="9" t="s">
        <v>27</v>
      </c>
      <c r="M221" s="9" t="s">
        <v>28</v>
      </c>
      <c r="N221" s="5" t="b">
        <v>1</v>
      </c>
      <c r="O221" s="5">
        <v>21</v>
      </c>
      <c r="P221" s="9" t="s">
        <v>37</v>
      </c>
      <c r="Q221" s="5">
        <v>6</v>
      </c>
      <c r="R221" s="5">
        <v>2</v>
      </c>
      <c r="S221" s="5">
        <v>4364</v>
      </c>
      <c r="T221" s="10" t="s">
        <v>30</v>
      </c>
      <c r="U221" t="str">
        <f>IF(OR(E221&lt;'Q1'!$E$13,E221&gt;'Q1'!$E$14),"Outliers","Not an Outliers")</f>
        <v>Not an Outliers</v>
      </c>
      <c r="V221" t="str">
        <f t="shared" si="3"/>
        <v>Weekday</v>
      </c>
    </row>
    <row r="222" spans="1:22" x14ac:dyDescent="0.3">
      <c r="A222" s="23">
        <v>45370</v>
      </c>
      <c r="B222" s="7" t="s">
        <v>74</v>
      </c>
      <c r="C222" s="7" t="s">
        <v>45</v>
      </c>
      <c r="D222" s="7" t="s">
        <v>33</v>
      </c>
      <c r="E222" s="4">
        <v>4151</v>
      </c>
      <c r="F222" s="4" t="b">
        <v>0</v>
      </c>
      <c r="G222" s="7" t="s">
        <v>40</v>
      </c>
      <c r="H222" s="7" t="s">
        <v>24</v>
      </c>
      <c r="I222" s="7" t="s">
        <v>59</v>
      </c>
      <c r="J222" s="7" t="s">
        <v>26</v>
      </c>
      <c r="K222" s="4">
        <v>3</v>
      </c>
      <c r="L222" s="7" t="s">
        <v>49</v>
      </c>
      <c r="M222" s="7" t="s">
        <v>73</v>
      </c>
      <c r="N222" s="4" t="b">
        <v>0</v>
      </c>
      <c r="O222" s="4">
        <v>16</v>
      </c>
      <c r="P222" s="7" t="s">
        <v>67</v>
      </c>
      <c r="Q222" s="4">
        <v>6</v>
      </c>
      <c r="R222" s="4">
        <v>3</v>
      </c>
      <c r="S222" s="4">
        <v>1942</v>
      </c>
      <c r="T222" s="8" t="s">
        <v>30</v>
      </c>
      <c r="U222" t="str">
        <f>IF(OR(E222&lt;'Q1'!$E$13,E222&gt;'Q1'!$E$14),"Outliers","Not an Outliers")</f>
        <v>Not an Outliers</v>
      </c>
      <c r="V222" t="str">
        <f t="shared" si="3"/>
        <v>Weekday</v>
      </c>
    </row>
    <row r="223" spans="1:22" x14ac:dyDescent="0.3">
      <c r="A223" s="24">
        <v>45370</v>
      </c>
      <c r="B223" s="9" t="s">
        <v>39</v>
      </c>
      <c r="C223" s="9" t="s">
        <v>32</v>
      </c>
      <c r="D223" s="9" t="s">
        <v>57</v>
      </c>
      <c r="E223" s="5">
        <v>1000</v>
      </c>
      <c r="F223" s="5" t="b">
        <v>0</v>
      </c>
      <c r="G223" s="9" t="s">
        <v>23</v>
      </c>
      <c r="H223" s="9" t="s">
        <v>35</v>
      </c>
      <c r="I223" s="9" t="s">
        <v>47</v>
      </c>
      <c r="J223" s="9" t="s">
        <v>54</v>
      </c>
      <c r="K223" s="5">
        <v>3</v>
      </c>
      <c r="L223" s="9" t="s">
        <v>49</v>
      </c>
      <c r="M223" s="9" t="s">
        <v>73</v>
      </c>
      <c r="N223" s="5" t="b">
        <v>0</v>
      </c>
      <c r="O223" s="5">
        <v>77</v>
      </c>
      <c r="P223" s="9" t="s">
        <v>50</v>
      </c>
      <c r="Q223" s="5">
        <v>1</v>
      </c>
      <c r="R223" s="5">
        <v>1</v>
      </c>
      <c r="S223" s="5">
        <v>3878</v>
      </c>
      <c r="T223" s="10" t="s">
        <v>30</v>
      </c>
      <c r="U223" t="str">
        <f>IF(OR(E223&lt;'Q1'!$E$13,E223&gt;'Q1'!$E$14),"Outliers","Not an Outliers")</f>
        <v>Not an Outliers</v>
      </c>
      <c r="V223" t="str">
        <f t="shared" si="3"/>
        <v>Weekday</v>
      </c>
    </row>
    <row r="224" spans="1:22" x14ac:dyDescent="0.3">
      <c r="A224" s="23">
        <v>45371</v>
      </c>
      <c r="B224" s="7" t="s">
        <v>55</v>
      </c>
      <c r="C224" s="7" t="s">
        <v>56</v>
      </c>
      <c r="D224" s="7" t="s">
        <v>22</v>
      </c>
      <c r="E224" s="4">
        <v>9390</v>
      </c>
      <c r="F224" s="4" t="b">
        <v>0</v>
      </c>
      <c r="G224" s="7" t="s">
        <v>65</v>
      </c>
      <c r="H224" s="7" t="s">
        <v>35</v>
      </c>
      <c r="I224" s="7" t="s">
        <v>59</v>
      </c>
      <c r="J224" s="7" t="s">
        <v>54</v>
      </c>
      <c r="K224" s="4">
        <v>5</v>
      </c>
      <c r="L224" s="7" t="s">
        <v>49</v>
      </c>
      <c r="M224" s="7" t="s">
        <v>58</v>
      </c>
      <c r="N224" s="4" t="b">
        <v>1</v>
      </c>
      <c r="O224" s="4">
        <v>59</v>
      </c>
      <c r="P224" s="7" t="s">
        <v>67</v>
      </c>
      <c r="Q224" s="4">
        <v>1</v>
      </c>
      <c r="R224" s="4">
        <v>2</v>
      </c>
      <c r="S224" s="4">
        <v>4971</v>
      </c>
      <c r="T224" s="8" t="s">
        <v>38</v>
      </c>
      <c r="U224" t="str">
        <f>IF(OR(E224&lt;'Q1'!$E$13,E224&gt;'Q1'!$E$14),"Outliers","Not an Outliers")</f>
        <v>Not an Outliers</v>
      </c>
      <c r="V224" t="str">
        <f t="shared" si="3"/>
        <v>Weekday</v>
      </c>
    </row>
    <row r="225" spans="1:22" x14ac:dyDescent="0.3">
      <c r="A225" s="24">
        <v>45371</v>
      </c>
      <c r="B225" s="9" t="s">
        <v>62</v>
      </c>
      <c r="C225" s="9" t="s">
        <v>21</v>
      </c>
      <c r="D225" s="9" t="s">
        <v>46</v>
      </c>
      <c r="E225" s="5">
        <v>3435</v>
      </c>
      <c r="F225" s="5" t="b">
        <v>0</v>
      </c>
      <c r="G225" s="9" t="s">
        <v>40</v>
      </c>
      <c r="H225" s="9" t="s">
        <v>70</v>
      </c>
      <c r="I225" s="9" t="s">
        <v>25</v>
      </c>
      <c r="J225" s="9" t="s">
        <v>48</v>
      </c>
      <c r="K225" s="5">
        <v>5</v>
      </c>
      <c r="L225" s="9" t="s">
        <v>36</v>
      </c>
      <c r="M225" s="9" t="s">
        <v>66</v>
      </c>
      <c r="N225" s="5" t="b">
        <v>0</v>
      </c>
      <c r="O225" s="5">
        <v>20</v>
      </c>
      <c r="P225" s="9" t="s">
        <v>63</v>
      </c>
      <c r="Q225" s="5">
        <v>6</v>
      </c>
      <c r="R225" s="5">
        <v>3</v>
      </c>
      <c r="S225" s="5">
        <v>4713</v>
      </c>
      <c r="T225" s="10" t="s">
        <v>51</v>
      </c>
      <c r="U225" t="str">
        <f>IF(OR(E225&lt;'Q1'!$E$13,E225&gt;'Q1'!$E$14),"Outliers","Not an Outliers")</f>
        <v>Not an Outliers</v>
      </c>
      <c r="V225" t="str">
        <f t="shared" si="3"/>
        <v>Weekday</v>
      </c>
    </row>
    <row r="226" spans="1:22" x14ac:dyDescent="0.3">
      <c r="A226" s="23">
        <v>45371</v>
      </c>
      <c r="B226" s="7" t="s">
        <v>68</v>
      </c>
      <c r="C226" s="7" t="s">
        <v>45</v>
      </c>
      <c r="D226" s="7" t="s">
        <v>33</v>
      </c>
      <c r="E226" s="4">
        <v>4219</v>
      </c>
      <c r="F226" s="4" t="b">
        <v>0</v>
      </c>
      <c r="G226" s="7" t="s">
        <v>64</v>
      </c>
      <c r="H226" s="7" t="s">
        <v>24</v>
      </c>
      <c r="I226" s="7" t="s">
        <v>42</v>
      </c>
      <c r="J226" s="7" t="s">
        <v>54</v>
      </c>
      <c r="K226" s="4">
        <v>5</v>
      </c>
      <c r="L226" s="7" t="s">
        <v>36</v>
      </c>
      <c r="M226" s="7" t="s">
        <v>28</v>
      </c>
      <c r="N226" s="4" t="b">
        <v>1</v>
      </c>
      <c r="O226" s="4">
        <v>47</v>
      </c>
      <c r="P226" s="7" t="s">
        <v>29</v>
      </c>
      <c r="Q226" s="4">
        <v>2</v>
      </c>
      <c r="R226" s="4">
        <v>3</v>
      </c>
      <c r="S226" s="4">
        <v>2190</v>
      </c>
      <c r="T226" s="8" t="s">
        <v>51</v>
      </c>
      <c r="U226" t="str">
        <f>IF(OR(E226&lt;'Q1'!$E$13,E226&gt;'Q1'!$E$14),"Outliers","Not an Outliers")</f>
        <v>Not an Outliers</v>
      </c>
      <c r="V226" t="str">
        <f t="shared" si="3"/>
        <v>Weekday</v>
      </c>
    </row>
    <row r="227" spans="1:22" x14ac:dyDescent="0.3">
      <c r="A227" s="24">
        <v>45372</v>
      </c>
      <c r="B227" s="9" t="s">
        <v>75</v>
      </c>
      <c r="C227" s="9" t="s">
        <v>45</v>
      </c>
      <c r="D227" s="9" t="s">
        <v>22</v>
      </c>
      <c r="E227" s="5">
        <v>9292</v>
      </c>
      <c r="F227" s="5" t="b">
        <v>0</v>
      </c>
      <c r="G227" s="9" t="s">
        <v>40</v>
      </c>
      <c r="H227" s="9" t="s">
        <v>24</v>
      </c>
      <c r="I227" s="9" t="s">
        <v>59</v>
      </c>
      <c r="J227" s="9" t="s">
        <v>48</v>
      </c>
      <c r="K227" s="5">
        <v>0</v>
      </c>
      <c r="L227" s="9" t="s">
        <v>49</v>
      </c>
      <c r="M227" s="9" t="s">
        <v>28</v>
      </c>
      <c r="N227" s="5" t="b">
        <v>1</v>
      </c>
      <c r="O227" s="5">
        <v>103</v>
      </c>
      <c r="P227" s="9" t="s">
        <v>63</v>
      </c>
      <c r="Q227" s="5">
        <v>4</v>
      </c>
      <c r="R227" s="5">
        <v>1</v>
      </c>
      <c r="S227" s="5">
        <v>528</v>
      </c>
      <c r="T227" s="10" t="s">
        <v>38</v>
      </c>
      <c r="U227" t="str">
        <f>IF(OR(E227&lt;'Q1'!$E$13,E227&gt;'Q1'!$E$14),"Outliers","Not an Outliers")</f>
        <v>Not an Outliers</v>
      </c>
      <c r="V227" t="str">
        <f t="shared" si="3"/>
        <v>Weekday</v>
      </c>
    </row>
    <row r="228" spans="1:22" x14ac:dyDescent="0.3">
      <c r="A228" s="23">
        <v>45374</v>
      </c>
      <c r="B228" s="7" t="s">
        <v>72</v>
      </c>
      <c r="C228" s="7" t="s">
        <v>32</v>
      </c>
      <c r="D228" s="7" t="s">
        <v>53</v>
      </c>
      <c r="E228" s="4">
        <v>7714</v>
      </c>
      <c r="F228" s="4" t="b">
        <v>1</v>
      </c>
      <c r="G228" s="7" t="s">
        <v>40</v>
      </c>
      <c r="H228" s="7" t="s">
        <v>70</v>
      </c>
      <c r="I228" s="7" t="s">
        <v>25</v>
      </c>
      <c r="J228" s="7" t="s">
        <v>43</v>
      </c>
      <c r="K228" s="4">
        <v>3</v>
      </c>
      <c r="L228" s="7" t="s">
        <v>49</v>
      </c>
      <c r="M228" s="7" t="s">
        <v>28</v>
      </c>
      <c r="N228" s="4" t="b">
        <v>0</v>
      </c>
      <c r="O228" s="4">
        <v>116</v>
      </c>
      <c r="P228" s="7" t="s">
        <v>67</v>
      </c>
      <c r="Q228" s="4">
        <v>10</v>
      </c>
      <c r="R228" s="4">
        <v>1</v>
      </c>
      <c r="S228" s="4">
        <v>850</v>
      </c>
      <c r="T228" s="8" t="s">
        <v>38</v>
      </c>
      <c r="U228" t="str">
        <f>IF(OR(E228&lt;'Q1'!$E$13,E228&gt;'Q1'!$E$14),"Outliers","Not an Outliers")</f>
        <v>Not an Outliers</v>
      </c>
      <c r="V228" t="str">
        <f t="shared" si="3"/>
        <v>Weekend</v>
      </c>
    </row>
    <row r="229" spans="1:22" x14ac:dyDescent="0.3">
      <c r="A229" s="24">
        <v>45374</v>
      </c>
      <c r="B229" s="9" t="s">
        <v>76</v>
      </c>
      <c r="C229" s="9" t="s">
        <v>60</v>
      </c>
      <c r="D229" s="9" t="s">
        <v>61</v>
      </c>
      <c r="E229" s="5">
        <v>1000</v>
      </c>
      <c r="F229" s="5" t="b">
        <v>1</v>
      </c>
      <c r="G229" s="9" t="s">
        <v>65</v>
      </c>
      <c r="H229" s="9" t="s">
        <v>35</v>
      </c>
      <c r="I229" s="9" t="s">
        <v>47</v>
      </c>
      <c r="J229" s="9" t="s">
        <v>26</v>
      </c>
      <c r="K229" s="5">
        <v>1</v>
      </c>
      <c r="L229" s="9" t="s">
        <v>36</v>
      </c>
      <c r="M229" s="9" t="s">
        <v>73</v>
      </c>
      <c r="N229" s="5" t="b">
        <v>0</v>
      </c>
      <c r="O229" s="5">
        <v>3</v>
      </c>
      <c r="P229" s="9" t="s">
        <v>29</v>
      </c>
      <c r="Q229" s="5">
        <v>6</v>
      </c>
      <c r="R229" s="5">
        <v>3</v>
      </c>
      <c r="S229" s="5">
        <v>3241</v>
      </c>
      <c r="T229" s="10" t="s">
        <v>38</v>
      </c>
      <c r="U229" t="str">
        <f>IF(OR(E229&lt;'Q1'!$E$13,E229&gt;'Q1'!$E$14),"Outliers","Not an Outliers")</f>
        <v>Not an Outliers</v>
      </c>
      <c r="V229" t="str">
        <f t="shared" si="3"/>
        <v>Weekend</v>
      </c>
    </row>
    <row r="230" spans="1:22" x14ac:dyDescent="0.3">
      <c r="A230" s="23">
        <v>45375</v>
      </c>
      <c r="B230" s="7" t="s">
        <v>74</v>
      </c>
      <c r="C230" s="7" t="s">
        <v>56</v>
      </c>
      <c r="D230" s="7" t="s">
        <v>22</v>
      </c>
      <c r="E230" s="4">
        <v>6223</v>
      </c>
      <c r="F230" s="4" t="b">
        <v>0</v>
      </c>
      <c r="G230" s="7" t="s">
        <v>40</v>
      </c>
      <c r="H230" s="7" t="s">
        <v>24</v>
      </c>
      <c r="I230" s="7" t="s">
        <v>59</v>
      </c>
      <c r="J230" s="7" t="s">
        <v>48</v>
      </c>
      <c r="K230" s="4">
        <v>1</v>
      </c>
      <c r="L230" s="7" t="s">
        <v>49</v>
      </c>
      <c r="M230" s="7" t="s">
        <v>58</v>
      </c>
      <c r="N230" s="4" t="b">
        <v>0</v>
      </c>
      <c r="O230" s="4">
        <v>85</v>
      </c>
      <c r="P230" s="7" t="s">
        <v>29</v>
      </c>
      <c r="Q230" s="4">
        <v>10</v>
      </c>
      <c r="R230" s="4">
        <v>2</v>
      </c>
      <c r="S230" s="4">
        <v>1677</v>
      </c>
      <c r="T230" s="8" t="s">
        <v>38</v>
      </c>
      <c r="U230" t="str">
        <f>IF(OR(E230&lt;'Q1'!$E$13,E230&gt;'Q1'!$E$14),"Outliers","Not an Outliers")</f>
        <v>Not an Outliers</v>
      </c>
      <c r="V230" t="str">
        <f t="shared" si="3"/>
        <v>Weekend</v>
      </c>
    </row>
    <row r="231" spans="1:22" x14ac:dyDescent="0.3">
      <c r="A231" s="24">
        <v>45375</v>
      </c>
      <c r="B231" s="9" t="s">
        <v>68</v>
      </c>
      <c r="C231" s="9" t="s">
        <v>60</v>
      </c>
      <c r="D231" s="9" t="s">
        <v>61</v>
      </c>
      <c r="E231" s="5">
        <v>1000</v>
      </c>
      <c r="F231" s="5" t="b">
        <v>1</v>
      </c>
      <c r="G231" s="9" t="s">
        <v>23</v>
      </c>
      <c r="H231" s="9" t="s">
        <v>35</v>
      </c>
      <c r="I231" s="9" t="s">
        <v>59</v>
      </c>
      <c r="J231" s="9" t="s">
        <v>26</v>
      </c>
      <c r="K231" s="5">
        <v>2</v>
      </c>
      <c r="L231" s="9" t="s">
        <v>49</v>
      </c>
      <c r="M231" s="9" t="s">
        <v>28</v>
      </c>
      <c r="N231" s="5" t="b">
        <v>1</v>
      </c>
      <c r="O231" s="5">
        <v>56</v>
      </c>
      <c r="P231" s="9" t="s">
        <v>37</v>
      </c>
      <c r="Q231" s="5">
        <v>3</v>
      </c>
      <c r="R231" s="5">
        <v>1</v>
      </c>
      <c r="S231" s="5">
        <v>3941</v>
      </c>
      <c r="T231" s="10" t="s">
        <v>51</v>
      </c>
      <c r="U231" t="str">
        <f>IF(OR(E231&lt;'Q1'!$E$13,E231&gt;'Q1'!$E$14),"Outliers","Not an Outliers")</f>
        <v>Not an Outliers</v>
      </c>
      <c r="V231" t="str">
        <f t="shared" si="3"/>
        <v>Weekend</v>
      </c>
    </row>
    <row r="232" spans="1:22" x14ac:dyDescent="0.3">
      <c r="A232" s="23">
        <v>45376</v>
      </c>
      <c r="B232" s="7" t="s">
        <v>68</v>
      </c>
      <c r="C232" s="7" t="s">
        <v>45</v>
      </c>
      <c r="D232" s="7" t="s">
        <v>22</v>
      </c>
      <c r="E232" s="4">
        <v>7195</v>
      </c>
      <c r="F232" s="4" t="b">
        <v>1</v>
      </c>
      <c r="G232" s="7" t="s">
        <v>64</v>
      </c>
      <c r="H232" s="7" t="s">
        <v>35</v>
      </c>
      <c r="I232" s="7" t="s">
        <v>25</v>
      </c>
      <c r="J232" s="7" t="s">
        <v>54</v>
      </c>
      <c r="K232" s="4">
        <v>0</v>
      </c>
      <c r="L232" s="7" t="s">
        <v>49</v>
      </c>
      <c r="M232" s="7" t="s">
        <v>73</v>
      </c>
      <c r="N232" s="4" t="b">
        <v>1</v>
      </c>
      <c r="O232" s="4">
        <v>110</v>
      </c>
      <c r="P232" s="7" t="s">
        <v>37</v>
      </c>
      <c r="Q232" s="4">
        <v>7</v>
      </c>
      <c r="R232" s="4">
        <v>2</v>
      </c>
      <c r="S232" s="4">
        <v>1344</v>
      </c>
      <c r="T232" s="8" t="s">
        <v>30</v>
      </c>
      <c r="U232" t="str">
        <f>IF(OR(E232&lt;'Q1'!$E$13,E232&gt;'Q1'!$E$14),"Outliers","Not an Outliers")</f>
        <v>Not an Outliers</v>
      </c>
      <c r="V232" t="str">
        <f t="shared" si="3"/>
        <v>Weekday</v>
      </c>
    </row>
    <row r="233" spans="1:22" x14ac:dyDescent="0.3">
      <c r="A233" s="24">
        <v>45376</v>
      </c>
      <c r="B233" s="9" t="s">
        <v>52</v>
      </c>
      <c r="C233" s="9" t="s">
        <v>45</v>
      </c>
      <c r="D233" s="9" t="s">
        <v>53</v>
      </c>
      <c r="E233" s="5">
        <v>6178</v>
      </c>
      <c r="F233" s="5" t="b">
        <v>0</v>
      </c>
      <c r="G233" s="9" t="s">
        <v>65</v>
      </c>
      <c r="H233" s="9" t="s">
        <v>70</v>
      </c>
      <c r="I233" s="9" t="s">
        <v>25</v>
      </c>
      <c r="J233" s="9" t="s">
        <v>43</v>
      </c>
      <c r="K233" s="5">
        <v>1</v>
      </c>
      <c r="L233" s="9" t="s">
        <v>49</v>
      </c>
      <c r="M233" s="9" t="s">
        <v>73</v>
      </c>
      <c r="N233" s="5" t="b">
        <v>0</v>
      </c>
      <c r="O233" s="5">
        <v>29</v>
      </c>
      <c r="P233" s="9" t="s">
        <v>67</v>
      </c>
      <c r="Q233" s="5">
        <v>9</v>
      </c>
      <c r="R233" s="5">
        <v>3</v>
      </c>
      <c r="S233" s="5">
        <v>1608</v>
      </c>
      <c r="T233" s="10" t="s">
        <v>51</v>
      </c>
      <c r="U233" t="str">
        <f>IF(OR(E233&lt;'Q1'!$E$13,E233&gt;'Q1'!$E$14),"Outliers","Not an Outliers")</f>
        <v>Not an Outliers</v>
      </c>
      <c r="V233" t="str">
        <f t="shared" si="3"/>
        <v>Weekday</v>
      </c>
    </row>
    <row r="234" spans="1:22" x14ac:dyDescent="0.3">
      <c r="A234" s="23">
        <v>45377</v>
      </c>
      <c r="B234" s="7" t="s">
        <v>44</v>
      </c>
      <c r="C234" s="7" t="s">
        <v>60</v>
      </c>
      <c r="D234" s="7" t="s">
        <v>61</v>
      </c>
      <c r="E234" s="4">
        <v>1000</v>
      </c>
      <c r="F234" s="4" t="b">
        <v>0</v>
      </c>
      <c r="G234" s="7" t="s">
        <v>34</v>
      </c>
      <c r="H234" s="7" t="s">
        <v>35</v>
      </c>
      <c r="I234" s="7" t="s">
        <v>47</v>
      </c>
      <c r="J234" s="7" t="s">
        <v>26</v>
      </c>
      <c r="K234" s="4">
        <v>2</v>
      </c>
      <c r="L234" s="7" t="s">
        <v>49</v>
      </c>
      <c r="M234" s="7" t="s">
        <v>28</v>
      </c>
      <c r="N234" s="4" t="b">
        <v>0</v>
      </c>
      <c r="O234" s="4">
        <v>83</v>
      </c>
      <c r="P234" s="7" t="s">
        <v>29</v>
      </c>
      <c r="Q234" s="4">
        <v>9</v>
      </c>
      <c r="R234" s="4">
        <v>1</v>
      </c>
      <c r="S234" s="4">
        <v>2362</v>
      </c>
      <c r="T234" s="8" t="s">
        <v>38</v>
      </c>
      <c r="U234" t="str">
        <f>IF(OR(E234&lt;'Q1'!$E$13,E234&gt;'Q1'!$E$14),"Outliers","Not an Outliers")</f>
        <v>Not an Outliers</v>
      </c>
      <c r="V234" t="str">
        <f t="shared" si="3"/>
        <v>Weekday</v>
      </c>
    </row>
    <row r="235" spans="1:22" x14ac:dyDescent="0.3">
      <c r="A235" s="24">
        <v>45377</v>
      </c>
      <c r="B235" s="9" t="s">
        <v>74</v>
      </c>
      <c r="C235" s="9" t="s">
        <v>60</v>
      </c>
      <c r="D235" s="9" t="s">
        <v>61</v>
      </c>
      <c r="E235" s="5">
        <v>1000</v>
      </c>
      <c r="F235" s="5" t="b">
        <v>0</v>
      </c>
      <c r="G235" s="9" t="s">
        <v>34</v>
      </c>
      <c r="H235" s="9" t="s">
        <v>24</v>
      </c>
      <c r="I235" s="9" t="s">
        <v>59</v>
      </c>
      <c r="J235" s="9" t="s">
        <v>48</v>
      </c>
      <c r="K235" s="5">
        <v>1</v>
      </c>
      <c r="L235" s="9" t="s">
        <v>49</v>
      </c>
      <c r="M235" s="9" t="s">
        <v>66</v>
      </c>
      <c r="N235" s="5" t="b">
        <v>1</v>
      </c>
      <c r="O235" s="5">
        <v>87</v>
      </c>
      <c r="P235" s="9" t="s">
        <v>37</v>
      </c>
      <c r="Q235" s="5">
        <v>3</v>
      </c>
      <c r="R235" s="5">
        <v>2</v>
      </c>
      <c r="S235" s="5">
        <v>3121</v>
      </c>
      <c r="T235" s="10" t="s">
        <v>38</v>
      </c>
      <c r="U235" t="str">
        <f>IF(OR(E235&lt;'Q1'!$E$13,E235&gt;'Q1'!$E$14),"Outliers","Not an Outliers")</f>
        <v>Not an Outliers</v>
      </c>
      <c r="V235" t="str">
        <f t="shared" si="3"/>
        <v>Weekday</v>
      </c>
    </row>
    <row r="236" spans="1:22" x14ac:dyDescent="0.3">
      <c r="A236" s="23">
        <v>45377</v>
      </c>
      <c r="B236" s="7" t="s">
        <v>77</v>
      </c>
      <c r="C236" s="7" t="s">
        <v>45</v>
      </c>
      <c r="D236" s="7" t="s">
        <v>33</v>
      </c>
      <c r="E236" s="4">
        <v>3939</v>
      </c>
      <c r="F236" s="4" t="b">
        <v>0</v>
      </c>
      <c r="G236" s="7" t="s">
        <v>64</v>
      </c>
      <c r="H236" s="7" t="s">
        <v>24</v>
      </c>
      <c r="I236" s="7" t="s">
        <v>42</v>
      </c>
      <c r="J236" s="7" t="s">
        <v>26</v>
      </c>
      <c r="K236" s="4">
        <v>1</v>
      </c>
      <c r="L236" s="7" t="s">
        <v>36</v>
      </c>
      <c r="M236" s="7" t="s">
        <v>66</v>
      </c>
      <c r="N236" s="4" t="b">
        <v>1</v>
      </c>
      <c r="O236" s="4">
        <v>27</v>
      </c>
      <c r="P236" s="7" t="s">
        <v>29</v>
      </c>
      <c r="Q236" s="4">
        <v>6</v>
      </c>
      <c r="R236" s="4">
        <v>2</v>
      </c>
      <c r="S236" s="4">
        <v>3484</v>
      </c>
      <c r="T236" s="8" t="s">
        <v>38</v>
      </c>
      <c r="U236" t="str">
        <f>IF(OR(E236&lt;'Q1'!$E$13,E236&gt;'Q1'!$E$14),"Outliers","Not an Outliers")</f>
        <v>Not an Outliers</v>
      </c>
      <c r="V236" t="str">
        <f t="shared" si="3"/>
        <v>Weekday</v>
      </c>
    </row>
    <row r="237" spans="1:22" x14ac:dyDescent="0.3">
      <c r="A237" s="24">
        <v>45377</v>
      </c>
      <c r="B237" s="9" t="s">
        <v>55</v>
      </c>
      <c r="C237" s="9" t="s">
        <v>32</v>
      </c>
      <c r="D237" s="9" t="s">
        <v>33</v>
      </c>
      <c r="E237" s="5">
        <v>3825</v>
      </c>
      <c r="F237" s="5" t="b">
        <v>0</v>
      </c>
      <c r="G237" s="9" t="s">
        <v>40</v>
      </c>
      <c r="H237" s="9" t="s">
        <v>35</v>
      </c>
      <c r="I237" s="9" t="s">
        <v>25</v>
      </c>
      <c r="J237" s="9" t="s">
        <v>26</v>
      </c>
      <c r="K237" s="5">
        <v>2</v>
      </c>
      <c r="L237" s="9" t="s">
        <v>27</v>
      </c>
      <c r="M237" s="9" t="s">
        <v>66</v>
      </c>
      <c r="N237" s="5" t="b">
        <v>1</v>
      </c>
      <c r="O237" s="5">
        <v>52</v>
      </c>
      <c r="P237" s="9" t="s">
        <v>63</v>
      </c>
      <c r="Q237" s="5">
        <v>9</v>
      </c>
      <c r="R237" s="5">
        <v>3</v>
      </c>
      <c r="S237" s="5">
        <v>2517</v>
      </c>
      <c r="T237" s="10" t="s">
        <v>51</v>
      </c>
      <c r="U237" t="str">
        <f>IF(OR(E237&lt;'Q1'!$E$13,E237&gt;'Q1'!$E$14),"Outliers","Not an Outliers")</f>
        <v>Not an Outliers</v>
      </c>
      <c r="V237" t="str">
        <f t="shared" si="3"/>
        <v>Weekday</v>
      </c>
    </row>
    <row r="238" spans="1:22" x14ac:dyDescent="0.3">
      <c r="A238" s="23">
        <v>45377</v>
      </c>
      <c r="B238" s="7" t="s">
        <v>39</v>
      </c>
      <c r="C238" s="7" t="s">
        <v>56</v>
      </c>
      <c r="D238" s="7" t="s">
        <v>22</v>
      </c>
      <c r="E238" s="4">
        <v>9931</v>
      </c>
      <c r="F238" s="4" t="b">
        <v>0</v>
      </c>
      <c r="G238" s="7" t="s">
        <v>40</v>
      </c>
      <c r="H238" s="7" t="s">
        <v>35</v>
      </c>
      <c r="I238" s="7" t="s">
        <v>59</v>
      </c>
      <c r="J238" s="7" t="s">
        <v>26</v>
      </c>
      <c r="K238" s="4">
        <v>5</v>
      </c>
      <c r="L238" s="7" t="s">
        <v>36</v>
      </c>
      <c r="M238" s="7" t="s">
        <v>28</v>
      </c>
      <c r="N238" s="4" t="b">
        <v>1</v>
      </c>
      <c r="O238" s="4">
        <v>1</v>
      </c>
      <c r="P238" s="7" t="s">
        <v>63</v>
      </c>
      <c r="Q238" s="4">
        <v>6</v>
      </c>
      <c r="R238" s="4">
        <v>2</v>
      </c>
      <c r="S238" s="4">
        <v>1020</v>
      </c>
      <c r="T238" s="8" t="s">
        <v>30</v>
      </c>
      <c r="U238" t="str">
        <f>IF(OR(E238&lt;'Q1'!$E$13,E238&gt;'Q1'!$E$14),"Outliers","Not an Outliers")</f>
        <v>Not an Outliers</v>
      </c>
      <c r="V238" t="str">
        <f t="shared" si="3"/>
        <v>Weekday</v>
      </c>
    </row>
    <row r="239" spans="1:22" x14ac:dyDescent="0.3">
      <c r="A239" s="24">
        <v>45377</v>
      </c>
      <c r="B239" s="9" t="s">
        <v>75</v>
      </c>
      <c r="C239" s="9" t="s">
        <v>60</v>
      </c>
      <c r="D239" s="9" t="s">
        <v>61</v>
      </c>
      <c r="E239" s="5">
        <v>1000</v>
      </c>
      <c r="F239" s="5" t="b">
        <v>1</v>
      </c>
      <c r="G239" s="9" t="s">
        <v>64</v>
      </c>
      <c r="H239" s="9" t="s">
        <v>24</v>
      </c>
      <c r="I239" s="9" t="s">
        <v>47</v>
      </c>
      <c r="J239" s="9" t="s">
        <v>43</v>
      </c>
      <c r="K239" s="5">
        <v>0</v>
      </c>
      <c r="L239" s="9" t="s">
        <v>36</v>
      </c>
      <c r="M239" s="9" t="s">
        <v>28</v>
      </c>
      <c r="N239" s="5" t="b">
        <v>0</v>
      </c>
      <c r="O239" s="5">
        <v>75</v>
      </c>
      <c r="P239" s="9" t="s">
        <v>37</v>
      </c>
      <c r="Q239" s="5">
        <v>8</v>
      </c>
      <c r="R239" s="5">
        <v>3</v>
      </c>
      <c r="S239" s="5">
        <v>1119</v>
      </c>
      <c r="T239" s="10" t="s">
        <v>51</v>
      </c>
      <c r="U239" t="str">
        <f>IF(OR(E239&lt;'Q1'!$E$13,E239&gt;'Q1'!$E$14),"Outliers","Not an Outliers")</f>
        <v>Not an Outliers</v>
      </c>
      <c r="V239" t="str">
        <f t="shared" si="3"/>
        <v>Weekday</v>
      </c>
    </row>
    <row r="240" spans="1:22" x14ac:dyDescent="0.3">
      <c r="A240" s="23">
        <v>45377</v>
      </c>
      <c r="B240" s="7" t="s">
        <v>69</v>
      </c>
      <c r="C240" s="7" t="s">
        <v>56</v>
      </c>
      <c r="D240" s="7" t="s">
        <v>53</v>
      </c>
      <c r="E240" s="4">
        <v>4521</v>
      </c>
      <c r="F240" s="4" t="b">
        <v>1</v>
      </c>
      <c r="G240" s="7" t="s">
        <v>34</v>
      </c>
      <c r="H240" s="7" t="s">
        <v>35</v>
      </c>
      <c r="I240" s="7" t="s">
        <v>47</v>
      </c>
      <c r="J240" s="7" t="s">
        <v>26</v>
      </c>
      <c r="K240" s="4">
        <v>2</v>
      </c>
      <c r="L240" s="7" t="s">
        <v>36</v>
      </c>
      <c r="M240" s="7" t="s">
        <v>73</v>
      </c>
      <c r="N240" s="4" t="b">
        <v>1</v>
      </c>
      <c r="O240" s="4">
        <v>27</v>
      </c>
      <c r="P240" s="7" t="s">
        <v>50</v>
      </c>
      <c r="Q240" s="4">
        <v>5</v>
      </c>
      <c r="R240" s="4">
        <v>3</v>
      </c>
      <c r="S240" s="4">
        <v>3801</v>
      </c>
      <c r="T240" s="8" t="s">
        <v>51</v>
      </c>
      <c r="U240" t="str">
        <f>IF(OR(E240&lt;'Q1'!$E$13,E240&gt;'Q1'!$E$14),"Outliers","Not an Outliers")</f>
        <v>Not an Outliers</v>
      </c>
      <c r="V240" t="str">
        <f t="shared" si="3"/>
        <v>Weekday</v>
      </c>
    </row>
    <row r="241" spans="1:22" x14ac:dyDescent="0.3">
      <c r="A241" s="24">
        <v>45378</v>
      </c>
      <c r="B241" s="9" t="s">
        <v>39</v>
      </c>
      <c r="C241" s="9" t="s">
        <v>45</v>
      </c>
      <c r="D241" s="9" t="s">
        <v>57</v>
      </c>
      <c r="E241" s="5">
        <v>5000</v>
      </c>
      <c r="F241" s="5" t="b">
        <v>1</v>
      </c>
      <c r="G241" s="9" t="s">
        <v>40</v>
      </c>
      <c r="H241" s="9" t="s">
        <v>24</v>
      </c>
      <c r="I241" s="9" t="s">
        <v>42</v>
      </c>
      <c r="J241" s="9" t="s">
        <v>48</v>
      </c>
      <c r="K241" s="5">
        <v>3</v>
      </c>
      <c r="L241" s="9" t="s">
        <v>27</v>
      </c>
      <c r="M241" s="9" t="s">
        <v>66</v>
      </c>
      <c r="N241" s="5" t="b">
        <v>1</v>
      </c>
      <c r="O241" s="5">
        <v>65</v>
      </c>
      <c r="P241" s="9" t="s">
        <v>67</v>
      </c>
      <c r="Q241" s="5">
        <v>4</v>
      </c>
      <c r="R241" s="5">
        <v>2</v>
      </c>
      <c r="S241" s="5">
        <v>4073</v>
      </c>
      <c r="T241" s="10" t="s">
        <v>38</v>
      </c>
      <c r="U241" t="str">
        <f>IF(OR(E241&lt;'Q1'!$E$13,E241&gt;'Q1'!$E$14),"Outliers","Not an Outliers")</f>
        <v>Not an Outliers</v>
      </c>
      <c r="V241" t="str">
        <f t="shared" si="3"/>
        <v>Weekday</v>
      </c>
    </row>
    <row r="242" spans="1:22" x14ac:dyDescent="0.3">
      <c r="A242" s="23">
        <v>45378</v>
      </c>
      <c r="B242" s="7" t="s">
        <v>20</v>
      </c>
      <c r="C242" s="7" t="s">
        <v>56</v>
      </c>
      <c r="D242" s="7" t="s">
        <v>33</v>
      </c>
      <c r="E242" s="4">
        <v>2882</v>
      </c>
      <c r="F242" s="4" t="b">
        <v>1</v>
      </c>
      <c r="G242" s="7" t="s">
        <v>65</v>
      </c>
      <c r="H242" s="7" t="s">
        <v>70</v>
      </c>
      <c r="I242" s="7" t="s">
        <v>59</v>
      </c>
      <c r="J242" s="7" t="s">
        <v>43</v>
      </c>
      <c r="K242" s="4">
        <v>4</v>
      </c>
      <c r="L242" s="7" t="s">
        <v>49</v>
      </c>
      <c r="M242" s="7" t="s">
        <v>58</v>
      </c>
      <c r="N242" s="4" t="b">
        <v>1</v>
      </c>
      <c r="O242" s="4">
        <v>68</v>
      </c>
      <c r="P242" s="7" t="s">
        <v>63</v>
      </c>
      <c r="Q242" s="4">
        <v>3</v>
      </c>
      <c r="R242" s="4">
        <v>1</v>
      </c>
      <c r="S242" s="4">
        <v>2797</v>
      </c>
      <c r="T242" s="8" t="s">
        <v>38</v>
      </c>
      <c r="U242" t="str">
        <f>IF(OR(E242&lt;'Q1'!$E$13,E242&gt;'Q1'!$E$14),"Outliers","Not an Outliers")</f>
        <v>Not an Outliers</v>
      </c>
      <c r="V242" t="str">
        <f t="shared" si="3"/>
        <v>Weekday</v>
      </c>
    </row>
    <row r="243" spans="1:22" x14ac:dyDescent="0.3">
      <c r="A243" s="24">
        <v>45378</v>
      </c>
      <c r="B243" s="9" t="s">
        <v>44</v>
      </c>
      <c r="C243" s="9" t="s">
        <v>32</v>
      </c>
      <c r="D243" s="9" t="s">
        <v>46</v>
      </c>
      <c r="E243" s="5">
        <v>3944</v>
      </c>
      <c r="F243" s="5" t="b">
        <v>1</v>
      </c>
      <c r="G243" s="9" t="s">
        <v>64</v>
      </c>
      <c r="H243" s="9" t="s">
        <v>70</v>
      </c>
      <c r="I243" s="9" t="s">
        <v>47</v>
      </c>
      <c r="J243" s="9" t="s">
        <v>43</v>
      </c>
      <c r="K243" s="5">
        <v>5</v>
      </c>
      <c r="L243" s="9" t="s">
        <v>49</v>
      </c>
      <c r="M243" s="9" t="s">
        <v>66</v>
      </c>
      <c r="N243" s="5" t="b">
        <v>1</v>
      </c>
      <c r="O243" s="5">
        <v>55</v>
      </c>
      <c r="P243" s="9" t="s">
        <v>50</v>
      </c>
      <c r="Q243" s="5">
        <v>1</v>
      </c>
      <c r="R243" s="5">
        <v>3</v>
      </c>
      <c r="S243" s="5">
        <v>2288</v>
      </c>
      <c r="T243" s="10" t="s">
        <v>38</v>
      </c>
      <c r="U243" t="str">
        <f>IF(OR(E243&lt;'Q1'!$E$13,E243&gt;'Q1'!$E$14),"Outliers","Not an Outliers")</f>
        <v>Not an Outliers</v>
      </c>
      <c r="V243" t="str">
        <f t="shared" si="3"/>
        <v>Weekday</v>
      </c>
    </row>
    <row r="244" spans="1:22" x14ac:dyDescent="0.3">
      <c r="A244" s="23">
        <v>45378</v>
      </c>
      <c r="B244" s="7" t="s">
        <v>77</v>
      </c>
      <c r="C244" s="7" t="s">
        <v>45</v>
      </c>
      <c r="D244" s="7" t="s">
        <v>57</v>
      </c>
      <c r="E244" s="4">
        <v>1000</v>
      </c>
      <c r="F244" s="4" t="b">
        <v>0</v>
      </c>
      <c r="G244" s="7" t="s">
        <v>40</v>
      </c>
      <c r="H244" s="7" t="s">
        <v>70</v>
      </c>
      <c r="I244" s="7" t="s">
        <v>59</v>
      </c>
      <c r="J244" s="7" t="s">
        <v>43</v>
      </c>
      <c r="K244" s="4">
        <v>5</v>
      </c>
      <c r="L244" s="7" t="s">
        <v>36</v>
      </c>
      <c r="M244" s="7" t="s">
        <v>73</v>
      </c>
      <c r="N244" s="4" t="b">
        <v>0</v>
      </c>
      <c r="O244" s="4">
        <v>11</v>
      </c>
      <c r="P244" s="7" t="s">
        <v>67</v>
      </c>
      <c r="Q244" s="4">
        <v>1</v>
      </c>
      <c r="R244" s="4">
        <v>2</v>
      </c>
      <c r="S244" s="4">
        <v>2142</v>
      </c>
      <c r="T244" s="8" t="s">
        <v>38</v>
      </c>
      <c r="U244" t="str">
        <f>IF(OR(E244&lt;'Q1'!$E$13,E244&gt;'Q1'!$E$14),"Outliers","Not an Outliers")</f>
        <v>Not an Outliers</v>
      </c>
      <c r="V244" t="str">
        <f t="shared" si="3"/>
        <v>Weekday</v>
      </c>
    </row>
    <row r="245" spans="1:22" x14ac:dyDescent="0.3">
      <c r="A245" s="24">
        <v>45379</v>
      </c>
      <c r="B245" s="9" t="s">
        <v>74</v>
      </c>
      <c r="C245" s="9" t="s">
        <v>32</v>
      </c>
      <c r="D245" s="9" t="s">
        <v>22</v>
      </c>
      <c r="E245" s="5">
        <v>8744</v>
      </c>
      <c r="F245" s="5" t="b">
        <v>0</v>
      </c>
      <c r="G245" s="9" t="s">
        <v>34</v>
      </c>
      <c r="H245" s="9" t="s">
        <v>70</v>
      </c>
      <c r="I245" s="9" t="s">
        <v>59</v>
      </c>
      <c r="J245" s="9" t="s">
        <v>48</v>
      </c>
      <c r="K245" s="5">
        <v>1</v>
      </c>
      <c r="L245" s="9" t="s">
        <v>49</v>
      </c>
      <c r="M245" s="9" t="s">
        <v>66</v>
      </c>
      <c r="N245" s="5" t="b">
        <v>0</v>
      </c>
      <c r="O245" s="5">
        <v>62</v>
      </c>
      <c r="P245" s="9" t="s">
        <v>50</v>
      </c>
      <c r="Q245" s="5">
        <v>6</v>
      </c>
      <c r="R245" s="5">
        <v>3</v>
      </c>
      <c r="S245" s="5">
        <v>4591</v>
      </c>
      <c r="T245" s="10" t="s">
        <v>30</v>
      </c>
      <c r="U245" t="str">
        <f>IF(OR(E245&lt;'Q1'!$E$13,E245&gt;'Q1'!$E$14),"Outliers","Not an Outliers")</f>
        <v>Not an Outliers</v>
      </c>
      <c r="V245" t="str">
        <f t="shared" si="3"/>
        <v>Weekday</v>
      </c>
    </row>
    <row r="246" spans="1:22" x14ac:dyDescent="0.3">
      <c r="A246" s="23">
        <v>45379</v>
      </c>
      <c r="B246" s="7" t="s">
        <v>77</v>
      </c>
      <c r="C246" s="7" t="s">
        <v>45</v>
      </c>
      <c r="D246" s="7" t="s">
        <v>53</v>
      </c>
      <c r="E246" s="4">
        <v>3015</v>
      </c>
      <c r="F246" s="4" t="b">
        <v>1</v>
      </c>
      <c r="G246" s="7" t="s">
        <v>65</v>
      </c>
      <c r="H246" s="7" t="s">
        <v>70</v>
      </c>
      <c r="I246" s="7" t="s">
        <v>47</v>
      </c>
      <c r="J246" s="7" t="s">
        <v>54</v>
      </c>
      <c r="K246" s="4">
        <v>2</v>
      </c>
      <c r="L246" s="7" t="s">
        <v>36</v>
      </c>
      <c r="M246" s="7" t="s">
        <v>28</v>
      </c>
      <c r="N246" s="4" t="b">
        <v>0</v>
      </c>
      <c r="O246" s="4">
        <v>99</v>
      </c>
      <c r="P246" s="7" t="s">
        <v>29</v>
      </c>
      <c r="Q246" s="4">
        <v>9</v>
      </c>
      <c r="R246" s="4">
        <v>2</v>
      </c>
      <c r="S246" s="4">
        <v>1712</v>
      </c>
      <c r="T246" s="8" t="s">
        <v>38</v>
      </c>
      <c r="U246" t="str">
        <f>IF(OR(E246&lt;'Q1'!$E$13,E246&gt;'Q1'!$E$14),"Outliers","Not an Outliers")</f>
        <v>Not an Outliers</v>
      </c>
      <c r="V246" t="str">
        <f t="shared" si="3"/>
        <v>Weekday</v>
      </c>
    </row>
    <row r="247" spans="1:22" x14ac:dyDescent="0.3">
      <c r="A247" s="24">
        <v>45383</v>
      </c>
      <c r="B247" s="9" t="s">
        <v>75</v>
      </c>
      <c r="C247" s="9" t="s">
        <v>32</v>
      </c>
      <c r="D247" s="9" t="s">
        <v>53</v>
      </c>
      <c r="E247" s="5">
        <v>3853</v>
      </c>
      <c r="F247" s="5" t="b">
        <v>1</v>
      </c>
      <c r="G247" s="9" t="s">
        <v>40</v>
      </c>
      <c r="H247" s="9" t="s">
        <v>35</v>
      </c>
      <c r="I247" s="9" t="s">
        <v>47</v>
      </c>
      <c r="J247" s="9" t="s">
        <v>43</v>
      </c>
      <c r="K247" s="5">
        <v>0</v>
      </c>
      <c r="L247" s="9" t="s">
        <v>36</v>
      </c>
      <c r="M247" s="9" t="s">
        <v>58</v>
      </c>
      <c r="N247" s="5" t="b">
        <v>1</v>
      </c>
      <c r="O247" s="5">
        <v>116</v>
      </c>
      <c r="P247" s="9" t="s">
        <v>37</v>
      </c>
      <c r="Q247" s="5">
        <v>6</v>
      </c>
      <c r="R247" s="5">
        <v>2</v>
      </c>
      <c r="S247" s="5">
        <v>3124</v>
      </c>
      <c r="T247" s="10" t="s">
        <v>38</v>
      </c>
      <c r="U247" t="str">
        <f>IF(OR(E247&lt;'Q1'!$E$13,E247&gt;'Q1'!$E$14),"Outliers","Not an Outliers")</f>
        <v>Not an Outliers</v>
      </c>
      <c r="V247" t="str">
        <f t="shared" si="3"/>
        <v>Weekday</v>
      </c>
    </row>
    <row r="248" spans="1:22" x14ac:dyDescent="0.3">
      <c r="A248" s="23">
        <v>45383</v>
      </c>
      <c r="B248" s="7" t="s">
        <v>71</v>
      </c>
      <c r="C248" s="7" t="s">
        <v>32</v>
      </c>
      <c r="D248" s="7" t="s">
        <v>33</v>
      </c>
      <c r="E248" s="4">
        <v>2850</v>
      </c>
      <c r="F248" s="4" t="b">
        <v>0</v>
      </c>
      <c r="G248" s="7" t="s">
        <v>64</v>
      </c>
      <c r="H248" s="7" t="s">
        <v>70</v>
      </c>
      <c r="I248" s="7" t="s">
        <v>47</v>
      </c>
      <c r="J248" s="7" t="s">
        <v>48</v>
      </c>
      <c r="K248" s="4">
        <v>1</v>
      </c>
      <c r="L248" s="7" t="s">
        <v>27</v>
      </c>
      <c r="M248" s="7" t="s">
        <v>66</v>
      </c>
      <c r="N248" s="4" t="b">
        <v>1</v>
      </c>
      <c r="O248" s="4">
        <v>1</v>
      </c>
      <c r="P248" s="7" t="s">
        <v>67</v>
      </c>
      <c r="Q248" s="4">
        <v>8</v>
      </c>
      <c r="R248" s="4">
        <v>1</v>
      </c>
      <c r="S248" s="4">
        <v>4305</v>
      </c>
      <c r="T248" s="8" t="s">
        <v>38</v>
      </c>
      <c r="U248" t="str">
        <f>IF(OR(E248&lt;'Q1'!$E$13,E248&gt;'Q1'!$E$14),"Outliers","Not an Outliers")</f>
        <v>Not an Outliers</v>
      </c>
      <c r="V248" t="str">
        <f t="shared" si="3"/>
        <v>Weekday</v>
      </c>
    </row>
    <row r="249" spans="1:22" x14ac:dyDescent="0.3">
      <c r="A249" s="24">
        <v>45383</v>
      </c>
      <c r="B249" s="9" t="s">
        <v>62</v>
      </c>
      <c r="C249" s="9" t="s">
        <v>45</v>
      </c>
      <c r="D249" s="9" t="s">
        <v>22</v>
      </c>
      <c r="E249" s="5">
        <v>6924</v>
      </c>
      <c r="F249" s="5" t="b">
        <v>1</v>
      </c>
      <c r="G249" s="9" t="s">
        <v>34</v>
      </c>
      <c r="H249" s="9" t="s">
        <v>41</v>
      </c>
      <c r="I249" s="9" t="s">
        <v>25</v>
      </c>
      <c r="J249" s="9" t="s">
        <v>43</v>
      </c>
      <c r="K249" s="5">
        <v>5</v>
      </c>
      <c r="L249" s="9" t="s">
        <v>49</v>
      </c>
      <c r="M249" s="9" t="s">
        <v>66</v>
      </c>
      <c r="N249" s="5" t="b">
        <v>1</v>
      </c>
      <c r="O249" s="5">
        <v>83</v>
      </c>
      <c r="P249" s="9" t="s">
        <v>29</v>
      </c>
      <c r="Q249" s="5">
        <v>2</v>
      </c>
      <c r="R249" s="5">
        <v>2</v>
      </c>
      <c r="S249" s="5">
        <v>1213</v>
      </c>
      <c r="T249" s="10" t="s">
        <v>38</v>
      </c>
      <c r="U249" t="str">
        <f>IF(OR(E249&lt;'Q1'!$E$13,E249&gt;'Q1'!$E$14),"Outliers","Not an Outliers")</f>
        <v>Not an Outliers</v>
      </c>
      <c r="V249" t="str">
        <f t="shared" si="3"/>
        <v>Weekday</v>
      </c>
    </row>
    <row r="250" spans="1:22" x14ac:dyDescent="0.3">
      <c r="A250" s="23">
        <v>45383</v>
      </c>
      <c r="B250" s="7" t="s">
        <v>75</v>
      </c>
      <c r="C250" s="7" t="s">
        <v>32</v>
      </c>
      <c r="D250" s="7" t="s">
        <v>46</v>
      </c>
      <c r="E250" s="4">
        <v>1729</v>
      </c>
      <c r="F250" s="4" t="b">
        <v>0</v>
      </c>
      <c r="G250" s="7" t="s">
        <v>34</v>
      </c>
      <c r="H250" s="7" t="s">
        <v>70</v>
      </c>
      <c r="I250" s="7" t="s">
        <v>42</v>
      </c>
      <c r="J250" s="7" t="s">
        <v>54</v>
      </c>
      <c r="K250" s="4">
        <v>1</v>
      </c>
      <c r="L250" s="7" t="s">
        <v>27</v>
      </c>
      <c r="M250" s="7" t="s">
        <v>73</v>
      </c>
      <c r="N250" s="4" t="b">
        <v>1</v>
      </c>
      <c r="O250" s="4">
        <v>48</v>
      </c>
      <c r="P250" s="7" t="s">
        <v>29</v>
      </c>
      <c r="Q250" s="4">
        <v>2</v>
      </c>
      <c r="R250" s="4">
        <v>3</v>
      </c>
      <c r="S250" s="4">
        <v>1318</v>
      </c>
      <c r="T250" s="8" t="s">
        <v>30</v>
      </c>
      <c r="U250" t="str">
        <f>IF(OR(E250&lt;'Q1'!$E$13,E250&gt;'Q1'!$E$14),"Outliers","Not an Outliers")</f>
        <v>Not an Outliers</v>
      </c>
      <c r="V250" t="str">
        <f t="shared" si="3"/>
        <v>Weekday</v>
      </c>
    </row>
    <row r="251" spans="1:22" x14ac:dyDescent="0.3">
      <c r="A251" s="24">
        <v>45387</v>
      </c>
      <c r="B251" s="9" t="s">
        <v>68</v>
      </c>
      <c r="C251" s="9" t="s">
        <v>60</v>
      </c>
      <c r="D251" s="9" t="s">
        <v>61</v>
      </c>
      <c r="E251" s="5">
        <v>1000</v>
      </c>
      <c r="F251" s="5" t="b">
        <v>1</v>
      </c>
      <c r="G251" s="9" t="s">
        <v>65</v>
      </c>
      <c r="H251" s="9" t="s">
        <v>70</v>
      </c>
      <c r="I251" s="9" t="s">
        <v>42</v>
      </c>
      <c r="J251" s="9" t="s">
        <v>26</v>
      </c>
      <c r="K251" s="5">
        <v>2</v>
      </c>
      <c r="L251" s="9" t="s">
        <v>36</v>
      </c>
      <c r="M251" s="9" t="s">
        <v>58</v>
      </c>
      <c r="N251" s="5" t="b">
        <v>1</v>
      </c>
      <c r="O251" s="5">
        <v>16</v>
      </c>
      <c r="P251" s="9" t="s">
        <v>29</v>
      </c>
      <c r="Q251" s="5">
        <v>10</v>
      </c>
      <c r="R251" s="5">
        <v>2</v>
      </c>
      <c r="S251" s="5">
        <v>2235</v>
      </c>
      <c r="T251" s="10" t="s">
        <v>30</v>
      </c>
      <c r="U251" t="str">
        <f>IF(OR(E251&lt;'Q1'!$E$13,E251&gt;'Q1'!$E$14),"Outliers","Not an Outliers")</f>
        <v>Not an Outliers</v>
      </c>
      <c r="V251" t="str">
        <f t="shared" si="3"/>
        <v>Weekday</v>
      </c>
    </row>
    <row r="252" spans="1:22" x14ac:dyDescent="0.3">
      <c r="A252" s="23">
        <v>45387</v>
      </c>
      <c r="B252" s="7" t="s">
        <v>77</v>
      </c>
      <c r="C252" s="7" t="s">
        <v>32</v>
      </c>
      <c r="D252" s="7" t="s">
        <v>57</v>
      </c>
      <c r="E252" s="4">
        <v>1000</v>
      </c>
      <c r="F252" s="4" t="b">
        <v>0</v>
      </c>
      <c r="G252" s="7" t="s">
        <v>65</v>
      </c>
      <c r="H252" s="7" t="s">
        <v>24</v>
      </c>
      <c r="I252" s="7" t="s">
        <v>42</v>
      </c>
      <c r="J252" s="7" t="s">
        <v>43</v>
      </c>
      <c r="K252" s="4">
        <v>4</v>
      </c>
      <c r="L252" s="7" t="s">
        <v>36</v>
      </c>
      <c r="M252" s="7" t="s">
        <v>66</v>
      </c>
      <c r="N252" s="4" t="b">
        <v>1</v>
      </c>
      <c r="O252" s="4">
        <v>117</v>
      </c>
      <c r="P252" s="7" t="s">
        <v>29</v>
      </c>
      <c r="Q252" s="4">
        <v>1</v>
      </c>
      <c r="R252" s="4">
        <v>3</v>
      </c>
      <c r="S252" s="4">
        <v>1550</v>
      </c>
      <c r="T252" s="8" t="s">
        <v>51</v>
      </c>
      <c r="U252" t="str">
        <f>IF(OR(E252&lt;'Q1'!$E$13,E252&gt;'Q1'!$E$14),"Outliers","Not an Outliers")</f>
        <v>Not an Outliers</v>
      </c>
      <c r="V252" t="str">
        <f t="shared" si="3"/>
        <v>Weekday</v>
      </c>
    </row>
    <row r="253" spans="1:22" x14ac:dyDescent="0.3">
      <c r="A253" s="24">
        <v>45387</v>
      </c>
      <c r="B253" s="9" t="s">
        <v>69</v>
      </c>
      <c r="C253" s="9" t="s">
        <v>32</v>
      </c>
      <c r="D253" s="9" t="s">
        <v>33</v>
      </c>
      <c r="E253" s="5">
        <v>2520</v>
      </c>
      <c r="F253" s="5" t="b">
        <v>0</v>
      </c>
      <c r="G253" s="9" t="s">
        <v>65</v>
      </c>
      <c r="H253" s="9" t="s">
        <v>24</v>
      </c>
      <c r="I253" s="9" t="s">
        <v>25</v>
      </c>
      <c r="J253" s="9" t="s">
        <v>48</v>
      </c>
      <c r="K253" s="5">
        <v>1</v>
      </c>
      <c r="L253" s="9" t="s">
        <v>49</v>
      </c>
      <c r="M253" s="9" t="s">
        <v>73</v>
      </c>
      <c r="N253" s="5" t="b">
        <v>0</v>
      </c>
      <c r="O253" s="5">
        <v>50</v>
      </c>
      <c r="P253" s="9" t="s">
        <v>63</v>
      </c>
      <c r="Q253" s="5">
        <v>8</v>
      </c>
      <c r="R253" s="5">
        <v>2</v>
      </c>
      <c r="S253" s="5">
        <v>1306</v>
      </c>
      <c r="T253" s="10" t="s">
        <v>30</v>
      </c>
      <c r="U253" t="str">
        <f>IF(OR(E253&lt;'Q1'!$E$13,E253&gt;'Q1'!$E$14),"Outliers","Not an Outliers")</f>
        <v>Not an Outliers</v>
      </c>
      <c r="V253" t="str">
        <f t="shared" si="3"/>
        <v>Weekday</v>
      </c>
    </row>
    <row r="254" spans="1:22" x14ac:dyDescent="0.3">
      <c r="A254" s="23">
        <v>45388</v>
      </c>
      <c r="B254" s="7" t="s">
        <v>71</v>
      </c>
      <c r="C254" s="7" t="s">
        <v>45</v>
      </c>
      <c r="D254" s="7" t="s">
        <v>33</v>
      </c>
      <c r="E254" s="4">
        <v>2595</v>
      </c>
      <c r="F254" s="4" t="b">
        <v>0</v>
      </c>
      <c r="G254" s="7" t="s">
        <v>40</v>
      </c>
      <c r="H254" s="7" t="s">
        <v>24</v>
      </c>
      <c r="I254" s="7" t="s">
        <v>59</v>
      </c>
      <c r="J254" s="7" t="s">
        <v>43</v>
      </c>
      <c r="K254" s="4">
        <v>4</v>
      </c>
      <c r="L254" s="7" t="s">
        <v>49</v>
      </c>
      <c r="M254" s="7" t="s">
        <v>66</v>
      </c>
      <c r="N254" s="4" t="b">
        <v>1</v>
      </c>
      <c r="O254" s="4">
        <v>27</v>
      </c>
      <c r="P254" s="7" t="s">
        <v>37</v>
      </c>
      <c r="Q254" s="4">
        <v>7</v>
      </c>
      <c r="R254" s="4">
        <v>3</v>
      </c>
      <c r="S254" s="4">
        <v>568</v>
      </c>
      <c r="T254" s="8" t="s">
        <v>38</v>
      </c>
      <c r="U254" t="str">
        <f>IF(OR(E254&lt;'Q1'!$E$13,E254&gt;'Q1'!$E$14),"Outliers","Not an Outliers")</f>
        <v>Not an Outliers</v>
      </c>
      <c r="V254" t="str">
        <f t="shared" si="3"/>
        <v>Weekend</v>
      </c>
    </row>
    <row r="255" spans="1:22" x14ac:dyDescent="0.3">
      <c r="A255" s="24">
        <v>45388</v>
      </c>
      <c r="B255" s="9" t="s">
        <v>52</v>
      </c>
      <c r="C255" s="9" t="s">
        <v>56</v>
      </c>
      <c r="D255" s="9" t="s">
        <v>53</v>
      </c>
      <c r="E255" s="5">
        <v>6172</v>
      </c>
      <c r="F255" s="5" t="b">
        <v>0</v>
      </c>
      <c r="G255" s="9" t="s">
        <v>23</v>
      </c>
      <c r="H255" s="9" t="s">
        <v>35</v>
      </c>
      <c r="I255" s="9" t="s">
        <v>47</v>
      </c>
      <c r="J255" s="9" t="s">
        <v>43</v>
      </c>
      <c r="K255" s="5">
        <v>5</v>
      </c>
      <c r="L255" s="9" t="s">
        <v>36</v>
      </c>
      <c r="M255" s="9" t="s">
        <v>58</v>
      </c>
      <c r="N255" s="5" t="b">
        <v>0</v>
      </c>
      <c r="O255" s="5">
        <v>86</v>
      </c>
      <c r="P255" s="9" t="s">
        <v>37</v>
      </c>
      <c r="Q255" s="5">
        <v>7</v>
      </c>
      <c r="R255" s="5">
        <v>3</v>
      </c>
      <c r="S255" s="5">
        <v>3519</v>
      </c>
      <c r="T255" s="10" t="s">
        <v>38</v>
      </c>
      <c r="U255" t="str">
        <f>IF(OR(E255&lt;'Q1'!$E$13,E255&gt;'Q1'!$E$14),"Outliers","Not an Outliers")</f>
        <v>Not an Outliers</v>
      </c>
      <c r="V255" t="str">
        <f t="shared" si="3"/>
        <v>Weekend</v>
      </c>
    </row>
    <row r="256" spans="1:22" x14ac:dyDescent="0.3">
      <c r="A256" s="23">
        <v>45388</v>
      </c>
      <c r="B256" s="7" t="s">
        <v>52</v>
      </c>
      <c r="C256" s="7" t="s">
        <v>60</v>
      </c>
      <c r="D256" s="7" t="s">
        <v>53</v>
      </c>
      <c r="E256" s="4">
        <v>3488</v>
      </c>
      <c r="F256" s="4" t="b">
        <v>0</v>
      </c>
      <c r="G256" s="7" t="s">
        <v>34</v>
      </c>
      <c r="H256" s="7" t="s">
        <v>70</v>
      </c>
      <c r="I256" s="7" t="s">
        <v>25</v>
      </c>
      <c r="J256" s="7" t="s">
        <v>43</v>
      </c>
      <c r="K256" s="4">
        <v>2</v>
      </c>
      <c r="L256" s="7" t="s">
        <v>27</v>
      </c>
      <c r="M256" s="7" t="s">
        <v>28</v>
      </c>
      <c r="N256" s="4" t="b">
        <v>1</v>
      </c>
      <c r="O256" s="4">
        <v>55</v>
      </c>
      <c r="P256" s="7" t="s">
        <v>63</v>
      </c>
      <c r="Q256" s="4">
        <v>2</v>
      </c>
      <c r="R256" s="4">
        <v>2</v>
      </c>
      <c r="S256" s="4">
        <v>1899</v>
      </c>
      <c r="T256" s="8" t="s">
        <v>38</v>
      </c>
      <c r="U256" t="str">
        <f>IF(OR(E256&lt;'Q1'!$E$13,E256&gt;'Q1'!$E$14),"Outliers","Not an Outliers")</f>
        <v>Not an Outliers</v>
      </c>
      <c r="V256" t="str">
        <f t="shared" si="3"/>
        <v>Weekend</v>
      </c>
    </row>
    <row r="257" spans="1:22" x14ac:dyDescent="0.3">
      <c r="A257" s="24">
        <v>45389</v>
      </c>
      <c r="B257" s="9" t="s">
        <v>68</v>
      </c>
      <c r="C257" s="9" t="s">
        <v>21</v>
      </c>
      <c r="D257" s="9" t="s">
        <v>46</v>
      </c>
      <c r="E257" s="5">
        <v>3161</v>
      </c>
      <c r="F257" s="5" t="b">
        <v>1</v>
      </c>
      <c r="G257" s="9" t="s">
        <v>23</v>
      </c>
      <c r="H257" s="9" t="s">
        <v>70</v>
      </c>
      <c r="I257" s="9" t="s">
        <v>42</v>
      </c>
      <c r="J257" s="9" t="s">
        <v>54</v>
      </c>
      <c r="K257" s="5">
        <v>5</v>
      </c>
      <c r="L257" s="9" t="s">
        <v>36</v>
      </c>
      <c r="M257" s="9" t="s">
        <v>58</v>
      </c>
      <c r="N257" s="5" t="b">
        <v>0</v>
      </c>
      <c r="O257" s="5">
        <v>12</v>
      </c>
      <c r="P257" s="9" t="s">
        <v>29</v>
      </c>
      <c r="Q257" s="5">
        <v>9</v>
      </c>
      <c r="R257" s="5">
        <v>1</v>
      </c>
      <c r="S257" s="5">
        <v>3737</v>
      </c>
      <c r="T257" s="10" t="s">
        <v>38</v>
      </c>
      <c r="U257" t="str">
        <f>IF(OR(E257&lt;'Q1'!$E$13,E257&gt;'Q1'!$E$14),"Outliers","Not an Outliers")</f>
        <v>Not an Outliers</v>
      </c>
      <c r="V257" t="str">
        <f t="shared" si="3"/>
        <v>Weekend</v>
      </c>
    </row>
    <row r="258" spans="1:22" x14ac:dyDescent="0.3">
      <c r="A258" s="23">
        <v>45389</v>
      </c>
      <c r="B258" s="7" t="s">
        <v>74</v>
      </c>
      <c r="C258" s="7" t="s">
        <v>56</v>
      </c>
      <c r="D258" s="7" t="s">
        <v>57</v>
      </c>
      <c r="E258" s="4">
        <v>1000</v>
      </c>
      <c r="F258" s="4" t="b">
        <v>0</v>
      </c>
      <c r="G258" s="7" t="s">
        <v>40</v>
      </c>
      <c r="H258" s="7" t="s">
        <v>24</v>
      </c>
      <c r="I258" s="7" t="s">
        <v>25</v>
      </c>
      <c r="J258" s="7" t="s">
        <v>54</v>
      </c>
      <c r="K258" s="4">
        <v>5</v>
      </c>
      <c r="L258" s="7" t="s">
        <v>36</v>
      </c>
      <c r="M258" s="7" t="s">
        <v>28</v>
      </c>
      <c r="N258" s="4" t="b">
        <v>0</v>
      </c>
      <c r="O258" s="4">
        <v>8</v>
      </c>
      <c r="P258" s="7" t="s">
        <v>29</v>
      </c>
      <c r="Q258" s="4">
        <v>5</v>
      </c>
      <c r="R258" s="4">
        <v>2</v>
      </c>
      <c r="S258" s="4">
        <v>4001</v>
      </c>
      <c r="T258" s="8" t="s">
        <v>51</v>
      </c>
      <c r="U258" t="str">
        <f>IF(OR(E258&lt;'Q1'!$E$13,E258&gt;'Q1'!$E$14),"Outliers","Not an Outliers")</f>
        <v>Not an Outliers</v>
      </c>
      <c r="V258" t="str">
        <f t="shared" si="3"/>
        <v>Weekend</v>
      </c>
    </row>
    <row r="259" spans="1:22" x14ac:dyDescent="0.3">
      <c r="A259" s="24">
        <v>45389</v>
      </c>
      <c r="B259" s="9" t="s">
        <v>75</v>
      </c>
      <c r="C259" s="9" t="s">
        <v>60</v>
      </c>
      <c r="D259" s="9" t="s">
        <v>53</v>
      </c>
      <c r="E259" s="5">
        <v>6115</v>
      </c>
      <c r="F259" s="5" t="b">
        <v>0</v>
      </c>
      <c r="G259" s="9" t="s">
        <v>34</v>
      </c>
      <c r="H259" s="9" t="s">
        <v>41</v>
      </c>
      <c r="I259" s="9" t="s">
        <v>59</v>
      </c>
      <c r="J259" s="9" t="s">
        <v>48</v>
      </c>
      <c r="K259" s="5">
        <v>3</v>
      </c>
      <c r="L259" s="9" t="s">
        <v>49</v>
      </c>
      <c r="M259" s="9" t="s">
        <v>66</v>
      </c>
      <c r="N259" s="5" t="b">
        <v>0</v>
      </c>
      <c r="O259" s="5">
        <v>74</v>
      </c>
      <c r="P259" s="9" t="s">
        <v>50</v>
      </c>
      <c r="Q259" s="5">
        <v>2</v>
      </c>
      <c r="R259" s="5">
        <v>3</v>
      </c>
      <c r="S259" s="5">
        <v>1380</v>
      </c>
      <c r="T259" s="10" t="s">
        <v>51</v>
      </c>
      <c r="U259" t="str">
        <f>IF(OR(E259&lt;'Q1'!$E$13,E259&gt;'Q1'!$E$14),"Outliers","Not an Outliers")</f>
        <v>Not an Outliers</v>
      </c>
      <c r="V259" t="str">
        <f t="shared" ref="V259:V322" si="4">IF(WEEKDAY(A259,2)&gt;5,"Weekend","Weekday")</f>
        <v>Weekend</v>
      </c>
    </row>
    <row r="260" spans="1:22" x14ac:dyDescent="0.3">
      <c r="A260" s="23">
        <v>45389</v>
      </c>
      <c r="B260" s="7" t="s">
        <v>20</v>
      </c>
      <c r="C260" s="7" t="s">
        <v>21</v>
      </c>
      <c r="D260" s="7" t="s">
        <v>57</v>
      </c>
      <c r="E260" s="4">
        <v>1000</v>
      </c>
      <c r="F260" s="4" t="b">
        <v>0</v>
      </c>
      <c r="G260" s="7" t="s">
        <v>64</v>
      </c>
      <c r="H260" s="7" t="s">
        <v>41</v>
      </c>
      <c r="I260" s="7" t="s">
        <v>47</v>
      </c>
      <c r="J260" s="7" t="s">
        <v>48</v>
      </c>
      <c r="K260" s="4">
        <v>1</v>
      </c>
      <c r="L260" s="7" t="s">
        <v>36</v>
      </c>
      <c r="M260" s="7" t="s">
        <v>66</v>
      </c>
      <c r="N260" s="4" t="b">
        <v>1</v>
      </c>
      <c r="O260" s="4">
        <v>70</v>
      </c>
      <c r="P260" s="7" t="s">
        <v>37</v>
      </c>
      <c r="Q260" s="4">
        <v>4</v>
      </c>
      <c r="R260" s="4">
        <v>2</v>
      </c>
      <c r="S260" s="4">
        <v>3842</v>
      </c>
      <c r="T260" s="8" t="s">
        <v>38</v>
      </c>
      <c r="U260" t="str">
        <f>IF(OR(E260&lt;'Q1'!$E$13,E260&gt;'Q1'!$E$14),"Outliers","Not an Outliers")</f>
        <v>Not an Outliers</v>
      </c>
      <c r="V260" t="str">
        <f t="shared" si="4"/>
        <v>Weekend</v>
      </c>
    </row>
    <row r="261" spans="1:22" x14ac:dyDescent="0.3">
      <c r="A261" s="24">
        <v>45389</v>
      </c>
      <c r="B261" s="9" t="s">
        <v>68</v>
      </c>
      <c r="C261" s="9" t="s">
        <v>45</v>
      </c>
      <c r="D261" s="9" t="s">
        <v>22</v>
      </c>
      <c r="E261" s="5">
        <v>6344</v>
      </c>
      <c r="F261" s="5" t="b">
        <v>0</v>
      </c>
      <c r="G261" s="9" t="s">
        <v>65</v>
      </c>
      <c r="H261" s="9" t="s">
        <v>41</v>
      </c>
      <c r="I261" s="9" t="s">
        <v>42</v>
      </c>
      <c r="J261" s="9" t="s">
        <v>26</v>
      </c>
      <c r="K261" s="5">
        <v>2</v>
      </c>
      <c r="L261" s="9" t="s">
        <v>49</v>
      </c>
      <c r="M261" s="9" t="s">
        <v>58</v>
      </c>
      <c r="N261" s="5" t="b">
        <v>0</v>
      </c>
      <c r="O261" s="5">
        <v>29</v>
      </c>
      <c r="P261" s="9" t="s">
        <v>29</v>
      </c>
      <c r="Q261" s="5">
        <v>10</v>
      </c>
      <c r="R261" s="5">
        <v>3</v>
      </c>
      <c r="S261" s="5">
        <v>4027</v>
      </c>
      <c r="T261" s="10" t="s">
        <v>38</v>
      </c>
      <c r="U261" t="str">
        <f>IF(OR(E261&lt;'Q1'!$E$13,E261&gt;'Q1'!$E$14),"Outliers","Not an Outliers")</f>
        <v>Not an Outliers</v>
      </c>
      <c r="V261" t="str">
        <f t="shared" si="4"/>
        <v>Weekend</v>
      </c>
    </row>
    <row r="262" spans="1:22" x14ac:dyDescent="0.3">
      <c r="A262" s="23">
        <v>45390</v>
      </c>
      <c r="B262" s="7" t="s">
        <v>55</v>
      </c>
      <c r="C262" s="7" t="s">
        <v>56</v>
      </c>
      <c r="D262" s="7" t="s">
        <v>22</v>
      </c>
      <c r="E262" s="4">
        <v>5407</v>
      </c>
      <c r="F262" s="4" t="b">
        <v>0</v>
      </c>
      <c r="G262" s="7" t="s">
        <v>40</v>
      </c>
      <c r="H262" s="7" t="s">
        <v>41</v>
      </c>
      <c r="I262" s="7" t="s">
        <v>25</v>
      </c>
      <c r="J262" s="7" t="s">
        <v>43</v>
      </c>
      <c r="K262" s="4">
        <v>1</v>
      </c>
      <c r="L262" s="7" t="s">
        <v>36</v>
      </c>
      <c r="M262" s="7" t="s">
        <v>58</v>
      </c>
      <c r="N262" s="4" t="b">
        <v>0</v>
      </c>
      <c r="O262" s="4">
        <v>12</v>
      </c>
      <c r="P262" s="7" t="s">
        <v>50</v>
      </c>
      <c r="Q262" s="4">
        <v>4</v>
      </c>
      <c r="R262" s="4">
        <v>1</v>
      </c>
      <c r="S262" s="4">
        <v>4023</v>
      </c>
      <c r="T262" s="8" t="s">
        <v>30</v>
      </c>
      <c r="U262" t="str">
        <f>IF(OR(E262&lt;'Q1'!$E$13,E262&gt;'Q1'!$E$14),"Outliers","Not an Outliers")</f>
        <v>Not an Outliers</v>
      </c>
      <c r="V262" t="str">
        <f t="shared" si="4"/>
        <v>Weekday</v>
      </c>
    </row>
    <row r="263" spans="1:22" x14ac:dyDescent="0.3">
      <c r="A263" s="24">
        <v>45390</v>
      </c>
      <c r="B263" s="9" t="s">
        <v>74</v>
      </c>
      <c r="C263" s="9" t="s">
        <v>32</v>
      </c>
      <c r="D263" s="9" t="s">
        <v>33</v>
      </c>
      <c r="E263" s="5">
        <v>3752</v>
      </c>
      <c r="F263" s="5" t="b">
        <v>0</v>
      </c>
      <c r="G263" s="9" t="s">
        <v>40</v>
      </c>
      <c r="H263" s="9" t="s">
        <v>35</v>
      </c>
      <c r="I263" s="9" t="s">
        <v>42</v>
      </c>
      <c r="J263" s="9" t="s">
        <v>43</v>
      </c>
      <c r="K263" s="5">
        <v>0</v>
      </c>
      <c r="L263" s="9" t="s">
        <v>36</v>
      </c>
      <c r="M263" s="9" t="s">
        <v>73</v>
      </c>
      <c r="N263" s="5" t="b">
        <v>1</v>
      </c>
      <c r="O263" s="5">
        <v>28</v>
      </c>
      <c r="P263" s="9" t="s">
        <v>50</v>
      </c>
      <c r="Q263" s="5">
        <v>4</v>
      </c>
      <c r="R263" s="5">
        <v>1</v>
      </c>
      <c r="S263" s="5">
        <v>1920</v>
      </c>
      <c r="T263" s="10" t="s">
        <v>51</v>
      </c>
      <c r="U263" t="str">
        <f>IF(OR(E263&lt;'Q1'!$E$13,E263&gt;'Q1'!$E$14),"Outliers","Not an Outliers")</f>
        <v>Not an Outliers</v>
      </c>
      <c r="V263" t="str">
        <f t="shared" si="4"/>
        <v>Weekday</v>
      </c>
    </row>
    <row r="264" spans="1:22" x14ac:dyDescent="0.3">
      <c r="A264" s="23">
        <v>45390</v>
      </c>
      <c r="B264" s="7" t="s">
        <v>74</v>
      </c>
      <c r="C264" s="7" t="s">
        <v>32</v>
      </c>
      <c r="D264" s="7" t="s">
        <v>57</v>
      </c>
      <c r="E264" s="4">
        <v>1000</v>
      </c>
      <c r="F264" s="4" t="b">
        <v>1</v>
      </c>
      <c r="G264" s="7" t="s">
        <v>40</v>
      </c>
      <c r="H264" s="7" t="s">
        <v>24</v>
      </c>
      <c r="I264" s="7" t="s">
        <v>42</v>
      </c>
      <c r="J264" s="7" t="s">
        <v>26</v>
      </c>
      <c r="K264" s="4">
        <v>5</v>
      </c>
      <c r="L264" s="7" t="s">
        <v>27</v>
      </c>
      <c r="M264" s="7" t="s">
        <v>73</v>
      </c>
      <c r="N264" s="4" t="b">
        <v>1</v>
      </c>
      <c r="O264" s="4">
        <v>41</v>
      </c>
      <c r="P264" s="7" t="s">
        <v>50</v>
      </c>
      <c r="Q264" s="4">
        <v>9</v>
      </c>
      <c r="R264" s="4">
        <v>2</v>
      </c>
      <c r="S264" s="4">
        <v>3283</v>
      </c>
      <c r="T264" s="8" t="s">
        <v>51</v>
      </c>
      <c r="U264" t="str">
        <f>IF(OR(E264&lt;'Q1'!$E$13,E264&gt;'Q1'!$E$14),"Outliers","Not an Outliers")</f>
        <v>Not an Outliers</v>
      </c>
      <c r="V264" t="str">
        <f t="shared" si="4"/>
        <v>Weekday</v>
      </c>
    </row>
    <row r="265" spans="1:22" x14ac:dyDescent="0.3">
      <c r="A265" s="24">
        <v>45390</v>
      </c>
      <c r="B265" s="9" t="s">
        <v>69</v>
      </c>
      <c r="C265" s="9" t="s">
        <v>32</v>
      </c>
      <c r="D265" s="9" t="s">
        <v>46</v>
      </c>
      <c r="E265" s="5">
        <v>2447</v>
      </c>
      <c r="F265" s="5" t="b">
        <v>1</v>
      </c>
      <c r="G265" s="9" t="s">
        <v>64</v>
      </c>
      <c r="H265" s="9" t="s">
        <v>35</v>
      </c>
      <c r="I265" s="9" t="s">
        <v>47</v>
      </c>
      <c r="J265" s="9" t="s">
        <v>26</v>
      </c>
      <c r="K265" s="5">
        <v>0</v>
      </c>
      <c r="L265" s="9" t="s">
        <v>49</v>
      </c>
      <c r="M265" s="9" t="s">
        <v>66</v>
      </c>
      <c r="N265" s="5" t="b">
        <v>0</v>
      </c>
      <c r="O265" s="5">
        <v>9</v>
      </c>
      <c r="P265" s="9" t="s">
        <v>63</v>
      </c>
      <c r="Q265" s="5">
        <v>9</v>
      </c>
      <c r="R265" s="5">
        <v>3</v>
      </c>
      <c r="S265" s="5">
        <v>827</v>
      </c>
      <c r="T265" s="10" t="s">
        <v>30</v>
      </c>
      <c r="U265" t="str">
        <f>IF(OR(E265&lt;'Q1'!$E$13,E265&gt;'Q1'!$E$14),"Outliers","Not an Outliers")</f>
        <v>Not an Outliers</v>
      </c>
      <c r="V265" t="str">
        <f t="shared" si="4"/>
        <v>Weekday</v>
      </c>
    </row>
    <row r="266" spans="1:22" x14ac:dyDescent="0.3">
      <c r="A266" s="23">
        <v>45392</v>
      </c>
      <c r="B266" s="7" t="s">
        <v>74</v>
      </c>
      <c r="C266" s="7" t="s">
        <v>21</v>
      </c>
      <c r="D266" s="7" t="s">
        <v>22</v>
      </c>
      <c r="E266" s="4">
        <v>8389</v>
      </c>
      <c r="F266" s="4" t="b">
        <v>0</v>
      </c>
      <c r="G266" s="7" t="s">
        <v>65</v>
      </c>
      <c r="H266" s="7" t="s">
        <v>41</v>
      </c>
      <c r="I266" s="7" t="s">
        <v>42</v>
      </c>
      <c r="J266" s="7" t="s">
        <v>54</v>
      </c>
      <c r="K266" s="4">
        <v>4</v>
      </c>
      <c r="L266" s="7" t="s">
        <v>27</v>
      </c>
      <c r="M266" s="7" t="s">
        <v>58</v>
      </c>
      <c r="N266" s="4" t="b">
        <v>1</v>
      </c>
      <c r="O266" s="4">
        <v>18</v>
      </c>
      <c r="P266" s="7" t="s">
        <v>37</v>
      </c>
      <c r="Q266" s="4">
        <v>6</v>
      </c>
      <c r="R266" s="4">
        <v>1</v>
      </c>
      <c r="S266" s="4">
        <v>4594</v>
      </c>
      <c r="T266" s="8" t="s">
        <v>51</v>
      </c>
      <c r="U266" t="str">
        <f>IF(OR(E266&lt;'Q1'!$E$13,E266&gt;'Q1'!$E$14),"Outliers","Not an Outliers")</f>
        <v>Not an Outliers</v>
      </c>
      <c r="V266" t="str">
        <f t="shared" si="4"/>
        <v>Weekday</v>
      </c>
    </row>
    <row r="267" spans="1:22" x14ac:dyDescent="0.3">
      <c r="A267" s="24">
        <v>45393</v>
      </c>
      <c r="B267" s="9" t="s">
        <v>39</v>
      </c>
      <c r="C267" s="9" t="s">
        <v>21</v>
      </c>
      <c r="D267" s="9" t="s">
        <v>53</v>
      </c>
      <c r="E267" s="5">
        <v>3204</v>
      </c>
      <c r="F267" s="5" t="b">
        <v>0</v>
      </c>
      <c r="G267" s="9" t="s">
        <v>64</v>
      </c>
      <c r="H267" s="9" t="s">
        <v>41</v>
      </c>
      <c r="I267" s="9" t="s">
        <v>25</v>
      </c>
      <c r="J267" s="9" t="s">
        <v>54</v>
      </c>
      <c r="K267" s="5">
        <v>1</v>
      </c>
      <c r="L267" s="9" t="s">
        <v>49</v>
      </c>
      <c r="M267" s="9" t="s">
        <v>58</v>
      </c>
      <c r="N267" s="5" t="b">
        <v>0</v>
      </c>
      <c r="O267" s="5">
        <v>40</v>
      </c>
      <c r="P267" s="9" t="s">
        <v>67</v>
      </c>
      <c r="Q267" s="5">
        <v>8</v>
      </c>
      <c r="R267" s="5">
        <v>2</v>
      </c>
      <c r="S267" s="5">
        <v>2433</v>
      </c>
      <c r="T267" s="10" t="s">
        <v>51</v>
      </c>
      <c r="U267" t="str">
        <f>IF(OR(E267&lt;'Q1'!$E$13,E267&gt;'Q1'!$E$14),"Outliers","Not an Outliers")</f>
        <v>Not an Outliers</v>
      </c>
      <c r="V267" t="str">
        <f t="shared" si="4"/>
        <v>Weekday</v>
      </c>
    </row>
    <row r="268" spans="1:22" x14ac:dyDescent="0.3">
      <c r="A268" s="23">
        <v>45393</v>
      </c>
      <c r="B268" s="7" t="s">
        <v>72</v>
      </c>
      <c r="C268" s="7" t="s">
        <v>60</v>
      </c>
      <c r="D268" s="7" t="s">
        <v>61</v>
      </c>
      <c r="E268" s="4">
        <v>1000</v>
      </c>
      <c r="F268" s="4" t="b">
        <v>0</v>
      </c>
      <c r="G268" s="7" t="s">
        <v>65</v>
      </c>
      <c r="H268" s="7" t="s">
        <v>41</v>
      </c>
      <c r="I268" s="7" t="s">
        <v>47</v>
      </c>
      <c r="J268" s="7" t="s">
        <v>48</v>
      </c>
      <c r="K268" s="4">
        <v>3</v>
      </c>
      <c r="L268" s="7" t="s">
        <v>36</v>
      </c>
      <c r="M268" s="7" t="s">
        <v>73</v>
      </c>
      <c r="N268" s="4" t="b">
        <v>0</v>
      </c>
      <c r="O268" s="4">
        <v>43</v>
      </c>
      <c r="P268" s="7" t="s">
        <v>29</v>
      </c>
      <c r="Q268" s="4">
        <v>4</v>
      </c>
      <c r="R268" s="4">
        <v>1</v>
      </c>
      <c r="S268" s="4">
        <v>2835</v>
      </c>
      <c r="T268" s="8" t="s">
        <v>51</v>
      </c>
      <c r="U268" t="str">
        <f>IF(OR(E268&lt;'Q1'!$E$13,E268&gt;'Q1'!$E$14),"Outliers","Not an Outliers")</f>
        <v>Not an Outliers</v>
      </c>
      <c r="V268" t="str">
        <f t="shared" si="4"/>
        <v>Weekday</v>
      </c>
    </row>
    <row r="269" spans="1:22" x14ac:dyDescent="0.3">
      <c r="A269" s="24">
        <v>45393</v>
      </c>
      <c r="B269" s="9" t="s">
        <v>68</v>
      </c>
      <c r="C269" s="9" t="s">
        <v>32</v>
      </c>
      <c r="D269" s="9" t="s">
        <v>22</v>
      </c>
      <c r="E269" s="5">
        <v>6696</v>
      </c>
      <c r="F269" s="5" t="b">
        <v>1</v>
      </c>
      <c r="G269" s="9" t="s">
        <v>65</v>
      </c>
      <c r="H269" s="9" t="s">
        <v>24</v>
      </c>
      <c r="I269" s="9" t="s">
        <v>25</v>
      </c>
      <c r="J269" s="9" t="s">
        <v>48</v>
      </c>
      <c r="K269" s="5">
        <v>2</v>
      </c>
      <c r="L269" s="9" t="s">
        <v>49</v>
      </c>
      <c r="M269" s="9" t="s">
        <v>66</v>
      </c>
      <c r="N269" s="5" t="b">
        <v>0</v>
      </c>
      <c r="O269" s="5">
        <v>119</v>
      </c>
      <c r="P269" s="9" t="s">
        <v>37</v>
      </c>
      <c r="Q269" s="5">
        <v>6</v>
      </c>
      <c r="R269" s="5">
        <v>3</v>
      </c>
      <c r="S269" s="5">
        <v>4419</v>
      </c>
      <c r="T269" s="10" t="s">
        <v>38</v>
      </c>
      <c r="U269" t="str">
        <f>IF(OR(E269&lt;'Q1'!$E$13,E269&gt;'Q1'!$E$14),"Outliers","Not an Outliers")</f>
        <v>Not an Outliers</v>
      </c>
      <c r="V269" t="str">
        <f t="shared" si="4"/>
        <v>Weekday</v>
      </c>
    </row>
    <row r="270" spans="1:22" x14ac:dyDescent="0.3">
      <c r="A270" s="23">
        <v>45395</v>
      </c>
      <c r="B270" s="7" t="s">
        <v>52</v>
      </c>
      <c r="C270" s="7" t="s">
        <v>56</v>
      </c>
      <c r="D270" s="7" t="s">
        <v>33</v>
      </c>
      <c r="E270" s="4">
        <v>3391</v>
      </c>
      <c r="F270" s="4" t="b">
        <v>1</v>
      </c>
      <c r="G270" s="7" t="s">
        <v>65</v>
      </c>
      <c r="H270" s="7" t="s">
        <v>70</v>
      </c>
      <c r="I270" s="7" t="s">
        <v>47</v>
      </c>
      <c r="J270" s="7" t="s">
        <v>26</v>
      </c>
      <c r="K270" s="4">
        <v>4</v>
      </c>
      <c r="L270" s="7" t="s">
        <v>27</v>
      </c>
      <c r="M270" s="7" t="s">
        <v>28</v>
      </c>
      <c r="N270" s="4" t="b">
        <v>1</v>
      </c>
      <c r="O270" s="4">
        <v>12</v>
      </c>
      <c r="P270" s="7" t="s">
        <v>67</v>
      </c>
      <c r="Q270" s="4">
        <v>3</v>
      </c>
      <c r="R270" s="4">
        <v>2</v>
      </c>
      <c r="S270" s="4">
        <v>655</v>
      </c>
      <c r="T270" s="8" t="s">
        <v>30</v>
      </c>
      <c r="U270" t="str">
        <f>IF(OR(E270&lt;'Q1'!$E$13,E270&gt;'Q1'!$E$14),"Outliers","Not an Outliers")</f>
        <v>Not an Outliers</v>
      </c>
      <c r="V270" t="str">
        <f t="shared" si="4"/>
        <v>Weekend</v>
      </c>
    </row>
    <row r="271" spans="1:22" x14ac:dyDescent="0.3">
      <c r="A271" s="24">
        <v>45395</v>
      </c>
      <c r="B271" s="9" t="s">
        <v>55</v>
      </c>
      <c r="C271" s="9" t="s">
        <v>32</v>
      </c>
      <c r="D271" s="9" t="s">
        <v>46</v>
      </c>
      <c r="E271" s="5">
        <v>4207</v>
      </c>
      <c r="F271" s="5" t="b">
        <v>1</v>
      </c>
      <c r="G271" s="9" t="s">
        <v>23</v>
      </c>
      <c r="H271" s="9" t="s">
        <v>35</v>
      </c>
      <c r="I271" s="9" t="s">
        <v>25</v>
      </c>
      <c r="J271" s="9" t="s">
        <v>26</v>
      </c>
      <c r="K271" s="5">
        <v>3</v>
      </c>
      <c r="L271" s="9" t="s">
        <v>49</v>
      </c>
      <c r="M271" s="9" t="s">
        <v>28</v>
      </c>
      <c r="N271" s="5" t="b">
        <v>0</v>
      </c>
      <c r="O271" s="5">
        <v>88</v>
      </c>
      <c r="P271" s="9" t="s">
        <v>29</v>
      </c>
      <c r="Q271" s="5">
        <v>9</v>
      </c>
      <c r="R271" s="5">
        <v>3</v>
      </c>
      <c r="S271" s="5">
        <v>988</v>
      </c>
      <c r="T271" s="10" t="s">
        <v>38</v>
      </c>
      <c r="U271" t="str">
        <f>IF(OR(E271&lt;'Q1'!$E$13,E271&gt;'Q1'!$E$14),"Outliers","Not an Outliers")</f>
        <v>Not an Outliers</v>
      </c>
      <c r="V271" t="str">
        <f t="shared" si="4"/>
        <v>Weekend</v>
      </c>
    </row>
    <row r="272" spans="1:22" x14ac:dyDescent="0.3">
      <c r="A272" s="23">
        <v>45396</v>
      </c>
      <c r="B272" s="7" t="s">
        <v>44</v>
      </c>
      <c r="C272" s="7" t="s">
        <v>45</v>
      </c>
      <c r="D272" s="7" t="s">
        <v>53</v>
      </c>
      <c r="E272" s="4">
        <v>6756</v>
      </c>
      <c r="F272" s="4" t="b">
        <v>1</v>
      </c>
      <c r="G272" s="7" t="s">
        <v>40</v>
      </c>
      <c r="H272" s="7" t="s">
        <v>41</v>
      </c>
      <c r="I272" s="7" t="s">
        <v>59</v>
      </c>
      <c r="J272" s="7" t="s">
        <v>54</v>
      </c>
      <c r="K272" s="4">
        <v>0</v>
      </c>
      <c r="L272" s="7" t="s">
        <v>49</v>
      </c>
      <c r="M272" s="7" t="s">
        <v>58</v>
      </c>
      <c r="N272" s="4" t="b">
        <v>1</v>
      </c>
      <c r="O272" s="4">
        <v>98</v>
      </c>
      <c r="P272" s="7" t="s">
        <v>67</v>
      </c>
      <c r="Q272" s="4">
        <v>7</v>
      </c>
      <c r="R272" s="4">
        <v>3</v>
      </c>
      <c r="S272" s="4">
        <v>3864</v>
      </c>
      <c r="T272" s="8" t="s">
        <v>30</v>
      </c>
      <c r="U272" t="str">
        <f>IF(OR(E272&lt;'Q1'!$E$13,E272&gt;'Q1'!$E$14),"Outliers","Not an Outliers")</f>
        <v>Not an Outliers</v>
      </c>
      <c r="V272" t="str">
        <f t="shared" si="4"/>
        <v>Weekend</v>
      </c>
    </row>
    <row r="273" spans="1:22" x14ac:dyDescent="0.3">
      <c r="A273" s="24">
        <v>45397</v>
      </c>
      <c r="B273" s="9" t="s">
        <v>55</v>
      </c>
      <c r="C273" s="9" t="s">
        <v>56</v>
      </c>
      <c r="D273" s="9" t="s">
        <v>46</v>
      </c>
      <c r="E273" s="5">
        <v>1899</v>
      </c>
      <c r="F273" s="5" t="b">
        <v>0</v>
      </c>
      <c r="G273" s="9" t="s">
        <v>40</v>
      </c>
      <c r="H273" s="9" t="s">
        <v>24</v>
      </c>
      <c r="I273" s="9" t="s">
        <v>47</v>
      </c>
      <c r="J273" s="9" t="s">
        <v>26</v>
      </c>
      <c r="K273" s="5">
        <v>4</v>
      </c>
      <c r="L273" s="9" t="s">
        <v>36</v>
      </c>
      <c r="M273" s="9" t="s">
        <v>73</v>
      </c>
      <c r="N273" s="5" t="b">
        <v>0</v>
      </c>
      <c r="O273" s="5">
        <v>28</v>
      </c>
      <c r="P273" s="9" t="s">
        <v>67</v>
      </c>
      <c r="Q273" s="5">
        <v>10</v>
      </c>
      <c r="R273" s="5">
        <v>3</v>
      </c>
      <c r="S273" s="5">
        <v>768</v>
      </c>
      <c r="T273" s="10" t="s">
        <v>51</v>
      </c>
      <c r="U273" t="str">
        <f>IF(OR(E273&lt;'Q1'!$E$13,E273&gt;'Q1'!$E$14),"Outliers","Not an Outliers")</f>
        <v>Not an Outliers</v>
      </c>
      <c r="V273" t="str">
        <f t="shared" si="4"/>
        <v>Weekday</v>
      </c>
    </row>
    <row r="274" spans="1:22" x14ac:dyDescent="0.3">
      <c r="A274" s="23">
        <v>45398</v>
      </c>
      <c r="B274" s="7" t="s">
        <v>68</v>
      </c>
      <c r="C274" s="7" t="s">
        <v>56</v>
      </c>
      <c r="D274" s="7" t="s">
        <v>33</v>
      </c>
      <c r="E274" s="4">
        <v>2433</v>
      </c>
      <c r="F274" s="4" t="b">
        <v>0</v>
      </c>
      <c r="G274" s="7" t="s">
        <v>64</v>
      </c>
      <c r="H274" s="7" t="s">
        <v>24</v>
      </c>
      <c r="I274" s="7" t="s">
        <v>25</v>
      </c>
      <c r="J274" s="7" t="s">
        <v>54</v>
      </c>
      <c r="K274" s="4">
        <v>1</v>
      </c>
      <c r="L274" s="7" t="s">
        <v>49</v>
      </c>
      <c r="M274" s="7" t="s">
        <v>66</v>
      </c>
      <c r="N274" s="4" t="b">
        <v>1</v>
      </c>
      <c r="O274" s="4">
        <v>59</v>
      </c>
      <c r="P274" s="7" t="s">
        <v>29</v>
      </c>
      <c r="Q274" s="4">
        <v>5</v>
      </c>
      <c r="R274" s="4">
        <v>1</v>
      </c>
      <c r="S274" s="4">
        <v>1479</v>
      </c>
      <c r="T274" s="8" t="s">
        <v>38</v>
      </c>
      <c r="U274" t="str">
        <f>IF(OR(E274&lt;'Q1'!$E$13,E274&gt;'Q1'!$E$14),"Outliers","Not an Outliers")</f>
        <v>Not an Outliers</v>
      </c>
      <c r="V274" t="str">
        <f t="shared" si="4"/>
        <v>Weekday</v>
      </c>
    </row>
    <row r="275" spans="1:22" x14ac:dyDescent="0.3">
      <c r="A275" s="24">
        <v>45398</v>
      </c>
      <c r="B275" s="9" t="s">
        <v>72</v>
      </c>
      <c r="C275" s="9" t="s">
        <v>60</v>
      </c>
      <c r="D275" s="9" t="s">
        <v>33</v>
      </c>
      <c r="E275" s="5">
        <v>4507</v>
      </c>
      <c r="F275" s="5" t="b">
        <v>0</v>
      </c>
      <c r="G275" s="9" t="s">
        <v>65</v>
      </c>
      <c r="H275" s="9" t="s">
        <v>41</v>
      </c>
      <c r="I275" s="9" t="s">
        <v>47</v>
      </c>
      <c r="J275" s="9" t="s">
        <v>26</v>
      </c>
      <c r="K275" s="5">
        <v>2</v>
      </c>
      <c r="L275" s="9" t="s">
        <v>36</v>
      </c>
      <c r="M275" s="9" t="s">
        <v>58</v>
      </c>
      <c r="N275" s="5" t="b">
        <v>0</v>
      </c>
      <c r="O275" s="5">
        <v>46</v>
      </c>
      <c r="P275" s="9" t="s">
        <v>50</v>
      </c>
      <c r="Q275" s="5">
        <v>10</v>
      </c>
      <c r="R275" s="5">
        <v>1</v>
      </c>
      <c r="S275" s="5">
        <v>519</v>
      </c>
      <c r="T275" s="10" t="s">
        <v>30</v>
      </c>
      <c r="U275" t="str">
        <f>IF(OR(E275&lt;'Q1'!$E$13,E275&gt;'Q1'!$E$14),"Outliers","Not an Outliers")</f>
        <v>Not an Outliers</v>
      </c>
      <c r="V275" t="str">
        <f t="shared" si="4"/>
        <v>Weekday</v>
      </c>
    </row>
    <row r="276" spans="1:22" x14ac:dyDescent="0.3">
      <c r="A276" s="23">
        <v>45398</v>
      </c>
      <c r="B276" s="7" t="s">
        <v>31</v>
      </c>
      <c r="C276" s="7" t="s">
        <v>60</v>
      </c>
      <c r="D276" s="7" t="s">
        <v>46</v>
      </c>
      <c r="E276" s="4">
        <v>3781</v>
      </c>
      <c r="F276" s="4" t="b">
        <v>0</v>
      </c>
      <c r="G276" s="7" t="s">
        <v>23</v>
      </c>
      <c r="H276" s="7" t="s">
        <v>35</v>
      </c>
      <c r="I276" s="7" t="s">
        <v>47</v>
      </c>
      <c r="J276" s="7" t="s">
        <v>43</v>
      </c>
      <c r="K276" s="4">
        <v>4</v>
      </c>
      <c r="L276" s="7" t="s">
        <v>27</v>
      </c>
      <c r="M276" s="7" t="s">
        <v>73</v>
      </c>
      <c r="N276" s="4" t="b">
        <v>0</v>
      </c>
      <c r="O276" s="4">
        <v>87</v>
      </c>
      <c r="P276" s="7" t="s">
        <v>67</v>
      </c>
      <c r="Q276" s="4">
        <v>3</v>
      </c>
      <c r="R276" s="4">
        <v>2</v>
      </c>
      <c r="S276" s="4">
        <v>2163</v>
      </c>
      <c r="T276" s="8" t="s">
        <v>38</v>
      </c>
      <c r="U276" t="str">
        <f>IF(OR(E276&lt;'Q1'!$E$13,E276&gt;'Q1'!$E$14),"Outliers","Not an Outliers")</f>
        <v>Not an Outliers</v>
      </c>
      <c r="V276" t="str">
        <f t="shared" si="4"/>
        <v>Weekday</v>
      </c>
    </row>
    <row r="277" spans="1:22" x14ac:dyDescent="0.3">
      <c r="A277" s="24">
        <v>45399</v>
      </c>
      <c r="B277" s="9" t="s">
        <v>44</v>
      </c>
      <c r="C277" s="9" t="s">
        <v>32</v>
      </c>
      <c r="D277" s="9" t="s">
        <v>57</v>
      </c>
      <c r="E277" s="5">
        <v>1000</v>
      </c>
      <c r="F277" s="5" t="b">
        <v>0</v>
      </c>
      <c r="G277" s="9" t="s">
        <v>40</v>
      </c>
      <c r="H277" s="9" t="s">
        <v>24</v>
      </c>
      <c r="I277" s="9" t="s">
        <v>59</v>
      </c>
      <c r="J277" s="9" t="s">
        <v>54</v>
      </c>
      <c r="K277" s="5">
        <v>0</v>
      </c>
      <c r="L277" s="9" t="s">
        <v>49</v>
      </c>
      <c r="M277" s="9" t="s">
        <v>66</v>
      </c>
      <c r="N277" s="5" t="b">
        <v>0</v>
      </c>
      <c r="O277" s="5">
        <v>70</v>
      </c>
      <c r="P277" s="9" t="s">
        <v>50</v>
      </c>
      <c r="Q277" s="5">
        <v>10</v>
      </c>
      <c r="R277" s="5">
        <v>1</v>
      </c>
      <c r="S277" s="5">
        <v>1495</v>
      </c>
      <c r="T277" s="10" t="s">
        <v>30</v>
      </c>
      <c r="U277" t="str">
        <f>IF(OR(E277&lt;'Q1'!$E$13,E277&gt;'Q1'!$E$14),"Outliers","Not an Outliers")</f>
        <v>Not an Outliers</v>
      </c>
      <c r="V277" t="str">
        <f t="shared" si="4"/>
        <v>Weekday</v>
      </c>
    </row>
    <row r="278" spans="1:22" x14ac:dyDescent="0.3">
      <c r="A278" s="23">
        <v>45399</v>
      </c>
      <c r="B278" s="7" t="s">
        <v>72</v>
      </c>
      <c r="C278" s="7" t="s">
        <v>21</v>
      </c>
      <c r="D278" s="7" t="s">
        <v>53</v>
      </c>
      <c r="E278" s="4">
        <v>6476</v>
      </c>
      <c r="F278" s="4" t="b">
        <v>1</v>
      </c>
      <c r="G278" s="7" t="s">
        <v>65</v>
      </c>
      <c r="H278" s="7" t="s">
        <v>35</v>
      </c>
      <c r="I278" s="7" t="s">
        <v>59</v>
      </c>
      <c r="J278" s="7" t="s">
        <v>48</v>
      </c>
      <c r="K278" s="4">
        <v>4</v>
      </c>
      <c r="L278" s="7" t="s">
        <v>36</v>
      </c>
      <c r="M278" s="7" t="s">
        <v>28</v>
      </c>
      <c r="N278" s="4" t="b">
        <v>1</v>
      </c>
      <c r="O278" s="4">
        <v>95</v>
      </c>
      <c r="P278" s="7" t="s">
        <v>37</v>
      </c>
      <c r="Q278" s="4">
        <v>1</v>
      </c>
      <c r="R278" s="4">
        <v>2</v>
      </c>
      <c r="S278" s="4">
        <v>2242</v>
      </c>
      <c r="T278" s="8" t="s">
        <v>51</v>
      </c>
      <c r="U278" t="str">
        <f>IF(OR(E278&lt;'Q1'!$E$13,E278&gt;'Q1'!$E$14),"Outliers","Not an Outliers")</f>
        <v>Not an Outliers</v>
      </c>
      <c r="V278" t="str">
        <f t="shared" si="4"/>
        <v>Weekday</v>
      </c>
    </row>
    <row r="279" spans="1:22" x14ac:dyDescent="0.3">
      <c r="A279" s="24">
        <v>45399</v>
      </c>
      <c r="B279" s="9" t="s">
        <v>68</v>
      </c>
      <c r="C279" s="9" t="s">
        <v>32</v>
      </c>
      <c r="D279" s="9" t="s">
        <v>53</v>
      </c>
      <c r="E279" s="5">
        <v>7712</v>
      </c>
      <c r="F279" s="5" t="b">
        <v>0</v>
      </c>
      <c r="G279" s="9" t="s">
        <v>64</v>
      </c>
      <c r="H279" s="9" t="s">
        <v>70</v>
      </c>
      <c r="I279" s="9" t="s">
        <v>25</v>
      </c>
      <c r="J279" s="9" t="s">
        <v>54</v>
      </c>
      <c r="K279" s="5">
        <v>3</v>
      </c>
      <c r="L279" s="9" t="s">
        <v>49</v>
      </c>
      <c r="M279" s="9" t="s">
        <v>58</v>
      </c>
      <c r="N279" s="5" t="b">
        <v>0</v>
      </c>
      <c r="O279" s="5">
        <v>110</v>
      </c>
      <c r="P279" s="9" t="s">
        <v>50</v>
      </c>
      <c r="Q279" s="5">
        <v>10</v>
      </c>
      <c r="R279" s="5">
        <v>1</v>
      </c>
      <c r="S279" s="5">
        <v>1048</v>
      </c>
      <c r="T279" s="10" t="s">
        <v>51</v>
      </c>
      <c r="U279" t="str">
        <f>IF(OR(E279&lt;'Q1'!$E$13,E279&gt;'Q1'!$E$14),"Outliers","Not an Outliers")</f>
        <v>Not an Outliers</v>
      </c>
      <c r="V279" t="str">
        <f t="shared" si="4"/>
        <v>Weekday</v>
      </c>
    </row>
    <row r="280" spans="1:22" x14ac:dyDescent="0.3">
      <c r="A280" s="23">
        <v>45400</v>
      </c>
      <c r="B280" s="7" t="s">
        <v>62</v>
      </c>
      <c r="C280" s="7" t="s">
        <v>45</v>
      </c>
      <c r="D280" s="7" t="s">
        <v>46</v>
      </c>
      <c r="E280" s="4">
        <v>1385</v>
      </c>
      <c r="F280" s="4" t="b">
        <v>1</v>
      </c>
      <c r="G280" s="7" t="s">
        <v>23</v>
      </c>
      <c r="H280" s="7" t="s">
        <v>41</v>
      </c>
      <c r="I280" s="7" t="s">
        <v>25</v>
      </c>
      <c r="J280" s="7" t="s">
        <v>48</v>
      </c>
      <c r="K280" s="4">
        <v>5</v>
      </c>
      <c r="L280" s="7" t="s">
        <v>36</v>
      </c>
      <c r="M280" s="7" t="s">
        <v>73</v>
      </c>
      <c r="N280" s="4" t="b">
        <v>0</v>
      </c>
      <c r="O280" s="4">
        <v>11</v>
      </c>
      <c r="P280" s="7" t="s">
        <v>37</v>
      </c>
      <c r="Q280" s="4">
        <v>6</v>
      </c>
      <c r="R280" s="4">
        <v>1</v>
      </c>
      <c r="S280" s="4">
        <v>2577</v>
      </c>
      <c r="T280" s="8" t="s">
        <v>51</v>
      </c>
      <c r="U280" t="str">
        <f>IF(OR(E280&lt;'Q1'!$E$13,E280&gt;'Q1'!$E$14),"Outliers","Not an Outliers")</f>
        <v>Not an Outliers</v>
      </c>
      <c r="V280" t="str">
        <f t="shared" si="4"/>
        <v>Weekday</v>
      </c>
    </row>
    <row r="281" spans="1:22" x14ac:dyDescent="0.3">
      <c r="A281" s="24">
        <v>45400</v>
      </c>
      <c r="B281" s="9" t="s">
        <v>44</v>
      </c>
      <c r="C281" s="9" t="s">
        <v>56</v>
      </c>
      <c r="D281" s="9" t="s">
        <v>46</v>
      </c>
      <c r="E281" s="5">
        <v>4260</v>
      </c>
      <c r="F281" s="5" t="b">
        <v>1</v>
      </c>
      <c r="G281" s="9" t="s">
        <v>40</v>
      </c>
      <c r="H281" s="9" t="s">
        <v>24</v>
      </c>
      <c r="I281" s="9" t="s">
        <v>42</v>
      </c>
      <c r="J281" s="9" t="s">
        <v>48</v>
      </c>
      <c r="K281" s="5">
        <v>0</v>
      </c>
      <c r="L281" s="9" t="s">
        <v>49</v>
      </c>
      <c r="M281" s="9" t="s">
        <v>66</v>
      </c>
      <c r="N281" s="5" t="b">
        <v>1</v>
      </c>
      <c r="O281" s="5">
        <v>105</v>
      </c>
      <c r="P281" s="9" t="s">
        <v>29</v>
      </c>
      <c r="Q281" s="5">
        <v>1</v>
      </c>
      <c r="R281" s="5">
        <v>1</v>
      </c>
      <c r="S281" s="5">
        <v>4455</v>
      </c>
      <c r="T281" s="10" t="s">
        <v>51</v>
      </c>
      <c r="U281" t="str">
        <f>IF(OR(E281&lt;'Q1'!$E$13,E281&gt;'Q1'!$E$14),"Outliers","Not an Outliers")</f>
        <v>Not an Outliers</v>
      </c>
      <c r="V281" t="str">
        <f t="shared" si="4"/>
        <v>Weekday</v>
      </c>
    </row>
    <row r="282" spans="1:22" x14ac:dyDescent="0.3">
      <c r="A282" s="23">
        <v>45402</v>
      </c>
      <c r="B282" s="7" t="s">
        <v>72</v>
      </c>
      <c r="C282" s="7" t="s">
        <v>56</v>
      </c>
      <c r="D282" s="7" t="s">
        <v>57</v>
      </c>
      <c r="E282" s="4">
        <v>1000</v>
      </c>
      <c r="F282" s="4" t="b">
        <v>0</v>
      </c>
      <c r="G282" s="7" t="s">
        <v>40</v>
      </c>
      <c r="H282" s="7" t="s">
        <v>24</v>
      </c>
      <c r="I282" s="7" t="s">
        <v>42</v>
      </c>
      <c r="J282" s="7" t="s">
        <v>54</v>
      </c>
      <c r="K282" s="4">
        <v>3</v>
      </c>
      <c r="L282" s="7" t="s">
        <v>36</v>
      </c>
      <c r="M282" s="7" t="s">
        <v>73</v>
      </c>
      <c r="N282" s="4" t="b">
        <v>0</v>
      </c>
      <c r="O282" s="4">
        <v>50</v>
      </c>
      <c r="P282" s="7" t="s">
        <v>67</v>
      </c>
      <c r="Q282" s="4">
        <v>1</v>
      </c>
      <c r="R282" s="4">
        <v>1</v>
      </c>
      <c r="S282" s="4">
        <v>4727</v>
      </c>
      <c r="T282" s="8" t="s">
        <v>51</v>
      </c>
      <c r="U282" t="str">
        <f>IF(OR(E282&lt;'Q1'!$E$13,E282&gt;'Q1'!$E$14),"Outliers","Not an Outliers")</f>
        <v>Not an Outliers</v>
      </c>
      <c r="V282" t="str">
        <f t="shared" si="4"/>
        <v>Weekend</v>
      </c>
    </row>
    <row r="283" spans="1:22" x14ac:dyDescent="0.3">
      <c r="A283" s="24">
        <v>45402</v>
      </c>
      <c r="B283" s="9" t="s">
        <v>20</v>
      </c>
      <c r="C283" s="9" t="s">
        <v>45</v>
      </c>
      <c r="D283" s="9" t="s">
        <v>53</v>
      </c>
      <c r="E283" s="5">
        <v>7565</v>
      </c>
      <c r="F283" s="5" t="b">
        <v>1</v>
      </c>
      <c r="G283" s="9" t="s">
        <v>23</v>
      </c>
      <c r="H283" s="9" t="s">
        <v>24</v>
      </c>
      <c r="I283" s="9" t="s">
        <v>47</v>
      </c>
      <c r="J283" s="9" t="s">
        <v>43</v>
      </c>
      <c r="K283" s="5">
        <v>2</v>
      </c>
      <c r="L283" s="9" t="s">
        <v>27</v>
      </c>
      <c r="M283" s="9" t="s">
        <v>73</v>
      </c>
      <c r="N283" s="5" t="b">
        <v>1</v>
      </c>
      <c r="O283" s="5">
        <v>63</v>
      </c>
      <c r="P283" s="9" t="s">
        <v>37</v>
      </c>
      <c r="Q283" s="5">
        <v>4</v>
      </c>
      <c r="R283" s="5">
        <v>3</v>
      </c>
      <c r="S283" s="5">
        <v>2251</v>
      </c>
      <c r="T283" s="10" t="s">
        <v>30</v>
      </c>
      <c r="U283" t="str">
        <f>IF(OR(E283&lt;'Q1'!$E$13,E283&gt;'Q1'!$E$14),"Outliers","Not an Outliers")</f>
        <v>Not an Outliers</v>
      </c>
      <c r="V283" t="str">
        <f t="shared" si="4"/>
        <v>Weekend</v>
      </c>
    </row>
    <row r="284" spans="1:22" x14ac:dyDescent="0.3">
      <c r="A284" s="23">
        <v>45403</v>
      </c>
      <c r="B284" s="7" t="s">
        <v>77</v>
      </c>
      <c r="C284" s="7" t="s">
        <v>56</v>
      </c>
      <c r="D284" s="7" t="s">
        <v>33</v>
      </c>
      <c r="E284" s="4">
        <v>1763</v>
      </c>
      <c r="F284" s="4" t="b">
        <v>0</v>
      </c>
      <c r="G284" s="7" t="s">
        <v>34</v>
      </c>
      <c r="H284" s="7" t="s">
        <v>70</v>
      </c>
      <c r="I284" s="7" t="s">
        <v>47</v>
      </c>
      <c r="J284" s="7" t="s">
        <v>48</v>
      </c>
      <c r="K284" s="4">
        <v>1</v>
      </c>
      <c r="L284" s="7" t="s">
        <v>27</v>
      </c>
      <c r="M284" s="7" t="s">
        <v>58</v>
      </c>
      <c r="N284" s="4" t="b">
        <v>0</v>
      </c>
      <c r="O284" s="4">
        <v>64</v>
      </c>
      <c r="P284" s="7" t="s">
        <v>67</v>
      </c>
      <c r="Q284" s="4">
        <v>3</v>
      </c>
      <c r="R284" s="4">
        <v>1</v>
      </c>
      <c r="S284" s="4">
        <v>2871</v>
      </c>
      <c r="T284" s="8" t="s">
        <v>30</v>
      </c>
      <c r="U284" t="str">
        <f>IF(OR(E284&lt;'Q1'!$E$13,E284&gt;'Q1'!$E$14),"Outliers","Not an Outliers")</f>
        <v>Not an Outliers</v>
      </c>
      <c r="V284" t="str">
        <f t="shared" si="4"/>
        <v>Weekend</v>
      </c>
    </row>
    <row r="285" spans="1:22" x14ac:dyDescent="0.3">
      <c r="A285" s="24">
        <v>45403</v>
      </c>
      <c r="B285" s="9" t="s">
        <v>68</v>
      </c>
      <c r="C285" s="9" t="s">
        <v>21</v>
      </c>
      <c r="D285" s="9" t="s">
        <v>57</v>
      </c>
      <c r="E285" s="5">
        <v>1000</v>
      </c>
      <c r="F285" s="5" t="b">
        <v>0</v>
      </c>
      <c r="G285" s="9" t="s">
        <v>40</v>
      </c>
      <c r="H285" s="9" t="s">
        <v>70</v>
      </c>
      <c r="I285" s="9" t="s">
        <v>47</v>
      </c>
      <c r="J285" s="9" t="s">
        <v>43</v>
      </c>
      <c r="K285" s="5">
        <v>1</v>
      </c>
      <c r="L285" s="9" t="s">
        <v>36</v>
      </c>
      <c r="M285" s="9" t="s">
        <v>28</v>
      </c>
      <c r="N285" s="5" t="b">
        <v>1</v>
      </c>
      <c r="O285" s="5">
        <v>43</v>
      </c>
      <c r="P285" s="9" t="s">
        <v>29</v>
      </c>
      <c r="Q285" s="5">
        <v>6</v>
      </c>
      <c r="R285" s="5">
        <v>1</v>
      </c>
      <c r="S285" s="5">
        <v>3059</v>
      </c>
      <c r="T285" s="10" t="s">
        <v>51</v>
      </c>
      <c r="U285" t="str">
        <f>IF(OR(E285&lt;'Q1'!$E$13,E285&gt;'Q1'!$E$14),"Outliers","Not an Outliers")</f>
        <v>Not an Outliers</v>
      </c>
      <c r="V285" t="str">
        <f t="shared" si="4"/>
        <v>Weekend</v>
      </c>
    </row>
    <row r="286" spans="1:22" x14ac:dyDescent="0.3">
      <c r="A286" s="23">
        <v>45403</v>
      </c>
      <c r="B286" s="7" t="s">
        <v>77</v>
      </c>
      <c r="C286" s="7" t="s">
        <v>21</v>
      </c>
      <c r="D286" s="7" t="s">
        <v>46</v>
      </c>
      <c r="E286" s="4">
        <v>2953</v>
      </c>
      <c r="F286" s="4" t="b">
        <v>1</v>
      </c>
      <c r="G286" s="7" t="s">
        <v>34</v>
      </c>
      <c r="H286" s="7" t="s">
        <v>70</v>
      </c>
      <c r="I286" s="7" t="s">
        <v>47</v>
      </c>
      <c r="J286" s="7" t="s">
        <v>48</v>
      </c>
      <c r="K286" s="4">
        <v>2</v>
      </c>
      <c r="L286" s="7" t="s">
        <v>27</v>
      </c>
      <c r="M286" s="7" t="s">
        <v>28</v>
      </c>
      <c r="N286" s="4" t="b">
        <v>1</v>
      </c>
      <c r="O286" s="4">
        <v>67</v>
      </c>
      <c r="P286" s="7" t="s">
        <v>29</v>
      </c>
      <c r="Q286" s="4">
        <v>9</v>
      </c>
      <c r="R286" s="4">
        <v>2</v>
      </c>
      <c r="S286" s="4">
        <v>4842</v>
      </c>
      <c r="T286" s="8" t="s">
        <v>51</v>
      </c>
      <c r="U286" t="str">
        <f>IF(OR(E286&lt;'Q1'!$E$13,E286&gt;'Q1'!$E$14),"Outliers","Not an Outliers")</f>
        <v>Not an Outliers</v>
      </c>
      <c r="V286" t="str">
        <f t="shared" si="4"/>
        <v>Weekend</v>
      </c>
    </row>
    <row r="287" spans="1:22" x14ac:dyDescent="0.3">
      <c r="A287" s="24">
        <v>45404</v>
      </c>
      <c r="B287" s="9" t="s">
        <v>55</v>
      </c>
      <c r="C287" s="9" t="s">
        <v>32</v>
      </c>
      <c r="D287" s="9" t="s">
        <v>57</v>
      </c>
      <c r="E287" s="5">
        <v>1000</v>
      </c>
      <c r="F287" s="5" t="b">
        <v>1</v>
      </c>
      <c r="G287" s="9" t="s">
        <v>23</v>
      </c>
      <c r="H287" s="9" t="s">
        <v>70</v>
      </c>
      <c r="I287" s="9" t="s">
        <v>59</v>
      </c>
      <c r="J287" s="9" t="s">
        <v>26</v>
      </c>
      <c r="K287" s="5">
        <v>4</v>
      </c>
      <c r="L287" s="9" t="s">
        <v>36</v>
      </c>
      <c r="M287" s="9" t="s">
        <v>66</v>
      </c>
      <c r="N287" s="5" t="b">
        <v>0</v>
      </c>
      <c r="O287" s="5">
        <v>109</v>
      </c>
      <c r="P287" s="9" t="s">
        <v>50</v>
      </c>
      <c r="Q287" s="5">
        <v>7</v>
      </c>
      <c r="R287" s="5">
        <v>3</v>
      </c>
      <c r="S287" s="5">
        <v>1804</v>
      </c>
      <c r="T287" s="10" t="s">
        <v>30</v>
      </c>
      <c r="U287" t="str">
        <f>IF(OR(E287&lt;'Q1'!$E$13,E287&gt;'Q1'!$E$14),"Outliers","Not an Outliers")</f>
        <v>Not an Outliers</v>
      </c>
      <c r="V287" t="str">
        <f t="shared" si="4"/>
        <v>Weekday</v>
      </c>
    </row>
    <row r="288" spans="1:22" x14ac:dyDescent="0.3">
      <c r="A288" s="23">
        <v>45404</v>
      </c>
      <c r="B288" s="7" t="s">
        <v>52</v>
      </c>
      <c r="C288" s="7" t="s">
        <v>21</v>
      </c>
      <c r="D288" s="7" t="s">
        <v>46</v>
      </c>
      <c r="E288" s="4">
        <v>1787</v>
      </c>
      <c r="F288" s="4" t="b">
        <v>1</v>
      </c>
      <c r="G288" s="7" t="s">
        <v>23</v>
      </c>
      <c r="H288" s="7" t="s">
        <v>24</v>
      </c>
      <c r="I288" s="7" t="s">
        <v>47</v>
      </c>
      <c r="J288" s="7" t="s">
        <v>26</v>
      </c>
      <c r="K288" s="4">
        <v>1</v>
      </c>
      <c r="L288" s="7" t="s">
        <v>49</v>
      </c>
      <c r="M288" s="7" t="s">
        <v>73</v>
      </c>
      <c r="N288" s="4" t="b">
        <v>0</v>
      </c>
      <c r="O288" s="4">
        <v>56</v>
      </c>
      <c r="P288" s="7" t="s">
        <v>50</v>
      </c>
      <c r="Q288" s="4">
        <v>6</v>
      </c>
      <c r="R288" s="4">
        <v>2</v>
      </c>
      <c r="S288" s="4">
        <v>915</v>
      </c>
      <c r="T288" s="8" t="s">
        <v>38</v>
      </c>
      <c r="U288" t="str">
        <f>IF(OR(E288&lt;'Q1'!$E$13,E288&gt;'Q1'!$E$14),"Outliers","Not an Outliers")</f>
        <v>Not an Outliers</v>
      </c>
      <c r="V288" t="str">
        <f t="shared" si="4"/>
        <v>Weekday</v>
      </c>
    </row>
    <row r="289" spans="1:22" x14ac:dyDescent="0.3">
      <c r="A289" s="24">
        <v>45405</v>
      </c>
      <c r="B289" s="9" t="s">
        <v>44</v>
      </c>
      <c r="C289" s="9" t="s">
        <v>45</v>
      </c>
      <c r="D289" s="9" t="s">
        <v>33</v>
      </c>
      <c r="E289" s="5">
        <v>3804</v>
      </c>
      <c r="F289" s="5" t="b">
        <v>0</v>
      </c>
      <c r="G289" s="9" t="s">
        <v>34</v>
      </c>
      <c r="H289" s="9" t="s">
        <v>41</v>
      </c>
      <c r="I289" s="9" t="s">
        <v>42</v>
      </c>
      <c r="J289" s="9" t="s">
        <v>43</v>
      </c>
      <c r="K289" s="5">
        <v>0</v>
      </c>
      <c r="L289" s="9" t="s">
        <v>36</v>
      </c>
      <c r="M289" s="9" t="s">
        <v>73</v>
      </c>
      <c r="N289" s="5" t="b">
        <v>1</v>
      </c>
      <c r="O289" s="5">
        <v>118</v>
      </c>
      <c r="P289" s="9" t="s">
        <v>29</v>
      </c>
      <c r="Q289" s="5">
        <v>6</v>
      </c>
      <c r="R289" s="5">
        <v>3</v>
      </c>
      <c r="S289" s="5">
        <v>2326</v>
      </c>
      <c r="T289" s="10" t="s">
        <v>38</v>
      </c>
      <c r="U289" t="str">
        <f>IF(OR(E289&lt;'Q1'!$E$13,E289&gt;'Q1'!$E$14),"Outliers","Not an Outliers")</f>
        <v>Not an Outliers</v>
      </c>
      <c r="V289" t="str">
        <f t="shared" si="4"/>
        <v>Weekday</v>
      </c>
    </row>
    <row r="290" spans="1:22" x14ac:dyDescent="0.3">
      <c r="A290" s="23">
        <v>45405</v>
      </c>
      <c r="B290" s="7" t="s">
        <v>75</v>
      </c>
      <c r="C290" s="7" t="s">
        <v>56</v>
      </c>
      <c r="D290" s="7" t="s">
        <v>53</v>
      </c>
      <c r="E290" s="4">
        <v>6672</v>
      </c>
      <c r="F290" s="4" t="b">
        <v>1</v>
      </c>
      <c r="G290" s="7" t="s">
        <v>64</v>
      </c>
      <c r="H290" s="7" t="s">
        <v>24</v>
      </c>
      <c r="I290" s="7" t="s">
        <v>47</v>
      </c>
      <c r="J290" s="7" t="s">
        <v>54</v>
      </c>
      <c r="K290" s="4">
        <v>5</v>
      </c>
      <c r="L290" s="7" t="s">
        <v>36</v>
      </c>
      <c r="M290" s="7" t="s">
        <v>73</v>
      </c>
      <c r="N290" s="4" t="b">
        <v>0</v>
      </c>
      <c r="O290" s="4">
        <v>4</v>
      </c>
      <c r="P290" s="7" t="s">
        <v>67</v>
      </c>
      <c r="Q290" s="4">
        <v>4</v>
      </c>
      <c r="R290" s="4">
        <v>2</v>
      </c>
      <c r="S290" s="4">
        <v>1429</v>
      </c>
      <c r="T290" s="8" t="s">
        <v>38</v>
      </c>
      <c r="U290" t="str">
        <f>IF(OR(E290&lt;'Q1'!$E$13,E290&gt;'Q1'!$E$14),"Outliers","Not an Outliers")</f>
        <v>Not an Outliers</v>
      </c>
      <c r="V290" t="str">
        <f t="shared" si="4"/>
        <v>Weekday</v>
      </c>
    </row>
    <row r="291" spans="1:22" x14ac:dyDescent="0.3">
      <c r="A291" s="24">
        <v>45405</v>
      </c>
      <c r="B291" s="9" t="s">
        <v>68</v>
      </c>
      <c r="C291" s="9" t="s">
        <v>32</v>
      </c>
      <c r="D291" s="9" t="s">
        <v>22</v>
      </c>
      <c r="E291" s="5">
        <v>8427</v>
      </c>
      <c r="F291" s="5" t="b">
        <v>0</v>
      </c>
      <c r="G291" s="9" t="s">
        <v>23</v>
      </c>
      <c r="H291" s="9" t="s">
        <v>70</v>
      </c>
      <c r="I291" s="9" t="s">
        <v>25</v>
      </c>
      <c r="J291" s="9" t="s">
        <v>43</v>
      </c>
      <c r="K291" s="5">
        <v>4</v>
      </c>
      <c r="L291" s="9" t="s">
        <v>36</v>
      </c>
      <c r="M291" s="9" t="s">
        <v>73</v>
      </c>
      <c r="N291" s="5" t="b">
        <v>0</v>
      </c>
      <c r="O291" s="5">
        <v>48</v>
      </c>
      <c r="P291" s="9" t="s">
        <v>67</v>
      </c>
      <c r="Q291" s="5">
        <v>4</v>
      </c>
      <c r="R291" s="5">
        <v>2</v>
      </c>
      <c r="S291" s="5">
        <v>2039</v>
      </c>
      <c r="T291" s="10" t="s">
        <v>30</v>
      </c>
      <c r="U291" t="str">
        <f>IF(OR(E291&lt;'Q1'!$E$13,E291&gt;'Q1'!$E$14),"Outliers","Not an Outliers")</f>
        <v>Not an Outliers</v>
      </c>
      <c r="V291" t="str">
        <f t="shared" si="4"/>
        <v>Weekday</v>
      </c>
    </row>
    <row r="292" spans="1:22" x14ac:dyDescent="0.3">
      <c r="A292" s="23">
        <v>45405</v>
      </c>
      <c r="B292" s="7" t="s">
        <v>55</v>
      </c>
      <c r="C292" s="7" t="s">
        <v>45</v>
      </c>
      <c r="D292" s="7" t="s">
        <v>22</v>
      </c>
      <c r="E292" s="4">
        <v>8838</v>
      </c>
      <c r="F292" s="4" t="b">
        <v>1</v>
      </c>
      <c r="G292" s="7" t="s">
        <v>64</v>
      </c>
      <c r="H292" s="7" t="s">
        <v>70</v>
      </c>
      <c r="I292" s="7" t="s">
        <v>59</v>
      </c>
      <c r="J292" s="7" t="s">
        <v>54</v>
      </c>
      <c r="K292" s="4">
        <v>3</v>
      </c>
      <c r="L292" s="7" t="s">
        <v>49</v>
      </c>
      <c r="M292" s="7" t="s">
        <v>66</v>
      </c>
      <c r="N292" s="4" t="b">
        <v>0</v>
      </c>
      <c r="O292" s="4">
        <v>76</v>
      </c>
      <c r="P292" s="7" t="s">
        <v>37</v>
      </c>
      <c r="Q292" s="4">
        <v>10</v>
      </c>
      <c r="R292" s="4">
        <v>2</v>
      </c>
      <c r="S292" s="4">
        <v>1429</v>
      </c>
      <c r="T292" s="8" t="s">
        <v>51</v>
      </c>
      <c r="U292" t="str">
        <f>IF(OR(E292&lt;'Q1'!$E$13,E292&gt;'Q1'!$E$14),"Outliers","Not an Outliers")</f>
        <v>Not an Outliers</v>
      </c>
      <c r="V292" t="str">
        <f t="shared" si="4"/>
        <v>Weekday</v>
      </c>
    </row>
    <row r="293" spans="1:22" x14ac:dyDescent="0.3">
      <c r="A293" s="24">
        <v>45405</v>
      </c>
      <c r="B293" s="9" t="s">
        <v>72</v>
      </c>
      <c r="C293" s="9" t="s">
        <v>21</v>
      </c>
      <c r="D293" s="9" t="s">
        <v>46</v>
      </c>
      <c r="E293" s="5">
        <v>2857</v>
      </c>
      <c r="F293" s="5" t="b">
        <v>0</v>
      </c>
      <c r="G293" s="9" t="s">
        <v>64</v>
      </c>
      <c r="H293" s="9" t="s">
        <v>24</v>
      </c>
      <c r="I293" s="9" t="s">
        <v>47</v>
      </c>
      <c r="J293" s="9" t="s">
        <v>26</v>
      </c>
      <c r="K293" s="5">
        <v>5</v>
      </c>
      <c r="L293" s="9" t="s">
        <v>27</v>
      </c>
      <c r="M293" s="9" t="s">
        <v>58</v>
      </c>
      <c r="N293" s="5" t="b">
        <v>1</v>
      </c>
      <c r="O293" s="5">
        <v>54</v>
      </c>
      <c r="P293" s="9" t="s">
        <v>37</v>
      </c>
      <c r="Q293" s="5">
        <v>5</v>
      </c>
      <c r="R293" s="5">
        <v>3</v>
      </c>
      <c r="S293" s="5">
        <v>2542</v>
      </c>
      <c r="T293" s="10" t="s">
        <v>38</v>
      </c>
      <c r="U293" t="str">
        <f>IF(OR(E293&lt;'Q1'!$E$13,E293&gt;'Q1'!$E$14),"Outliers","Not an Outliers")</f>
        <v>Not an Outliers</v>
      </c>
      <c r="V293" t="str">
        <f t="shared" si="4"/>
        <v>Weekday</v>
      </c>
    </row>
    <row r="294" spans="1:22" x14ac:dyDescent="0.3">
      <c r="A294" s="23">
        <v>45406</v>
      </c>
      <c r="B294" s="7" t="s">
        <v>74</v>
      </c>
      <c r="C294" s="7" t="s">
        <v>45</v>
      </c>
      <c r="D294" s="7" t="s">
        <v>22</v>
      </c>
      <c r="E294" s="4">
        <v>6212</v>
      </c>
      <c r="F294" s="4" t="b">
        <v>0</v>
      </c>
      <c r="G294" s="7" t="s">
        <v>23</v>
      </c>
      <c r="H294" s="7" t="s">
        <v>70</v>
      </c>
      <c r="I294" s="7" t="s">
        <v>42</v>
      </c>
      <c r="J294" s="7" t="s">
        <v>43</v>
      </c>
      <c r="K294" s="4">
        <v>1</v>
      </c>
      <c r="L294" s="7" t="s">
        <v>27</v>
      </c>
      <c r="M294" s="7" t="s">
        <v>58</v>
      </c>
      <c r="N294" s="4" t="b">
        <v>0</v>
      </c>
      <c r="O294" s="4">
        <v>34</v>
      </c>
      <c r="P294" s="7" t="s">
        <v>29</v>
      </c>
      <c r="Q294" s="4">
        <v>8</v>
      </c>
      <c r="R294" s="4">
        <v>1</v>
      </c>
      <c r="S294" s="4">
        <v>4111</v>
      </c>
      <c r="T294" s="8" t="s">
        <v>51</v>
      </c>
      <c r="U294" t="str">
        <f>IF(OR(E294&lt;'Q1'!$E$13,E294&gt;'Q1'!$E$14),"Outliers","Not an Outliers")</f>
        <v>Not an Outliers</v>
      </c>
      <c r="V294" t="str">
        <f t="shared" si="4"/>
        <v>Weekday</v>
      </c>
    </row>
    <row r="295" spans="1:22" x14ac:dyDescent="0.3">
      <c r="A295" s="24">
        <v>45406</v>
      </c>
      <c r="B295" s="9" t="s">
        <v>68</v>
      </c>
      <c r="C295" s="9" t="s">
        <v>60</v>
      </c>
      <c r="D295" s="9" t="s">
        <v>33</v>
      </c>
      <c r="E295" s="5">
        <v>1543</v>
      </c>
      <c r="F295" s="5" t="b">
        <v>0</v>
      </c>
      <c r="G295" s="9" t="s">
        <v>65</v>
      </c>
      <c r="H295" s="9" t="s">
        <v>41</v>
      </c>
      <c r="I295" s="9" t="s">
        <v>42</v>
      </c>
      <c r="J295" s="9" t="s">
        <v>43</v>
      </c>
      <c r="K295" s="5">
        <v>2</v>
      </c>
      <c r="L295" s="9" t="s">
        <v>27</v>
      </c>
      <c r="M295" s="9" t="s">
        <v>66</v>
      </c>
      <c r="N295" s="5" t="b">
        <v>0</v>
      </c>
      <c r="O295" s="5">
        <v>45</v>
      </c>
      <c r="P295" s="9" t="s">
        <v>50</v>
      </c>
      <c r="Q295" s="5">
        <v>4</v>
      </c>
      <c r="R295" s="5">
        <v>1</v>
      </c>
      <c r="S295" s="5">
        <v>1715</v>
      </c>
      <c r="T295" s="10" t="s">
        <v>51</v>
      </c>
      <c r="U295" t="str">
        <f>IF(OR(E295&lt;'Q1'!$E$13,E295&gt;'Q1'!$E$14),"Outliers","Not an Outliers")</f>
        <v>Not an Outliers</v>
      </c>
      <c r="V295" t="str">
        <f t="shared" si="4"/>
        <v>Weekday</v>
      </c>
    </row>
    <row r="296" spans="1:22" x14ac:dyDescent="0.3">
      <c r="A296" s="23">
        <v>45406</v>
      </c>
      <c r="B296" s="7" t="s">
        <v>55</v>
      </c>
      <c r="C296" s="7" t="s">
        <v>45</v>
      </c>
      <c r="D296" s="7" t="s">
        <v>53</v>
      </c>
      <c r="E296" s="4">
        <v>7005</v>
      </c>
      <c r="F296" s="4" t="b">
        <v>1</v>
      </c>
      <c r="G296" s="7" t="s">
        <v>23</v>
      </c>
      <c r="H296" s="7" t="s">
        <v>70</v>
      </c>
      <c r="I296" s="7" t="s">
        <v>59</v>
      </c>
      <c r="J296" s="7" t="s">
        <v>43</v>
      </c>
      <c r="K296" s="4">
        <v>2</v>
      </c>
      <c r="L296" s="7" t="s">
        <v>27</v>
      </c>
      <c r="M296" s="7" t="s">
        <v>66</v>
      </c>
      <c r="N296" s="4" t="b">
        <v>0</v>
      </c>
      <c r="O296" s="4">
        <v>98</v>
      </c>
      <c r="P296" s="7" t="s">
        <v>50</v>
      </c>
      <c r="Q296" s="4">
        <v>1</v>
      </c>
      <c r="R296" s="4">
        <v>3</v>
      </c>
      <c r="S296" s="4">
        <v>2838</v>
      </c>
      <c r="T296" s="8" t="s">
        <v>38</v>
      </c>
      <c r="U296" t="str">
        <f>IF(OR(E296&lt;'Q1'!$E$13,E296&gt;'Q1'!$E$14),"Outliers","Not an Outliers")</f>
        <v>Not an Outliers</v>
      </c>
      <c r="V296" t="str">
        <f t="shared" si="4"/>
        <v>Weekday</v>
      </c>
    </row>
    <row r="297" spans="1:22" x14ac:dyDescent="0.3">
      <c r="A297" s="24">
        <v>45408</v>
      </c>
      <c r="B297" s="9" t="s">
        <v>55</v>
      </c>
      <c r="C297" s="9" t="s">
        <v>21</v>
      </c>
      <c r="D297" s="9" t="s">
        <v>57</v>
      </c>
      <c r="E297" s="5">
        <v>1000</v>
      </c>
      <c r="F297" s="5" t="b">
        <v>0</v>
      </c>
      <c r="G297" s="9" t="s">
        <v>65</v>
      </c>
      <c r="H297" s="9" t="s">
        <v>24</v>
      </c>
      <c r="I297" s="9" t="s">
        <v>47</v>
      </c>
      <c r="J297" s="9" t="s">
        <v>43</v>
      </c>
      <c r="K297" s="5">
        <v>2</v>
      </c>
      <c r="L297" s="9" t="s">
        <v>27</v>
      </c>
      <c r="M297" s="9" t="s">
        <v>58</v>
      </c>
      <c r="N297" s="5" t="b">
        <v>1</v>
      </c>
      <c r="O297" s="5">
        <v>75</v>
      </c>
      <c r="P297" s="9" t="s">
        <v>63</v>
      </c>
      <c r="Q297" s="5">
        <v>1</v>
      </c>
      <c r="R297" s="5">
        <v>1</v>
      </c>
      <c r="S297" s="5">
        <v>1786</v>
      </c>
      <c r="T297" s="10" t="s">
        <v>38</v>
      </c>
      <c r="U297" t="str">
        <f>IF(OR(E297&lt;'Q1'!$E$13,E297&gt;'Q1'!$E$14),"Outliers","Not an Outliers")</f>
        <v>Not an Outliers</v>
      </c>
      <c r="V297" t="str">
        <f t="shared" si="4"/>
        <v>Weekday</v>
      </c>
    </row>
    <row r="298" spans="1:22" x14ac:dyDescent="0.3">
      <c r="A298" s="23">
        <v>45408</v>
      </c>
      <c r="B298" s="7" t="s">
        <v>44</v>
      </c>
      <c r="C298" s="7" t="s">
        <v>32</v>
      </c>
      <c r="D298" s="7" t="s">
        <v>53</v>
      </c>
      <c r="E298" s="4">
        <v>5418</v>
      </c>
      <c r="F298" s="4" t="b">
        <v>1</v>
      </c>
      <c r="G298" s="7" t="s">
        <v>64</v>
      </c>
      <c r="H298" s="7" t="s">
        <v>24</v>
      </c>
      <c r="I298" s="7" t="s">
        <v>59</v>
      </c>
      <c r="J298" s="7" t="s">
        <v>54</v>
      </c>
      <c r="K298" s="4">
        <v>0</v>
      </c>
      <c r="L298" s="7" t="s">
        <v>49</v>
      </c>
      <c r="M298" s="7" t="s">
        <v>73</v>
      </c>
      <c r="N298" s="4" t="b">
        <v>0</v>
      </c>
      <c r="O298" s="4">
        <v>60</v>
      </c>
      <c r="P298" s="7" t="s">
        <v>37</v>
      </c>
      <c r="Q298" s="4">
        <v>10</v>
      </c>
      <c r="R298" s="4">
        <v>1</v>
      </c>
      <c r="S298" s="4">
        <v>3262</v>
      </c>
      <c r="T298" s="8" t="s">
        <v>38</v>
      </c>
      <c r="U298" t="str">
        <f>IF(OR(E298&lt;'Q1'!$E$13,E298&gt;'Q1'!$E$14),"Outliers","Not an Outliers")</f>
        <v>Not an Outliers</v>
      </c>
      <c r="V298" t="str">
        <f t="shared" si="4"/>
        <v>Weekday</v>
      </c>
    </row>
    <row r="299" spans="1:22" x14ac:dyDescent="0.3">
      <c r="A299" s="24">
        <v>45409</v>
      </c>
      <c r="B299" s="9" t="s">
        <v>62</v>
      </c>
      <c r="C299" s="9" t="s">
        <v>56</v>
      </c>
      <c r="D299" s="9" t="s">
        <v>57</v>
      </c>
      <c r="E299" s="5">
        <v>1000</v>
      </c>
      <c r="F299" s="5" t="b">
        <v>0</v>
      </c>
      <c r="G299" s="9" t="s">
        <v>65</v>
      </c>
      <c r="H299" s="9" t="s">
        <v>35</v>
      </c>
      <c r="I299" s="9" t="s">
        <v>25</v>
      </c>
      <c r="J299" s="9" t="s">
        <v>26</v>
      </c>
      <c r="K299" s="5">
        <v>3</v>
      </c>
      <c r="L299" s="9" t="s">
        <v>49</v>
      </c>
      <c r="M299" s="9" t="s">
        <v>73</v>
      </c>
      <c r="N299" s="5" t="b">
        <v>1</v>
      </c>
      <c r="O299" s="5">
        <v>0</v>
      </c>
      <c r="P299" s="9" t="s">
        <v>37</v>
      </c>
      <c r="Q299" s="5">
        <v>6</v>
      </c>
      <c r="R299" s="5">
        <v>1</v>
      </c>
      <c r="S299" s="5">
        <v>4687</v>
      </c>
      <c r="T299" s="10" t="s">
        <v>30</v>
      </c>
      <c r="U299" t="str">
        <f>IF(OR(E299&lt;'Q1'!$E$13,E299&gt;'Q1'!$E$14),"Outliers","Not an Outliers")</f>
        <v>Not an Outliers</v>
      </c>
      <c r="V299" t="str">
        <f t="shared" si="4"/>
        <v>Weekend</v>
      </c>
    </row>
    <row r="300" spans="1:22" x14ac:dyDescent="0.3">
      <c r="A300" s="23">
        <v>45409</v>
      </c>
      <c r="B300" s="7" t="s">
        <v>69</v>
      </c>
      <c r="C300" s="7" t="s">
        <v>60</v>
      </c>
      <c r="D300" s="7" t="s">
        <v>53</v>
      </c>
      <c r="E300" s="4">
        <v>2950</v>
      </c>
      <c r="F300" s="4" t="b">
        <v>0</v>
      </c>
      <c r="G300" s="7" t="s">
        <v>40</v>
      </c>
      <c r="H300" s="7" t="s">
        <v>24</v>
      </c>
      <c r="I300" s="7" t="s">
        <v>25</v>
      </c>
      <c r="J300" s="7" t="s">
        <v>26</v>
      </c>
      <c r="K300" s="4">
        <v>0</v>
      </c>
      <c r="L300" s="7" t="s">
        <v>49</v>
      </c>
      <c r="M300" s="7" t="s">
        <v>58</v>
      </c>
      <c r="N300" s="4" t="b">
        <v>1</v>
      </c>
      <c r="O300" s="4">
        <v>101</v>
      </c>
      <c r="P300" s="7" t="s">
        <v>37</v>
      </c>
      <c r="Q300" s="4">
        <v>4</v>
      </c>
      <c r="R300" s="4">
        <v>2</v>
      </c>
      <c r="S300" s="4">
        <v>1288</v>
      </c>
      <c r="T300" s="8" t="s">
        <v>30</v>
      </c>
      <c r="U300" t="str">
        <f>IF(OR(E300&lt;'Q1'!$E$13,E300&gt;'Q1'!$E$14),"Outliers","Not an Outliers")</f>
        <v>Not an Outliers</v>
      </c>
      <c r="V300" t="str">
        <f t="shared" si="4"/>
        <v>Weekend</v>
      </c>
    </row>
    <row r="301" spans="1:22" x14ac:dyDescent="0.3">
      <c r="A301" s="24">
        <v>45410</v>
      </c>
      <c r="B301" s="9" t="s">
        <v>68</v>
      </c>
      <c r="C301" s="9" t="s">
        <v>21</v>
      </c>
      <c r="D301" s="9" t="s">
        <v>46</v>
      </c>
      <c r="E301" s="5">
        <v>3053</v>
      </c>
      <c r="F301" s="5" t="b">
        <v>0</v>
      </c>
      <c r="G301" s="9" t="s">
        <v>64</v>
      </c>
      <c r="H301" s="9" t="s">
        <v>70</v>
      </c>
      <c r="I301" s="9" t="s">
        <v>59</v>
      </c>
      <c r="J301" s="9" t="s">
        <v>26</v>
      </c>
      <c r="K301" s="5">
        <v>3</v>
      </c>
      <c r="L301" s="9" t="s">
        <v>27</v>
      </c>
      <c r="M301" s="9" t="s">
        <v>58</v>
      </c>
      <c r="N301" s="5" t="b">
        <v>0</v>
      </c>
      <c r="O301" s="5">
        <v>109</v>
      </c>
      <c r="P301" s="9" t="s">
        <v>37</v>
      </c>
      <c r="Q301" s="5">
        <v>7</v>
      </c>
      <c r="R301" s="5">
        <v>3</v>
      </c>
      <c r="S301" s="5">
        <v>2044</v>
      </c>
      <c r="T301" s="10" t="s">
        <v>30</v>
      </c>
      <c r="U301" t="str">
        <f>IF(OR(E301&lt;'Q1'!$E$13,E301&gt;'Q1'!$E$14),"Outliers","Not an Outliers")</f>
        <v>Not an Outliers</v>
      </c>
      <c r="V301" t="str">
        <f t="shared" si="4"/>
        <v>Weekend</v>
      </c>
    </row>
    <row r="302" spans="1:22" x14ac:dyDescent="0.3">
      <c r="A302" s="23">
        <v>45410</v>
      </c>
      <c r="B302" s="7" t="s">
        <v>68</v>
      </c>
      <c r="C302" s="7" t="s">
        <v>60</v>
      </c>
      <c r="D302" s="7" t="s">
        <v>46</v>
      </c>
      <c r="E302" s="4">
        <v>4480</v>
      </c>
      <c r="F302" s="4" t="b">
        <v>0</v>
      </c>
      <c r="G302" s="7" t="s">
        <v>65</v>
      </c>
      <c r="H302" s="7" t="s">
        <v>70</v>
      </c>
      <c r="I302" s="7" t="s">
        <v>47</v>
      </c>
      <c r="J302" s="7" t="s">
        <v>54</v>
      </c>
      <c r="K302" s="4">
        <v>4</v>
      </c>
      <c r="L302" s="7" t="s">
        <v>27</v>
      </c>
      <c r="M302" s="7" t="s">
        <v>28</v>
      </c>
      <c r="N302" s="4" t="b">
        <v>0</v>
      </c>
      <c r="O302" s="4">
        <v>20</v>
      </c>
      <c r="P302" s="7" t="s">
        <v>63</v>
      </c>
      <c r="Q302" s="4">
        <v>7</v>
      </c>
      <c r="R302" s="4">
        <v>1</v>
      </c>
      <c r="S302" s="4">
        <v>2960</v>
      </c>
      <c r="T302" s="8" t="s">
        <v>38</v>
      </c>
      <c r="U302" t="str">
        <f>IF(OR(E302&lt;'Q1'!$E$13,E302&gt;'Q1'!$E$14),"Outliers","Not an Outliers")</f>
        <v>Not an Outliers</v>
      </c>
      <c r="V302" t="str">
        <f t="shared" si="4"/>
        <v>Weekend</v>
      </c>
    </row>
    <row r="303" spans="1:22" x14ac:dyDescent="0.3">
      <c r="A303" s="24">
        <v>45410</v>
      </c>
      <c r="B303" s="9" t="s">
        <v>31</v>
      </c>
      <c r="C303" s="9" t="s">
        <v>32</v>
      </c>
      <c r="D303" s="9" t="s">
        <v>33</v>
      </c>
      <c r="E303" s="5">
        <v>2503</v>
      </c>
      <c r="F303" s="5" t="b">
        <v>1</v>
      </c>
      <c r="G303" s="9" t="s">
        <v>64</v>
      </c>
      <c r="H303" s="9" t="s">
        <v>70</v>
      </c>
      <c r="I303" s="9" t="s">
        <v>59</v>
      </c>
      <c r="J303" s="9" t="s">
        <v>48</v>
      </c>
      <c r="K303" s="5">
        <v>3</v>
      </c>
      <c r="L303" s="9" t="s">
        <v>27</v>
      </c>
      <c r="M303" s="9" t="s">
        <v>73</v>
      </c>
      <c r="N303" s="5" t="b">
        <v>1</v>
      </c>
      <c r="O303" s="5">
        <v>40</v>
      </c>
      <c r="P303" s="9" t="s">
        <v>50</v>
      </c>
      <c r="Q303" s="5">
        <v>1</v>
      </c>
      <c r="R303" s="5">
        <v>1</v>
      </c>
      <c r="S303" s="5">
        <v>3223</v>
      </c>
      <c r="T303" s="10" t="s">
        <v>51</v>
      </c>
      <c r="U303" t="str">
        <f>IF(OR(E303&lt;'Q1'!$E$13,E303&gt;'Q1'!$E$14),"Outliers","Not an Outliers")</f>
        <v>Not an Outliers</v>
      </c>
      <c r="V303" t="str">
        <f t="shared" si="4"/>
        <v>Weekend</v>
      </c>
    </row>
    <row r="304" spans="1:22" x14ac:dyDescent="0.3">
      <c r="A304" s="23">
        <v>45410</v>
      </c>
      <c r="B304" s="7" t="s">
        <v>39</v>
      </c>
      <c r="C304" s="7" t="s">
        <v>56</v>
      </c>
      <c r="D304" s="7" t="s">
        <v>22</v>
      </c>
      <c r="E304" s="4">
        <v>6798</v>
      </c>
      <c r="F304" s="4" t="b">
        <v>0</v>
      </c>
      <c r="G304" s="7" t="s">
        <v>23</v>
      </c>
      <c r="H304" s="7" t="s">
        <v>35</v>
      </c>
      <c r="I304" s="7" t="s">
        <v>25</v>
      </c>
      <c r="J304" s="7" t="s">
        <v>26</v>
      </c>
      <c r="K304" s="4">
        <v>10</v>
      </c>
      <c r="L304" s="7" t="s">
        <v>36</v>
      </c>
      <c r="M304" s="7" t="s">
        <v>28</v>
      </c>
      <c r="N304" s="4" t="b">
        <v>0</v>
      </c>
      <c r="O304" s="4">
        <v>60</v>
      </c>
      <c r="P304" s="7" t="s">
        <v>50</v>
      </c>
      <c r="Q304" s="4">
        <v>10</v>
      </c>
      <c r="R304" s="4">
        <v>2</v>
      </c>
      <c r="S304" s="4">
        <v>4098</v>
      </c>
      <c r="T304" s="8" t="s">
        <v>38</v>
      </c>
      <c r="U304" t="str">
        <f>IF(OR(E304&lt;'Q1'!$E$13,E304&gt;'Q1'!$E$14),"Outliers","Not an Outliers")</f>
        <v>Not an Outliers</v>
      </c>
      <c r="V304" t="str">
        <f t="shared" si="4"/>
        <v>Weekend</v>
      </c>
    </row>
    <row r="305" spans="1:22" x14ac:dyDescent="0.3">
      <c r="A305" s="24">
        <v>45413</v>
      </c>
      <c r="B305" s="9" t="s">
        <v>31</v>
      </c>
      <c r="C305" s="9" t="s">
        <v>56</v>
      </c>
      <c r="D305" s="9" t="s">
        <v>53</v>
      </c>
      <c r="E305" s="5">
        <v>5402</v>
      </c>
      <c r="F305" s="5" t="b">
        <v>1</v>
      </c>
      <c r="G305" s="9" t="s">
        <v>23</v>
      </c>
      <c r="H305" s="9" t="s">
        <v>24</v>
      </c>
      <c r="I305" s="9" t="s">
        <v>42</v>
      </c>
      <c r="J305" s="9" t="s">
        <v>43</v>
      </c>
      <c r="K305" s="5">
        <v>3</v>
      </c>
      <c r="L305" s="9" t="s">
        <v>49</v>
      </c>
      <c r="M305" s="9" t="s">
        <v>66</v>
      </c>
      <c r="N305" s="5" t="b">
        <v>1</v>
      </c>
      <c r="O305" s="5">
        <v>119</v>
      </c>
      <c r="P305" s="9" t="s">
        <v>50</v>
      </c>
      <c r="Q305" s="5">
        <v>1</v>
      </c>
      <c r="R305" s="5">
        <v>2</v>
      </c>
      <c r="S305" s="5">
        <v>2384</v>
      </c>
      <c r="T305" s="10" t="s">
        <v>38</v>
      </c>
      <c r="U305" t="str">
        <f>IF(OR(E305&lt;'Q1'!$E$13,E305&gt;'Q1'!$E$14),"Outliers","Not an Outliers")</f>
        <v>Not an Outliers</v>
      </c>
      <c r="V305" t="str">
        <f t="shared" si="4"/>
        <v>Weekday</v>
      </c>
    </row>
    <row r="306" spans="1:22" x14ac:dyDescent="0.3">
      <c r="A306" s="23">
        <v>45413</v>
      </c>
      <c r="B306" s="7" t="s">
        <v>75</v>
      </c>
      <c r="C306" s="7" t="s">
        <v>21</v>
      </c>
      <c r="D306" s="7" t="s">
        <v>22</v>
      </c>
      <c r="E306" s="4">
        <v>7385</v>
      </c>
      <c r="F306" s="4" t="b">
        <v>1</v>
      </c>
      <c r="G306" s="7" t="s">
        <v>34</v>
      </c>
      <c r="H306" s="7" t="s">
        <v>70</v>
      </c>
      <c r="I306" s="7" t="s">
        <v>47</v>
      </c>
      <c r="J306" s="7" t="s">
        <v>43</v>
      </c>
      <c r="K306" s="4">
        <v>0</v>
      </c>
      <c r="L306" s="7" t="s">
        <v>49</v>
      </c>
      <c r="M306" s="7" t="s">
        <v>28</v>
      </c>
      <c r="N306" s="4" t="b">
        <v>0</v>
      </c>
      <c r="O306" s="4">
        <v>51</v>
      </c>
      <c r="P306" s="7" t="s">
        <v>67</v>
      </c>
      <c r="Q306" s="4">
        <v>4</v>
      </c>
      <c r="R306" s="4">
        <v>2</v>
      </c>
      <c r="S306" s="4">
        <v>2202</v>
      </c>
      <c r="T306" s="8" t="s">
        <v>38</v>
      </c>
      <c r="U306" t="str">
        <f>IF(OR(E306&lt;'Q1'!$E$13,E306&gt;'Q1'!$E$14),"Outliers","Not an Outliers")</f>
        <v>Not an Outliers</v>
      </c>
      <c r="V306" t="str">
        <f t="shared" si="4"/>
        <v>Weekday</v>
      </c>
    </row>
    <row r="307" spans="1:22" x14ac:dyDescent="0.3">
      <c r="A307" s="24">
        <v>45413</v>
      </c>
      <c r="B307" s="9" t="s">
        <v>44</v>
      </c>
      <c r="C307" s="9" t="s">
        <v>60</v>
      </c>
      <c r="D307" s="9" t="s">
        <v>61</v>
      </c>
      <c r="E307" s="5">
        <v>1000</v>
      </c>
      <c r="F307" s="5" t="b">
        <v>0</v>
      </c>
      <c r="G307" s="9" t="s">
        <v>40</v>
      </c>
      <c r="H307" s="9" t="s">
        <v>35</v>
      </c>
      <c r="I307" s="9" t="s">
        <v>42</v>
      </c>
      <c r="J307" s="9" t="s">
        <v>48</v>
      </c>
      <c r="K307" s="5">
        <v>0</v>
      </c>
      <c r="L307" s="9" t="s">
        <v>27</v>
      </c>
      <c r="M307" s="9" t="s">
        <v>73</v>
      </c>
      <c r="N307" s="5" t="b">
        <v>1</v>
      </c>
      <c r="O307" s="5">
        <v>47</v>
      </c>
      <c r="P307" s="9" t="s">
        <v>29</v>
      </c>
      <c r="Q307" s="5">
        <v>9</v>
      </c>
      <c r="R307" s="5">
        <v>3</v>
      </c>
      <c r="S307" s="5">
        <v>596</v>
      </c>
      <c r="T307" s="10" t="s">
        <v>38</v>
      </c>
      <c r="U307" t="str">
        <f>IF(OR(E307&lt;'Q1'!$E$13,E307&gt;'Q1'!$E$14),"Outliers","Not an Outliers")</f>
        <v>Not an Outliers</v>
      </c>
      <c r="V307" t="str">
        <f t="shared" si="4"/>
        <v>Weekday</v>
      </c>
    </row>
    <row r="308" spans="1:22" x14ac:dyDescent="0.3">
      <c r="A308" s="23">
        <v>45414</v>
      </c>
      <c r="B308" s="7" t="s">
        <v>71</v>
      </c>
      <c r="C308" s="7" t="s">
        <v>45</v>
      </c>
      <c r="D308" s="7" t="s">
        <v>22</v>
      </c>
      <c r="E308" s="4">
        <v>6168</v>
      </c>
      <c r="F308" s="4" t="b">
        <v>0</v>
      </c>
      <c r="G308" s="7" t="s">
        <v>23</v>
      </c>
      <c r="H308" s="7" t="s">
        <v>35</v>
      </c>
      <c r="I308" s="7" t="s">
        <v>47</v>
      </c>
      <c r="J308" s="7" t="s">
        <v>54</v>
      </c>
      <c r="K308" s="4">
        <v>3</v>
      </c>
      <c r="L308" s="7" t="s">
        <v>27</v>
      </c>
      <c r="M308" s="7" t="s">
        <v>28</v>
      </c>
      <c r="N308" s="4" t="b">
        <v>1</v>
      </c>
      <c r="O308" s="4">
        <v>92</v>
      </c>
      <c r="P308" s="7" t="s">
        <v>67</v>
      </c>
      <c r="Q308" s="4">
        <v>1</v>
      </c>
      <c r="R308" s="4">
        <v>2</v>
      </c>
      <c r="S308" s="4">
        <v>4747</v>
      </c>
      <c r="T308" s="8" t="s">
        <v>30</v>
      </c>
      <c r="U308" t="str">
        <f>IF(OR(E308&lt;'Q1'!$E$13,E308&gt;'Q1'!$E$14),"Outliers","Not an Outliers")</f>
        <v>Not an Outliers</v>
      </c>
      <c r="V308" t="str">
        <f t="shared" si="4"/>
        <v>Weekday</v>
      </c>
    </row>
    <row r="309" spans="1:22" x14ac:dyDescent="0.3">
      <c r="A309" s="24">
        <v>45414</v>
      </c>
      <c r="B309" s="9" t="s">
        <v>74</v>
      </c>
      <c r="C309" s="9" t="s">
        <v>60</v>
      </c>
      <c r="D309" s="9" t="s">
        <v>46</v>
      </c>
      <c r="E309" s="5">
        <v>2272</v>
      </c>
      <c r="F309" s="5" t="b">
        <v>0</v>
      </c>
      <c r="G309" s="9" t="s">
        <v>40</v>
      </c>
      <c r="H309" s="9" t="s">
        <v>35</v>
      </c>
      <c r="I309" s="9" t="s">
        <v>25</v>
      </c>
      <c r="J309" s="9" t="s">
        <v>43</v>
      </c>
      <c r="K309" s="5">
        <v>0</v>
      </c>
      <c r="L309" s="9" t="s">
        <v>49</v>
      </c>
      <c r="M309" s="9" t="s">
        <v>73</v>
      </c>
      <c r="N309" s="5" t="b">
        <v>1</v>
      </c>
      <c r="O309" s="5">
        <v>112</v>
      </c>
      <c r="P309" s="9" t="s">
        <v>63</v>
      </c>
      <c r="Q309" s="5">
        <v>4</v>
      </c>
      <c r="R309" s="5">
        <v>1</v>
      </c>
      <c r="S309" s="5">
        <v>548</v>
      </c>
      <c r="T309" s="10" t="s">
        <v>38</v>
      </c>
      <c r="U309" t="str">
        <f>IF(OR(E309&lt;'Q1'!$E$13,E309&gt;'Q1'!$E$14),"Outliers","Not an Outliers")</f>
        <v>Not an Outliers</v>
      </c>
      <c r="V309" t="str">
        <f t="shared" si="4"/>
        <v>Weekday</v>
      </c>
    </row>
    <row r="310" spans="1:22" x14ac:dyDescent="0.3">
      <c r="A310" s="23">
        <v>45414</v>
      </c>
      <c r="B310" s="7" t="s">
        <v>62</v>
      </c>
      <c r="C310" s="7" t="s">
        <v>45</v>
      </c>
      <c r="D310" s="7" t="s">
        <v>57</v>
      </c>
      <c r="E310" s="4">
        <v>1000</v>
      </c>
      <c r="F310" s="4" t="b">
        <v>0</v>
      </c>
      <c r="G310" s="7" t="s">
        <v>34</v>
      </c>
      <c r="H310" s="7" t="s">
        <v>70</v>
      </c>
      <c r="I310" s="7" t="s">
        <v>25</v>
      </c>
      <c r="J310" s="7" t="s">
        <v>48</v>
      </c>
      <c r="K310" s="4">
        <v>0</v>
      </c>
      <c r="L310" s="7" t="s">
        <v>36</v>
      </c>
      <c r="M310" s="7" t="s">
        <v>58</v>
      </c>
      <c r="N310" s="4" t="b">
        <v>1</v>
      </c>
      <c r="O310" s="4">
        <v>101</v>
      </c>
      <c r="P310" s="7" t="s">
        <v>67</v>
      </c>
      <c r="Q310" s="4">
        <v>9</v>
      </c>
      <c r="R310" s="4">
        <v>1</v>
      </c>
      <c r="S310" s="4">
        <v>3048</v>
      </c>
      <c r="T310" s="8" t="s">
        <v>30</v>
      </c>
      <c r="U310" t="str">
        <f>IF(OR(E310&lt;'Q1'!$E$13,E310&gt;'Q1'!$E$14),"Outliers","Not an Outliers")</f>
        <v>Not an Outliers</v>
      </c>
      <c r="V310" t="str">
        <f t="shared" si="4"/>
        <v>Weekday</v>
      </c>
    </row>
    <row r="311" spans="1:22" x14ac:dyDescent="0.3">
      <c r="A311" s="24">
        <v>45414</v>
      </c>
      <c r="B311" s="9" t="s">
        <v>20</v>
      </c>
      <c r="C311" s="9" t="s">
        <v>32</v>
      </c>
      <c r="D311" s="9" t="s">
        <v>53</v>
      </c>
      <c r="E311" s="5">
        <v>4870</v>
      </c>
      <c r="F311" s="5" t="b">
        <v>1</v>
      </c>
      <c r="G311" s="9" t="s">
        <v>34</v>
      </c>
      <c r="H311" s="9" t="s">
        <v>70</v>
      </c>
      <c r="I311" s="9" t="s">
        <v>59</v>
      </c>
      <c r="J311" s="9" t="s">
        <v>26</v>
      </c>
      <c r="K311" s="5">
        <v>1</v>
      </c>
      <c r="L311" s="9" t="s">
        <v>36</v>
      </c>
      <c r="M311" s="9" t="s">
        <v>73</v>
      </c>
      <c r="N311" s="5" t="b">
        <v>0</v>
      </c>
      <c r="O311" s="5">
        <v>65</v>
      </c>
      <c r="P311" s="9" t="s">
        <v>29</v>
      </c>
      <c r="Q311" s="5">
        <v>9</v>
      </c>
      <c r="R311" s="5">
        <v>3</v>
      </c>
      <c r="S311" s="5">
        <v>2826</v>
      </c>
      <c r="T311" s="10" t="s">
        <v>51</v>
      </c>
      <c r="U311" t="str">
        <f>IF(OR(E311&lt;'Q1'!$E$13,E311&gt;'Q1'!$E$14),"Outliers","Not an Outliers")</f>
        <v>Not an Outliers</v>
      </c>
      <c r="V311" t="str">
        <f t="shared" si="4"/>
        <v>Weekday</v>
      </c>
    </row>
    <row r="312" spans="1:22" x14ac:dyDescent="0.3">
      <c r="A312" s="23">
        <v>45415</v>
      </c>
      <c r="B312" s="7" t="s">
        <v>20</v>
      </c>
      <c r="C312" s="7" t="s">
        <v>21</v>
      </c>
      <c r="D312" s="7" t="s">
        <v>33</v>
      </c>
      <c r="E312" s="4">
        <v>2256</v>
      </c>
      <c r="F312" s="4" t="b">
        <v>0</v>
      </c>
      <c r="G312" s="7" t="s">
        <v>34</v>
      </c>
      <c r="H312" s="7" t="s">
        <v>35</v>
      </c>
      <c r="I312" s="7" t="s">
        <v>59</v>
      </c>
      <c r="J312" s="7" t="s">
        <v>54</v>
      </c>
      <c r="K312" s="4">
        <v>4</v>
      </c>
      <c r="L312" s="7" t="s">
        <v>36</v>
      </c>
      <c r="M312" s="7" t="s">
        <v>73</v>
      </c>
      <c r="N312" s="4" t="b">
        <v>0</v>
      </c>
      <c r="O312" s="4">
        <v>56</v>
      </c>
      <c r="P312" s="7" t="s">
        <v>50</v>
      </c>
      <c r="Q312" s="4">
        <v>6</v>
      </c>
      <c r="R312" s="4">
        <v>1</v>
      </c>
      <c r="S312" s="4">
        <v>1281</v>
      </c>
      <c r="T312" s="8" t="s">
        <v>38</v>
      </c>
      <c r="U312" t="str">
        <f>IF(OR(E312&lt;'Q1'!$E$13,E312&gt;'Q1'!$E$14),"Outliers","Not an Outliers")</f>
        <v>Not an Outliers</v>
      </c>
      <c r="V312" t="str">
        <f t="shared" si="4"/>
        <v>Weekday</v>
      </c>
    </row>
    <row r="313" spans="1:22" x14ac:dyDescent="0.3">
      <c r="A313" s="24">
        <v>45415</v>
      </c>
      <c r="B313" s="9" t="s">
        <v>55</v>
      </c>
      <c r="C313" s="9" t="s">
        <v>45</v>
      </c>
      <c r="D313" s="9" t="s">
        <v>22</v>
      </c>
      <c r="E313" s="5">
        <v>8621</v>
      </c>
      <c r="F313" s="5" t="b">
        <v>0</v>
      </c>
      <c r="G313" s="9" t="s">
        <v>34</v>
      </c>
      <c r="H313" s="9" t="s">
        <v>70</v>
      </c>
      <c r="I313" s="9" t="s">
        <v>47</v>
      </c>
      <c r="J313" s="9" t="s">
        <v>26</v>
      </c>
      <c r="K313" s="5">
        <v>3</v>
      </c>
      <c r="L313" s="9" t="s">
        <v>49</v>
      </c>
      <c r="M313" s="9" t="s">
        <v>66</v>
      </c>
      <c r="N313" s="5" t="b">
        <v>0</v>
      </c>
      <c r="O313" s="5">
        <v>42</v>
      </c>
      <c r="P313" s="9" t="s">
        <v>67</v>
      </c>
      <c r="Q313" s="5">
        <v>6</v>
      </c>
      <c r="R313" s="5">
        <v>1</v>
      </c>
      <c r="S313" s="5">
        <v>3300</v>
      </c>
      <c r="T313" s="10" t="s">
        <v>38</v>
      </c>
      <c r="U313" t="str">
        <f>IF(OR(E313&lt;'Q1'!$E$13,E313&gt;'Q1'!$E$14),"Outliers","Not an Outliers")</f>
        <v>Not an Outliers</v>
      </c>
      <c r="V313" t="str">
        <f t="shared" si="4"/>
        <v>Weekday</v>
      </c>
    </row>
    <row r="314" spans="1:22" x14ac:dyDescent="0.3">
      <c r="A314" s="23">
        <v>45415</v>
      </c>
      <c r="B314" s="7" t="s">
        <v>55</v>
      </c>
      <c r="C314" s="7" t="s">
        <v>32</v>
      </c>
      <c r="D314" s="7" t="s">
        <v>46</v>
      </c>
      <c r="E314" s="4">
        <v>3167</v>
      </c>
      <c r="F314" s="4" t="b">
        <v>1</v>
      </c>
      <c r="G314" s="7" t="s">
        <v>65</v>
      </c>
      <c r="H314" s="7" t="s">
        <v>41</v>
      </c>
      <c r="I314" s="7" t="s">
        <v>42</v>
      </c>
      <c r="J314" s="7" t="s">
        <v>54</v>
      </c>
      <c r="K314" s="4">
        <v>1</v>
      </c>
      <c r="L314" s="7" t="s">
        <v>27</v>
      </c>
      <c r="M314" s="7" t="s">
        <v>58</v>
      </c>
      <c r="N314" s="4" t="b">
        <v>1</v>
      </c>
      <c r="O314" s="4">
        <v>22</v>
      </c>
      <c r="P314" s="7" t="s">
        <v>50</v>
      </c>
      <c r="Q314" s="4">
        <v>5</v>
      </c>
      <c r="R314" s="4">
        <v>1</v>
      </c>
      <c r="S314" s="4">
        <v>4700</v>
      </c>
      <c r="T314" s="8" t="s">
        <v>30</v>
      </c>
      <c r="U314" t="str">
        <f>IF(OR(E314&lt;'Q1'!$E$13,E314&gt;'Q1'!$E$14),"Outliers","Not an Outliers")</f>
        <v>Not an Outliers</v>
      </c>
      <c r="V314" t="str">
        <f t="shared" si="4"/>
        <v>Weekday</v>
      </c>
    </row>
    <row r="315" spans="1:22" x14ac:dyDescent="0.3">
      <c r="A315" s="24">
        <v>45415</v>
      </c>
      <c r="B315" s="9" t="s">
        <v>62</v>
      </c>
      <c r="C315" s="9" t="s">
        <v>21</v>
      </c>
      <c r="D315" s="9" t="s">
        <v>53</v>
      </c>
      <c r="E315" s="5">
        <v>7813</v>
      </c>
      <c r="F315" s="5" t="b">
        <v>0</v>
      </c>
      <c r="G315" s="9" t="s">
        <v>40</v>
      </c>
      <c r="H315" s="9" t="s">
        <v>70</v>
      </c>
      <c r="I315" s="9" t="s">
        <v>42</v>
      </c>
      <c r="J315" s="9" t="s">
        <v>26</v>
      </c>
      <c r="K315" s="5">
        <v>0</v>
      </c>
      <c r="L315" s="9" t="s">
        <v>27</v>
      </c>
      <c r="M315" s="9" t="s">
        <v>28</v>
      </c>
      <c r="N315" s="5" t="b">
        <v>0</v>
      </c>
      <c r="O315" s="5">
        <v>87</v>
      </c>
      <c r="P315" s="9" t="s">
        <v>50</v>
      </c>
      <c r="Q315" s="5">
        <v>10</v>
      </c>
      <c r="R315" s="5">
        <v>1</v>
      </c>
      <c r="S315" s="5">
        <v>2793</v>
      </c>
      <c r="T315" s="10" t="s">
        <v>30</v>
      </c>
      <c r="U315" t="str">
        <f>IF(OR(E315&lt;'Q1'!$E$13,E315&gt;'Q1'!$E$14),"Outliers","Not an Outliers")</f>
        <v>Not an Outliers</v>
      </c>
      <c r="V315" t="str">
        <f t="shared" si="4"/>
        <v>Weekday</v>
      </c>
    </row>
    <row r="316" spans="1:22" x14ac:dyDescent="0.3">
      <c r="A316" s="23">
        <v>45416</v>
      </c>
      <c r="B316" s="7" t="s">
        <v>62</v>
      </c>
      <c r="C316" s="7" t="s">
        <v>56</v>
      </c>
      <c r="D316" s="7" t="s">
        <v>46</v>
      </c>
      <c r="E316" s="4">
        <v>1926</v>
      </c>
      <c r="F316" s="4" t="b">
        <v>1</v>
      </c>
      <c r="G316" s="7" t="s">
        <v>34</v>
      </c>
      <c r="H316" s="7" t="s">
        <v>24</v>
      </c>
      <c r="I316" s="7" t="s">
        <v>59</v>
      </c>
      <c r="J316" s="7" t="s">
        <v>26</v>
      </c>
      <c r="K316" s="4">
        <v>2</v>
      </c>
      <c r="L316" s="7" t="s">
        <v>36</v>
      </c>
      <c r="M316" s="7" t="s">
        <v>28</v>
      </c>
      <c r="N316" s="4" t="b">
        <v>1</v>
      </c>
      <c r="O316" s="4">
        <v>89</v>
      </c>
      <c r="P316" s="7" t="s">
        <v>63</v>
      </c>
      <c r="Q316" s="4">
        <v>3</v>
      </c>
      <c r="R316" s="4">
        <v>1</v>
      </c>
      <c r="S316" s="4">
        <v>3532</v>
      </c>
      <c r="T316" s="8" t="s">
        <v>30</v>
      </c>
      <c r="U316" t="str">
        <f>IF(OR(E316&lt;'Q1'!$E$13,E316&gt;'Q1'!$E$14),"Outliers","Not an Outliers")</f>
        <v>Not an Outliers</v>
      </c>
      <c r="V316" t="str">
        <f t="shared" si="4"/>
        <v>Weekend</v>
      </c>
    </row>
    <row r="317" spans="1:22" x14ac:dyDescent="0.3">
      <c r="A317" s="24">
        <v>45416</v>
      </c>
      <c r="B317" s="9" t="s">
        <v>20</v>
      </c>
      <c r="C317" s="9" t="s">
        <v>32</v>
      </c>
      <c r="D317" s="9" t="s">
        <v>33</v>
      </c>
      <c r="E317" s="5">
        <v>1518</v>
      </c>
      <c r="F317" s="5" t="b">
        <v>0</v>
      </c>
      <c r="G317" s="9" t="s">
        <v>40</v>
      </c>
      <c r="H317" s="9" t="s">
        <v>41</v>
      </c>
      <c r="I317" s="9" t="s">
        <v>25</v>
      </c>
      <c r="J317" s="9" t="s">
        <v>26</v>
      </c>
      <c r="K317" s="5">
        <v>4</v>
      </c>
      <c r="L317" s="9" t="s">
        <v>36</v>
      </c>
      <c r="M317" s="9" t="s">
        <v>58</v>
      </c>
      <c r="N317" s="5" t="b">
        <v>0</v>
      </c>
      <c r="O317" s="5">
        <v>69</v>
      </c>
      <c r="P317" s="9" t="s">
        <v>37</v>
      </c>
      <c r="Q317" s="5">
        <v>1</v>
      </c>
      <c r="R317" s="5">
        <v>3</v>
      </c>
      <c r="S317" s="5">
        <v>2457</v>
      </c>
      <c r="T317" s="10" t="s">
        <v>38</v>
      </c>
      <c r="U317" t="str">
        <f>IF(OR(E317&lt;'Q1'!$E$13,E317&gt;'Q1'!$E$14),"Outliers","Not an Outliers")</f>
        <v>Not an Outliers</v>
      </c>
      <c r="V317" t="str">
        <f t="shared" si="4"/>
        <v>Weekend</v>
      </c>
    </row>
    <row r="318" spans="1:22" x14ac:dyDescent="0.3">
      <c r="A318" s="23">
        <v>45416</v>
      </c>
      <c r="B318" s="7" t="s">
        <v>20</v>
      </c>
      <c r="C318" s="7" t="s">
        <v>45</v>
      </c>
      <c r="D318" s="7" t="s">
        <v>57</v>
      </c>
      <c r="E318" s="4">
        <v>1000</v>
      </c>
      <c r="F318" s="4" t="b">
        <v>0</v>
      </c>
      <c r="G318" s="7" t="s">
        <v>23</v>
      </c>
      <c r="H318" s="7" t="s">
        <v>41</v>
      </c>
      <c r="I318" s="7" t="s">
        <v>25</v>
      </c>
      <c r="J318" s="7" t="s">
        <v>48</v>
      </c>
      <c r="K318" s="4">
        <v>3</v>
      </c>
      <c r="L318" s="7" t="s">
        <v>36</v>
      </c>
      <c r="M318" s="7" t="s">
        <v>73</v>
      </c>
      <c r="N318" s="4" t="b">
        <v>1</v>
      </c>
      <c r="O318" s="4">
        <v>58</v>
      </c>
      <c r="P318" s="7" t="s">
        <v>29</v>
      </c>
      <c r="Q318" s="4">
        <v>6</v>
      </c>
      <c r="R318" s="4">
        <v>1</v>
      </c>
      <c r="S318" s="4">
        <v>4164</v>
      </c>
      <c r="T318" s="8" t="s">
        <v>51</v>
      </c>
      <c r="U318" t="str">
        <f>IF(OR(E318&lt;'Q1'!$E$13,E318&gt;'Q1'!$E$14),"Outliers","Not an Outliers")</f>
        <v>Not an Outliers</v>
      </c>
      <c r="V318" t="str">
        <f t="shared" si="4"/>
        <v>Weekend</v>
      </c>
    </row>
    <row r="319" spans="1:22" x14ac:dyDescent="0.3">
      <c r="A319" s="24">
        <v>45417</v>
      </c>
      <c r="B319" s="9" t="s">
        <v>44</v>
      </c>
      <c r="C319" s="9" t="s">
        <v>45</v>
      </c>
      <c r="D319" s="9" t="s">
        <v>46</v>
      </c>
      <c r="E319" s="5">
        <v>4243</v>
      </c>
      <c r="F319" s="5" t="b">
        <v>0</v>
      </c>
      <c r="G319" s="9" t="s">
        <v>40</v>
      </c>
      <c r="H319" s="9" t="s">
        <v>24</v>
      </c>
      <c r="I319" s="9" t="s">
        <v>47</v>
      </c>
      <c r="J319" s="9" t="s">
        <v>48</v>
      </c>
      <c r="K319" s="5">
        <v>5</v>
      </c>
      <c r="L319" s="9" t="s">
        <v>49</v>
      </c>
      <c r="M319" s="9" t="s">
        <v>28</v>
      </c>
      <c r="N319" s="5" t="b">
        <v>0</v>
      </c>
      <c r="O319" s="5">
        <v>24</v>
      </c>
      <c r="P319" s="9" t="s">
        <v>50</v>
      </c>
      <c r="Q319" s="5">
        <v>1</v>
      </c>
      <c r="R319" s="5">
        <v>1</v>
      </c>
      <c r="S319" s="5">
        <v>1004</v>
      </c>
      <c r="T319" s="10" t="s">
        <v>51</v>
      </c>
      <c r="U319" t="str">
        <f>IF(OR(E319&lt;'Q1'!$E$13,E319&gt;'Q1'!$E$14),"Outliers","Not an Outliers")</f>
        <v>Not an Outliers</v>
      </c>
      <c r="V319" t="str">
        <f t="shared" si="4"/>
        <v>Weekend</v>
      </c>
    </row>
    <row r="320" spans="1:22" x14ac:dyDescent="0.3">
      <c r="A320" s="23">
        <v>45417</v>
      </c>
      <c r="B320" s="7" t="s">
        <v>71</v>
      </c>
      <c r="C320" s="7" t="s">
        <v>32</v>
      </c>
      <c r="D320" s="7" t="s">
        <v>57</v>
      </c>
      <c r="E320" s="4">
        <v>1000</v>
      </c>
      <c r="F320" s="4" t="b">
        <v>1</v>
      </c>
      <c r="G320" s="7" t="s">
        <v>23</v>
      </c>
      <c r="H320" s="7" t="s">
        <v>24</v>
      </c>
      <c r="I320" s="7" t="s">
        <v>25</v>
      </c>
      <c r="J320" s="7" t="s">
        <v>48</v>
      </c>
      <c r="K320" s="4">
        <v>5</v>
      </c>
      <c r="L320" s="7" t="s">
        <v>49</v>
      </c>
      <c r="M320" s="7" t="s">
        <v>66</v>
      </c>
      <c r="N320" s="4" t="b">
        <v>1</v>
      </c>
      <c r="O320" s="4">
        <v>15</v>
      </c>
      <c r="P320" s="7" t="s">
        <v>50</v>
      </c>
      <c r="Q320" s="4">
        <v>5</v>
      </c>
      <c r="R320" s="4">
        <v>1</v>
      </c>
      <c r="S320" s="4">
        <v>4223</v>
      </c>
      <c r="T320" s="8" t="s">
        <v>30</v>
      </c>
      <c r="U320" t="str">
        <f>IF(OR(E320&lt;'Q1'!$E$13,E320&gt;'Q1'!$E$14),"Outliers","Not an Outliers")</f>
        <v>Not an Outliers</v>
      </c>
      <c r="V320" t="str">
        <f t="shared" si="4"/>
        <v>Weekend</v>
      </c>
    </row>
    <row r="321" spans="1:22" x14ac:dyDescent="0.3">
      <c r="A321" s="24">
        <v>45417</v>
      </c>
      <c r="B321" s="9" t="s">
        <v>76</v>
      </c>
      <c r="C321" s="9" t="s">
        <v>60</v>
      </c>
      <c r="D321" s="9" t="s">
        <v>46</v>
      </c>
      <c r="E321" s="5">
        <v>1083</v>
      </c>
      <c r="F321" s="5" t="b">
        <v>1</v>
      </c>
      <c r="G321" s="9" t="s">
        <v>65</v>
      </c>
      <c r="H321" s="9" t="s">
        <v>41</v>
      </c>
      <c r="I321" s="9" t="s">
        <v>59</v>
      </c>
      <c r="J321" s="9" t="s">
        <v>54</v>
      </c>
      <c r="K321" s="5">
        <v>3</v>
      </c>
      <c r="L321" s="9" t="s">
        <v>27</v>
      </c>
      <c r="M321" s="9" t="s">
        <v>28</v>
      </c>
      <c r="N321" s="5" t="b">
        <v>0</v>
      </c>
      <c r="O321" s="5">
        <v>101</v>
      </c>
      <c r="P321" s="9" t="s">
        <v>29</v>
      </c>
      <c r="Q321" s="5">
        <v>3</v>
      </c>
      <c r="R321" s="5">
        <v>3</v>
      </c>
      <c r="S321" s="5">
        <v>2523</v>
      </c>
      <c r="T321" s="10" t="s">
        <v>30</v>
      </c>
      <c r="U321" t="str">
        <f>IF(OR(E321&lt;'Q1'!$E$13,E321&gt;'Q1'!$E$14),"Outliers","Not an Outliers")</f>
        <v>Not an Outliers</v>
      </c>
      <c r="V321" t="str">
        <f t="shared" si="4"/>
        <v>Weekend</v>
      </c>
    </row>
    <row r="322" spans="1:22" x14ac:dyDescent="0.3">
      <c r="A322" s="23">
        <v>45418</v>
      </c>
      <c r="B322" s="7" t="s">
        <v>20</v>
      </c>
      <c r="C322" s="7" t="s">
        <v>21</v>
      </c>
      <c r="D322" s="7" t="s">
        <v>22</v>
      </c>
      <c r="E322" s="4">
        <v>6867</v>
      </c>
      <c r="F322" s="4" t="b">
        <v>1</v>
      </c>
      <c r="G322" s="7" t="s">
        <v>23</v>
      </c>
      <c r="H322" s="7" t="s">
        <v>24</v>
      </c>
      <c r="I322" s="7" t="s">
        <v>25</v>
      </c>
      <c r="J322" s="7" t="s">
        <v>26</v>
      </c>
      <c r="K322" s="4">
        <v>2</v>
      </c>
      <c r="L322" s="7" t="s">
        <v>27</v>
      </c>
      <c r="M322" s="7" t="s">
        <v>28</v>
      </c>
      <c r="N322" s="4" t="b">
        <v>1</v>
      </c>
      <c r="O322" s="4">
        <v>20</v>
      </c>
      <c r="P322" s="7" t="s">
        <v>29</v>
      </c>
      <c r="Q322" s="4">
        <v>3</v>
      </c>
      <c r="R322" s="4">
        <v>3</v>
      </c>
      <c r="S322" s="4">
        <v>3766</v>
      </c>
      <c r="T322" s="8" t="s">
        <v>30</v>
      </c>
      <c r="U322" t="str">
        <f>IF(OR(E322&lt;'Q1'!$E$13,E322&gt;'Q1'!$E$14),"Outliers","Not an Outliers")</f>
        <v>Not an Outliers</v>
      </c>
      <c r="V322" t="str">
        <f t="shared" si="4"/>
        <v>Weekday</v>
      </c>
    </row>
    <row r="323" spans="1:22" x14ac:dyDescent="0.3">
      <c r="A323" s="24">
        <v>45418</v>
      </c>
      <c r="B323" s="9" t="s">
        <v>72</v>
      </c>
      <c r="C323" s="9" t="s">
        <v>56</v>
      </c>
      <c r="D323" s="9" t="s">
        <v>22</v>
      </c>
      <c r="E323" s="5">
        <v>7670</v>
      </c>
      <c r="F323" s="5" t="b">
        <v>0</v>
      </c>
      <c r="G323" s="9" t="s">
        <v>40</v>
      </c>
      <c r="H323" s="9" t="s">
        <v>24</v>
      </c>
      <c r="I323" s="9" t="s">
        <v>25</v>
      </c>
      <c r="J323" s="9" t="s">
        <v>54</v>
      </c>
      <c r="K323" s="5">
        <v>3</v>
      </c>
      <c r="L323" s="9" t="s">
        <v>49</v>
      </c>
      <c r="M323" s="9" t="s">
        <v>58</v>
      </c>
      <c r="N323" s="5" t="b">
        <v>0</v>
      </c>
      <c r="O323" s="5">
        <v>50</v>
      </c>
      <c r="P323" s="9" t="s">
        <v>67</v>
      </c>
      <c r="Q323" s="5">
        <v>3</v>
      </c>
      <c r="R323" s="5">
        <v>1</v>
      </c>
      <c r="S323" s="5">
        <v>4324</v>
      </c>
      <c r="T323" s="10" t="s">
        <v>30</v>
      </c>
      <c r="U323" t="str">
        <f>IF(OR(E323&lt;'Q1'!$E$13,E323&gt;'Q1'!$E$14),"Outliers","Not an Outliers")</f>
        <v>Not an Outliers</v>
      </c>
      <c r="V323" t="str">
        <f t="shared" ref="V323:V386" si="5">IF(WEEKDAY(A323,2)&gt;5,"Weekend","Weekday")</f>
        <v>Weekday</v>
      </c>
    </row>
    <row r="324" spans="1:22" x14ac:dyDescent="0.3">
      <c r="A324" s="23">
        <v>45418</v>
      </c>
      <c r="B324" s="7" t="s">
        <v>44</v>
      </c>
      <c r="C324" s="7" t="s">
        <v>45</v>
      </c>
      <c r="D324" s="7" t="s">
        <v>53</v>
      </c>
      <c r="E324" s="4">
        <v>4876</v>
      </c>
      <c r="F324" s="4" t="b">
        <v>0</v>
      </c>
      <c r="G324" s="7" t="s">
        <v>34</v>
      </c>
      <c r="H324" s="7" t="s">
        <v>41</v>
      </c>
      <c r="I324" s="7" t="s">
        <v>25</v>
      </c>
      <c r="J324" s="7" t="s">
        <v>54</v>
      </c>
      <c r="K324" s="4">
        <v>4</v>
      </c>
      <c r="L324" s="7" t="s">
        <v>49</v>
      </c>
      <c r="M324" s="7" t="s">
        <v>28</v>
      </c>
      <c r="N324" s="4" t="b">
        <v>0</v>
      </c>
      <c r="O324" s="4">
        <v>118</v>
      </c>
      <c r="P324" s="7" t="s">
        <v>63</v>
      </c>
      <c r="Q324" s="4">
        <v>4</v>
      </c>
      <c r="R324" s="4">
        <v>3</v>
      </c>
      <c r="S324" s="4">
        <v>2372</v>
      </c>
      <c r="T324" s="8" t="s">
        <v>51</v>
      </c>
      <c r="U324" t="str">
        <f>IF(OR(E324&lt;'Q1'!$E$13,E324&gt;'Q1'!$E$14),"Outliers","Not an Outliers")</f>
        <v>Not an Outliers</v>
      </c>
      <c r="V324" t="str">
        <f t="shared" si="5"/>
        <v>Weekday</v>
      </c>
    </row>
    <row r="325" spans="1:22" x14ac:dyDescent="0.3">
      <c r="A325" s="24">
        <v>45419</v>
      </c>
      <c r="B325" s="9" t="s">
        <v>74</v>
      </c>
      <c r="C325" s="9" t="s">
        <v>45</v>
      </c>
      <c r="D325" s="9" t="s">
        <v>22</v>
      </c>
      <c r="E325" s="5">
        <v>6500</v>
      </c>
      <c r="F325" s="5" t="b">
        <v>0</v>
      </c>
      <c r="G325" s="9" t="s">
        <v>23</v>
      </c>
      <c r="H325" s="9" t="s">
        <v>35</v>
      </c>
      <c r="I325" s="9" t="s">
        <v>47</v>
      </c>
      <c r="J325" s="9" t="s">
        <v>48</v>
      </c>
      <c r="K325" s="5">
        <v>1</v>
      </c>
      <c r="L325" s="9" t="s">
        <v>36</v>
      </c>
      <c r="M325" s="9" t="s">
        <v>28</v>
      </c>
      <c r="N325" s="5" t="b">
        <v>1</v>
      </c>
      <c r="O325" s="5">
        <v>6</v>
      </c>
      <c r="P325" s="9" t="s">
        <v>50</v>
      </c>
      <c r="Q325" s="5">
        <v>1</v>
      </c>
      <c r="R325" s="5">
        <v>3</v>
      </c>
      <c r="S325" s="5">
        <v>2125</v>
      </c>
      <c r="T325" s="10" t="s">
        <v>51</v>
      </c>
      <c r="U325" t="str">
        <f>IF(OR(E325&lt;'Q1'!$E$13,E325&gt;'Q1'!$E$14),"Outliers","Not an Outliers")</f>
        <v>Not an Outliers</v>
      </c>
      <c r="V325" t="str">
        <f t="shared" si="5"/>
        <v>Weekday</v>
      </c>
    </row>
    <row r="326" spans="1:22" x14ac:dyDescent="0.3">
      <c r="A326" s="23">
        <v>45419</v>
      </c>
      <c r="B326" s="7" t="s">
        <v>39</v>
      </c>
      <c r="C326" s="7" t="s">
        <v>60</v>
      </c>
      <c r="D326" s="7" t="s">
        <v>53</v>
      </c>
      <c r="E326" s="4">
        <v>4235</v>
      </c>
      <c r="F326" s="4" t="b">
        <v>1</v>
      </c>
      <c r="G326" s="7" t="s">
        <v>64</v>
      </c>
      <c r="H326" s="7" t="s">
        <v>41</v>
      </c>
      <c r="I326" s="7" t="s">
        <v>25</v>
      </c>
      <c r="J326" s="7" t="s">
        <v>43</v>
      </c>
      <c r="K326" s="4">
        <v>3</v>
      </c>
      <c r="L326" s="7" t="s">
        <v>27</v>
      </c>
      <c r="M326" s="7" t="s">
        <v>28</v>
      </c>
      <c r="N326" s="4" t="b">
        <v>1</v>
      </c>
      <c r="O326" s="4">
        <v>47</v>
      </c>
      <c r="P326" s="7" t="s">
        <v>67</v>
      </c>
      <c r="Q326" s="4">
        <v>7</v>
      </c>
      <c r="R326" s="4">
        <v>3</v>
      </c>
      <c r="S326" s="4">
        <v>654</v>
      </c>
      <c r="T326" s="8" t="s">
        <v>51</v>
      </c>
      <c r="U326" t="str">
        <f>IF(OR(E326&lt;'Q1'!$E$13,E326&gt;'Q1'!$E$14),"Outliers","Not an Outliers")</f>
        <v>Not an Outliers</v>
      </c>
      <c r="V326" t="str">
        <f t="shared" si="5"/>
        <v>Weekday</v>
      </c>
    </row>
    <row r="327" spans="1:22" x14ac:dyDescent="0.3">
      <c r="A327" s="24">
        <v>45419</v>
      </c>
      <c r="B327" s="9" t="s">
        <v>39</v>
      </c>
      <c r="C327" s="9" t="s">
        <v>21</v>
      </c>
      <c r="D327" s="9" t="s">
        <v>46</v>
      </c>
      <c r="E327" s="5">
        <v>2257</v>
      </c>
      <c r="F327" s="5" t="b">
        <v>1</v>
      </c>
      <c r="G327" s="9" t="s">
        <v>65</v>
      </c>
      <c r="H327" s="9" t="s">
        <v>41</v>
      </c>
      <c r="I327" s="9" t="s">
        <v>42</v>
      </c>
      <c r="J327" s="9" t="s">
        <v>54</v>
      </c>
      <c r="K327" s="5">
        <v>2</v>
      </c>
      <c r="L327" s="9" t="s">
        <v>36</v>
      </c>
      <c r="M327" s="9" t="s">
        <v>66</v>
      </c>
      <c r="N327" s="5" t="b">
        <v>1</v>
      </c>
      <c r="O327" s="5">
        <v>29</v>
      </c>
      <c r="P327" s="9" t="s">
        <v>29</v>
      </c>
      <c r="Q327" s="5">
        <v>5</v>
      </c>
      <c r="R327" s="5">
        <v>1</v>
      </c>
      <c r="S327" s="5">
        <v>2539</v>
      </c>
      <c r="T327" s="10" t="s">
        <v>38</v>
      </c>
      <c r="U327" t="str">
        <f>IF(OR(E327&lt;'Q1'!$E$13,E327&gt;'Q1'!$E$14),"Outliers","Not an Outliers")</f>
        <v>Not an Outliers</v>
      </c>
      <c r="V327" t="str">
        <f t="shared" si="5"/>
        <v>Weekday</v>
      </c>
    </row>
    <row r="328" spans="1:22" x14ac:dyDescent="0.3">
      <c r="A328" s="23">
        <v>45420</v>
      </c>
      <c r="B328" s="7" t="s">
        <v>77</v>
      </c>
      <c r="C328" s="7" t="s">
        <v>32</v>
      </c>
      <c r="D328" s="7" t="s">
        <v>53</v>
      </c>
      <c r="E328" s="4">
        <v>3225</v>
      </c>
      <c r="F328" s="4" t="b">
        <v>1</v>
      </c>
      <c r="G328" s="7" t="s">
        <v>34</v>
      </c>
      <c r="H328" s="7" t="s">
        <v>70</v>
      </c>
      <c r="I328" s="7" t="s">
        <v>59</v>
      </c>
      <c r="J328" s="7" t="s">
        <v>43</v>
      </c>
      <c r="K328" s="4">
        <v>5</v>
      </c>
      <c r="L328" s="7" t="s">
        <v>36</v>
      </c>
      <c r="M328" s="7" t="s">
        <v>66</v>
      </c>
      <c r="N328" s="4" t="b">
        <v>0</v>
      </c>
      <c r="O328" s="4">
        <v>66</v>
      </c>
      <c r="P328" s="7" t="s">
        <v>37</v>
      </c>
      <c r="Q328" s="4">
        <v>1</v>
      </c>
      <c r="R328" s="4">
        <v>1</v>
      </c>
      <c r="S328" s="4">
        <v>1217</v>
      </c>
      <c r="T328" s="8" t="s">
        <v>30</v>
      </c>
      <c r="U328" t="str">
        <f>IF(OR(E328&lt;'Q1'!$E$13,E328&gt;'Q1'!$E$14),"Outliers","Not an Outliers")</f>
        <v>Not an Outliers</v>
      </c>
      <c r="V328" t="str">
        <f t="shared" si="5"/>
        <v>Weekday</v>
      </c>
    </row>
    <row r="329" spans="1:22" x14ac:dyDescent="0.3">
      <c r="A329" s="24">
        <v>45420</v>
      </c>
      <c r="B329" s="9" t="s">
        <v>72</v>
      </c>
      <c r="C329" s="9" t="s">
        <v>21</v>
      </c>
      <c r="D329" s="9" t="s">
        <v>57</v>
      </c>
      <c r="E329" s="5">
        <v>1000</v>
      </c>
      <c r="F329" s="5" t="b">
        <v>0</v>
      </c>
      <c r="G329" s="9" t="s">
        <v>65</v>
      </c>
      <c r="H329" s="9" t="s">
        <v>35</v>
      </c>
      <c r="I329" s="9" t="s">
        <v>25</v>
      </c>
      <c r="J329" s="9" t="s">
        <v>43</v>
      </c>
      <c r="K329" s="5">
        <v>3</v>
      </c>
      <c r="L329" s="9" t="s">
        <v>27</v>
      </c>
      <c r="M329" s="9" t="s">
        <v>28</v>
      </c>
      <c r="N329" s="5" t="b">
        <v>0</v>
      </c>
      <c r="O329" s="5">
        <v>103</v>
      </c>
      <c r="P329" s="9" t="s">
        <v>67</v>
      </c>
      <c r="Q329" s="5">
        <v>10</v>
      </c>
      <c r="R329" s="5">
        <v>1</v>
      </c>
      <c r="S329" s="5">
        <v>4307</v>
      </c>
      <c r="T329" s="10" t="s">
        <v>51</v>
      </c>
      <c r="U329" t="str">
        <f>IF(OR(E329&lt;'Q1'!$E$13,E329&gt;'Q1'!$E$14),"Outliers","Not an Outliers")</f>
        <v>Not an Outliers</v>
      </c>
      <c r="V329" t="str">
        <f t="shared" si="5"/>
        <v>Weekday</v>
      </c>
    </row>
    <row r="330" spans="1:22" x14ac:dyDescent="0.3">
      <c r="A330" s="23">
        <v>45420</v>
      </c>
      <c r="B330" s="7" t="s">
        <v>31</v>
      </c>
      <c r="C330" s="7" t="s">
        <v>45</v>
      </c>
      <c r="D330" s="7" t="s">
        <v>57</v>
      </c>
      <c r="E330" s="4">
        <v>1000</v>
      </c>
      <c r="F330" s="4" t="b">
        <v>1</v>
      </c>
      <c r="G330" s="7" t="s">
        <v>64</v>
      </c>
      <c r="H330" s="7" t="s">
        <v>35</v>
      </c>
      <c r="I330" s="7" t="s">
        <v>42</v>
      </c>
      <c r="J330" s="7" t="s">
        <v>54</v>
      </c>
      <c r="K330" s="4">
        <v>2</v>
      </c>
      <c r="L330" s="7" t="s">
        <v>36</v>
      </c>
      <c r="M330" s="7" t="s">
        <v>28</v>
      </c>
      <c r="N330" s="4" t="b">
        <v>0</v>
      </c>
      <c r="O330" s="4">
        <v>65</v>
      </c>
      <c r="P330" s="7" t="s">
        <v>63</v>
      </c>
      <c r="Q330" s="4">
        <v>9</v>
      </c>
      <c r="R330" s="4">
        <v>1</v>
      </c>
      <c r="S330" s="4">
        <v>4677</v>
      </c>
      <c r="T330" s="8" t="s">
        <v>30</v>
      </c>
      <c r="U330" t="str">
        <f>IF(OR(E330&lt;'Q1'!$E$13,E330&gt;'Q1'!$E$14),"Outliers","Not an Outliers")</f>
        <v>Not an Outliers</v>
      </c>
      <c r="V330" t="str">
        <f t="shared" si="5"/>
        <v>Weekday</v>
      </c>
    </row>
    <row r="331" spans="1:22" x14ac:dyDescent="0.3">
      <c r="A331" s="24">
        <v>45420</v>
      </c>
      <c r="B331" s="9" t="s">
        <v>44</v>
      </c>
      <c r="C331" s="9" t="s">
        <v>60</v>
      </c>
      <c r="D331" s="9" t="s">
        <v>61</v>
      </c>
      <c r="E331" s="5">
        <v>1000</v>
      </c>
      <c r="F331" s="5" t="b">
        <v>1</v>
      </c>
      <c r="G331" s="9" t="s">
        <v>23</v>
      </c>
      <c r="H331" s="9" t="s">
        <v>35</v>
      </c>
      <c r="I331" s="9" t="s">
        <v>59</v>
      </c>
      <c r="J331" s="9" t="s">
        <v>26</v>
      </c>
      <c r="K331" s="5">
        <v>2</v>
      </c>
      <c r="L331" s="9" t="s">
        <v>27</v>
      </c>
      <c r="M331" s="9" t="s">
        <v>28</v>
      </c>
      <c r="N331" s="5" t="b">
        <v>1</v>
      </c>
      <c r="O331" s="5">
        <v>101</v>
      </c>
      <c r="P331" s="9" t="s">
        <v>50</v>
      </c>
      <c r="Q331" s="5">
        <v>7</v>
      </c>
      <c r="R331" s="5">
        <v>1</v>
      </c>
      <c r="S331" s="5">
        <v>816</v>
      </c>
      <c r="T331" s="10" t="s">
        <v>30</v>
      </c>
      <c r="U331" t="str">
        <f>IF(OR(E331&lt;'Q1'!$E$13,E331&gt;'Q1'!$E$14),"Outliers","Not an Outliers")</f>
        <v>Not an Outliers</v>
      </c>
      <c r="V331" t="str">
        <f t="shared" si="5"/>
        <v>Weekday</v>
      </c>
    </row>
    <row r="332" spans="1:22" x14ac:dyDescent="0.3">
      <c r="A332" s="23">
        <v>45420</v>
      </c>
      <c r="B332" s="7" t="s">
        <v>69</v>
      </c>
      <c r="C332" s="7" t="s">
        <v>32</v>
      </c>
      <c r="D332" s="7" t="s">
        <v>53</v>
      </c>
      <c r="E332" s="4">
        <v>4100</v>
      </c>
      <c r="F332" s="4" t="b">
        <v>0</v>
      </c>
      <c r="G332" s="7" t="s">
        <v>40</v>
      </c>
      <c r="H332" s="7" t="s">
        <v>70</v>
      </c>
      <c r="I332" s="7" t="s">
        <v>42</v>
      </c>
      <c r="J332" s="7" t="s">
        <v>54</v>
      </c>
      <c r="K332" s="4">
        <v>3</v>
      </c>
      <c r="L332" s="7" t="s">
        <v>27</v>
      </c>
      <c r="M332" s="7" t="s">
        <v>28</v>
      </c>
      <c r="N332" s="4" t="b">
        <v>1</v>
      </c>
      <c r="O332" s="4">
        <v>11</v>
      </c>
      <c r="P332" s="7" t="s">
        <v>50</v>
      </c>
      <c r="Q332" s="4">
        <v>2</v>
      </c>
      <c r="R332" s="4">
        <v>1</v>
      </c>
      <c r="S332" s="4">
        <v>1952</v>
      </c>
      <c r="T332" s="8" t="s">
        <v>38</v>
      </c>
      <c r="U332" t="str">
        <f>IF(OR(E332&lt;'Q1'!$E$13,E332&gt;'Q1'!$E$14),"Outliers","Not an Outliers")</f>
        <v>Not an Outliers</v>
      </c>
      <c r="V332" t="str">
        <f t="shared" si="5"/>
        <v>Weekday</v>
      </c>
    </row>
    <row r="333" spans="1:22" x14ac:dyDescent="0.3">
      <c r="A333" s="24">
        <v>45421</v>
      </c>
      <c r="B333" s="9" t="s">
        <v>77</v>
      </c>
      <c r="C333" s="9" t="s">
        <v>45</v>
      </c>
      <c r="D333" s="9" t="s">
        <v>53</v>
      </c>
      <c r="E333" s="5">
        <v>3524</v>
      </c>
      <c r="F333" s="5" t="b">
        <v>1</v>
      </c>
      <c r="G333" s="9" t="s">
        <v>64</v>
      </c>
      <c r="H333" s="9" t="s">
        <v>41</v>
      </c>
      <c r="I333" s="9" t="s">
        <v>42</v>
      </c>
      <c r="J333" s="9" t="s">
        <v>54</v>
      </c>
      <c r="K333" s="5">
        <v>1</v>
      </c>
      <c r="L333" s="9" t="s">
        <v>49</v>
      </c>
      <c r="M333" s="9" t="s">
        <v>66</v>
      </c>
      <c r="N333" s="5" t="b">
        <v>0</v>
      </c>
      <c r="O333" s="5">
        <v>4</v>
      </c>
      <c r="P333" s="9" t="s">
        <v>50</v>
      </c>
      <c r="Q333" s="5">
        <v>9</v>
      </c>
      <c r="R333" s="5">
        <v>2</v>
      </c>
      <c r="S333" s="5">
        <v>1950</v>
      </c>
      <c r="T333" s="10" t="s">
        <v>30</v>
      </c>
      <c r="U333" t="str">
        <f>IF(OR(E333&lt;'Q1'!$E$13,E333&gt;'Q1'!$E$14),"Outliers","Not an Outliers")</f>
        <v>Not an Outliers</v>
      </c>
      <c r="V333" t="str">
        <f t="shared" si="5"/>
        <v>Weekday</v>
      </c>
    </row>
    <row r="334" spans="1:22" x14ac:dyDescent="0.3">
      <c r="A334" s="23">
        <v>45421</v>
      </c>
      <c r="B334" s="7" t="s">
        <v>68</v>
      </c>
      <c r="C334" s="7" t="s">
        <v>21</v>
      </c>
      <c r="D334" s="7" t="s">
        <v>46</v>
      </c>
      <c r="E334" s="4">
        <v>1822</v>
      </c>
      <c r="F334" s="4" t="b">
        <v>0</v>
      </c>
      <c r="G334" s="7" t="s">
        <v>64</v>
      </c>
      <c r="H334" s="7" t="s">
        <v>70</v>
      </c>
      <c r="I334" s="7" t="s">
        <v>59</v>
      </c>
      <c r="J334" s="7" t="s">
        <v>43</v>
      </c>
      <c r="K334" s="4">
        <v>2</v>
      </c>
      <c r="L334" s="7" t="s">
        <v>49</v>
      </c>
      <c r="M334" s="7" t="s">
        <v>58</v>
      </c>
      <c r="N334" s="4" t="b">
        <v>1</v>
      </c>
      <c r="O334" s="4">
        <v>95</v>
      </c>
      <c r="P334" s="7" t="s">
        <v>29</v>
      </c>
      <c r="Q334" s="4">
        <v>6</v>
      </c>
      <c r="R334" s="4">
        <v>1</v>
      </c>
      <c r="S334" s="4">
        <v>1871</v>
      </c>
      <c r="T334" s="8" t="s">
        <v>51</v>
      </c>
      <c r="U334" t="str">
        <f>IF(OR(E334&lt;'Q1'!$E$13,E334&gt;'Q1'!$E$14),"Outliers","Not an Outliers")</f>
        <v>Not an Outliers</v>
      </c>
      <c r="V334" t="str">
        <f t="shared" si="5"/>
        <v>Weekday</v>
      </c>
    </row>
    <row r="335" spans="1:22" x14ac:dyDescent="0.3">
      <c r="A335" s="24">
        <v>45422</v>
      </c>
      <c r="B335" s="9" t="s">
        <v>62</v>
      </c>
      <c r="C335" s="9" t="s">
        <v>56</v>
      </c>
      <c r="D335" s="9" t="s">
        <v>22</v>
      </c>
      <c r="E335" s="5">
        <v>7512</v>
      </c>
      <c r="F335" s="5" t="b">
        <v>0</v>
      </c>
      <c r="G335" s="9" t="s">
        <v>40</v>
      </c>
      <c r="H335" s="9" t="s">
        <v>24</v>
      </c>
      <c r="I335" s="9" t="s">
        <v>47</v>
      </c>
      <c r="J335" s="9" t="s">
        <v>48</v>
      </c>
      <c r="K335" s="5">
        <v>1</v>
      </c>
      <c r="L335" s="9" t="s">
        <v>36</v>
      </c>
      <c r="M335" s="9" t="s">
        <v>66</v>
      </c>
      <c r="N335" s="5" t="b">
        <v>1</v>
      </c>
      <c r="O335" s="5">
        <v>84</v>
      </c>
      <c r="P335" s="9" t="s">
        <v>37</v>
      </c>
      <c r="Q335" s="5">
        <v>2</v>
      </c>
      <c r="R335" s="5">
        <v>1</v>
      </c>
      <c r="S335" s="5">
        <v>1102</v>
      </c>
      <c r="T335" s="10" t="s">
        <v>51</v>
      </c>
      <c r="U335" t="str">
        <f>IF(OR(E335&lt;'Q1'!$E$13,E335&gt;'Q1'!$E$14),"Outliers","Not an Outliers")</f>
        <v>Not an Outliers</v>
      </c>
      <c r="V335" t="str">
        <f t="shared" si="5"/>
        <v>Weekday</v>
      </c>
    </row>
    <row r="336" spans="1:22" x14ac:dyDescent="0.3">
      <c r="A336" s="23">
        <v>45422</v>
      </c>
      <c r="B336" s="7" t="s">
        <v>62</v>
      </c>
      <c r="C336" s="7" t="s">
        <v>32</v>
      </c>
      <c r="D336" s="7" t="s">
        <v>53</v>
      </c>
      <c r="E336" s="4">
        <v>5718</v>
      </c>
      <c r="F336" s="4" t="b">
        <v>0</v>
      </c>
      <c r="G336" s="7" t="s">
        <v>64</v>
      </c>
      <c r="H336" s="7" t="s">
        <v>24</v>
      </c>
      <c r="I336" s="7" t="s">
        <v>42</v>
      </c>
      <c r="J336" s="7" t="s">
        <v>26</v>
      </c>
      <c r="K336" s="4">
        <v>4</v>
      </c>
      <c r="L336" s="7" t="s">
        <v>36</v>
      </c>
      <c r="M336" s="7" t="s">
        <v>28</v>
      </c>
      <c r="N336" s="4" t="b">
        <v>1</v>
      </c>
      <c r="O336" s="4">
        <v>106</v>
      </c>
      <c r="P336" s="7" t="s">
        <v>29</v>
      </c>
      <c r="Q336" s="4">
        <v>8</v>
      </c>
      <c r="R336" s="4">
        <v>3</v>
      </c>
      <c r="S336" s="4">
        <v>927</v>
      </c>
      <c r="T336" s="8" t="s">
        <v>30</v>
      </c>
      <c r="U336" t="str">
        <f>IF(OR(E336&lt;'Q1'!$E$13,E336&gt;'Q1'!$E$14),"Outliers","Not an Outliers")</f>
        <v>Not an Outliers</v>
      </c>
      <c r="V336" t="str">
        <f t="shared" si="5"/>
        <v>Weekday</v>
      </c>
    </row>
    <row r="337" spans="1:22" x14ac:dyDescent="0.3">
      <c r="A337" s="24">
        <v>45422</v>
      </c>
      <c r="B337" s="9" t="s">
        <v>52</v>
      </c>
      <c r="C337" s="9" t="s">
        <v>32</v>
      </c>
      <c r="D337" s="9" t="s">
        <v>57</v>
      </c>
      <c r="E337" s="5">
        <v>1000</v>
      </c>
      <c r="F337" s="5" t="b">
        <v>1</v>
      </c>
      <c r="G337" s="9" t="s">
        <v>40</v>
      </c>
      <c r="H337" s="9" t="s">
        <v>41</v>
      </c>
      <c r="I337" s="9" t="s">
        <v>47</v>
      </c>
      <c r="J337" s="9" t="s">
        <v>48</v>
      </c>
      <c r="K337" s="5">
        <v>4</v>
      </c>
      <c r="L337" s="9" t="s">
        <v>36</v>
      </c>
      <c r="M337" s="9" t="s">
        <v>66</v>
      </c>
      <c r="N337" s="5" t="b">
        <v>0</v>
      </c>
      <c r="O337" s="5">
        <v>84</v>
      </c>
      <c r="P337" s="9" t="s">
        <v>63</v>
      </c>
      <c r="Q337" s="5">
        <v>5</v>
      </c>
      <c r="R337" s="5">
        <v>2</v>
      </c>
      <c r="S337" s="5">
        <v>1035</v>
      </c>
      <c r="T337" s="10" t="s">
        <v>30</v>
      </c>
      <c r="U337" t="str">
        <f>IF(OR(E337&lt;'Q1'!$E$13,E337&gt;'Q1'!$E$14),"Outliers","Not an Outliers")</f>
        <v>Not an Outliers</v>
      </c>
      <c r="V337" t="str">
        <f t="shared" si="5"/>
        <v>Weekday</v>
      </c>
    </row>
    <row r="338" spans="1:22" x14ac:dyDescent="0.3">
      <c r="A338" s="23">
        <v>45423</v>
      </c>
      <c r="B338" s="7" t="s">
        <v>71</v>
      </c>
      <c r="C338" s="7" t="s">
        <v>60</v>
      </c>
      <c r="D338" s="7" t="s">
        <v>61</v>
      </c>
      <c r="E338" s="4">
        <v>1000</v>
      </c>
      <c r="F338" s="4" t="b">
        <v>0</v>
      </c>
      <c r="G338" s="7" t="s">
        <v>65</v>
      </c>
      <c r="H338" s="7" t="s">
        <v>41</v>
      </c>
      <c r="I338" s="7" t="s">
        <v>47</v>
      </c>
      <c r="J338" s="7" t="s">
        <v>26</v>
      </c>
      <c r="K338" s="4">
        <v>0</v>
      </c>
      <c r="L338" s="7" t="s">
        <v>27</v>
      </c>
      <c r="M338" s="7" t="s">
        <v>28</v>
      </c>
      <c r="N338" s="4" t="b">
        <v>0</v>
      </c>
      <c r="O338" s="4">
        <v>89</v>
      </c>
      <c r="P338" s="7" t="s">
        <v>29</v>
      </c>
      <c r="Q338" s="4">
        <v>9</v>
      </c>
      <c r="R338" s="4">
        <v>3</v>
      </c>
      <c r="S338" s="4">
        <v>525</v>
      </c>
      <c r="T338" s="8" t="s">
        <v>51</v>
      </c>
      <c r="U338" t="str">
        <f>IF(OR(E338&lt;'Q1'!$E$13,E338&gt;'Q1'!$E$14),"Outliers","Not an Outliers")</f>
        <v>Not an Outliers</v>
      </c>
      <c r="V338" t="str">
        <f t="shared" si="5"/>
        <v>Weekend</v>
      </c>
    </row>
    <row r="339" spans="1:22" x14ac:dyDescent="0.3">
      <c r="A339" s="24">
        <v>45424</v>
      </c>
      <c r="B339" s="9" t="s">
        <v>55</v>
      </c>
      <c r="C339" s="9" t="s">
        <v>45</v>
      </c>
      <c r="D339" s="9" t="s">
        <v>46</v>
      </c>
      <c r="E339" s="5">
        <v>3247</v>
      </c>
      <c r="F339" s="5" t="b">
        <v>0</v>
      </c>
      <c r="G339" s="9" t="s">
        <v>65</v>
      </c>
      <c r="H339" s="9" t="s">
        <v>70</v>
      </c>
      <c r="I339" s="9" t="s">
        <v>47</v>
      </c>
      <c r="J339" s="9" t="s">
        <v>26</v>
      </c>
      <c r="K339" s="5">
        <v>0</v>
      </c>
      <c r="L339" s="9" t="s">
        <v>27</v>
      </c>
      <c r="M339" s="9" t="s">
        <v>66</v>
      </c>
      <c r="N339" s="5" t="b">
        <v>1</v>
      </c>
      <c r="O339" s="5">
        <v>10</v>
      </c>
      <c r="P339" s="9" t="s">
        <v>29</v>
      </c>
      <c r="Q339" s="5">
        <v>1</v>
      </c>
      <c r="R339" s="5">
        <v>3</v>
      </c>
      <c r="S339" s="5">
        <v>4182</v>
      </c>
      <c r="T339" s="10" t="s">
        <v>30</v>
      </c>
      <c r="U339" t="str">
        <f>IF(OR(E339&lt;'Q1'!$E$13,E339&gt;'Q1'!$E$14),"Outliers","Not an Outliers")</f>
        <v>Not an Outliers</v>
      </c>
      <c r="V339" t="str">
        <f t="shared" si="5"/>
        <v>Weekend</v>
      </c>
    </row>
    <row r="340" spans="1:22" x14ac:dyDescent="0.3">
      <c r="A340" s="23">
        <v>45424</v>
      </c>
      <c r="B340" s="7" t="s">
        <v>77</v>
      </c>
      <c r="C340" s="7" t="s">
        <v>45</v>
      </c>
      <c r="D340" s="7" t="s">
        <v>53</v>
      </c>
      <c r="E340" s="4">
        <v>7312</v>
      </c>
      <c r="F340" s="4" t="b">
        <v>1</v>
      </c>
      <c r="G340" s="7" t="s">
        <v>34</v>
      </c>
      <c r="H340" s="7" t="s">
        <v>70</v>
      </c>
      <c r="I340" s="7" t="s">
        <v>59</v>
      </c>
      <c r="J340" s="7" t="s">
        <v>54</v>
      </c>
      <c r="K340" s="4">
        <v>0</v>
      </c>
      <c r="L340" s="7" t="s">
        <v>49</v>
      </c>
      <c r="M340" s="7" t="s">
        <v>58</v>
      </c>
      <c r="N340" s="4" t="b">
        <v>0</v>
      </c>
      <c r="O340" s="4">
        <v>109</v>
      </c>
      <c r="P340" s="7" t="s">
        <v>63</v>
      </c>
      <c r="Q340" s="4">
        <v>2</v>
      </c>
      <c r="R340" s="4">
        <v>1</v>
      </c>
      <c r="S340" s="4">
        <v>4252</v>
      </c>
      <c r="T340" s="8" t="s">
        <v>30</v>
      </c>
      <c r="U340" t="str">
        <f>IF(OR(E340&lt;'Q1'!$E$13,E340&gt;'Q1'!$E$14),"Outliers","Not an Outliers")</f>
        <v>Not an Outliers</v>
      </c>
      <c r="V340" t="str">
        <f t="shared" si="5"/>
        <v>Weekend</v>
      </c>
    </row>
    <row r="341" spans="1:22" x14ac:dyDescent="0.3">
      <c r="A341" s="24">
        <v>45424</v>
      </c>
      <c r="B341" s="9" t="s">
        <v>69</v>
      </c>
      <c r="C341" s="9" t="s">
        <v>60</v>
      </c>
      <c r="D341" s="9" t="s">
        <v>33</v>
      </c>
      <c r="E341" s="5">
        <v>2980</v>
      </c>
      <c r="F341" s="5" t="b">
        <v>0</v>
      </c>
      <c r="G341" s="9" t="s">
        <v>64</v>
      </c>
      <c r="H341" s="9" t="s">
        <v>35</v>
      </c>
      <c r="I341" s="9" t="s">
        <v>59</v>
      </c>
      <c r="J341" s="9" t="s">
        <v>43</v>
      </c>
      <c r="K341" s="5">
        <v>1</v>
      </c>
      <c r="L341" s="9" t="s">
        <v>49</v>
      </c>
      <c r="M341" s="9" t="s">
        <v>58</v>
      </c>
      <c r="N341" s="5" t="b">
        <v>1</v>
      </c>
      <c r="O341" s="5">
        <v>44</v>
      </c>
      <c r="P341" s="9" t="s">
        <v>29</v>
      </c>
      <c r="Q341" s="5">
        <v>4</v>
      </c>
      <c r="R341" s="5">
        <v>1</v>
      </c>
      <c r="S341" s="5">
        <v>4892</v>
      </c>
      <c r="T341" s="10" t="s">
        <v>30</v>
      </c>
      <c r="U341" t="str">
        <f>IF(OR(E341&lt;'Q1'!$E$13,E341&gt;'Q1'!$E$14),"Outliers","Not an Outliers")</f>
        <v>Not an Outliers</v>
      </c>
      <c r="V341" t="str">
        <f t="shared" si="5"/>
        <v>Weekend</v>
      </c>
    </row>
    <row r="342" spans="1:22" x14ac:dyDescent="0.3">
      <c r="A342" s="23">
        <v>45426</v>
      </c>
      <c r="B342" s="7" t="s">
        <v>77</v>
      </c>
      <c r="C342" s="7" t="s">
        <v>45</v>
      </c>
      <c r="D342" s="7" t="s">
        <v>53</v>
      </c>
      <c r="E342" s="4">
        <v>5629</v>
      </c>
      <c r="F342" s="4" t="b">
        <v>0</v>
      </c>
      <c r="G342" s="7" t="s">
        <v>34</v>
      </c>
      <c r="H342" s="7" t="s">
        <v>35</v>
      </c>
      <c r="I342" s="7" t="s">
        <v>25</v>
      </c>
      <c r="J342" s="7" t="s">
        <v>26</v>
      </c>
      <c r="K342" s="4">
        <v>1</v>
      </c>
      <c r="L342" s="7" t="s">
        <v>49</v>
      </c>
      <c r="M342" s="7" t="s">
        <v>58</v>
      </c>
      <c r="N342" s="4" t="b">
        <v>0</v>
      </c>
      <c r="O342" s="4">
        <v>44</v>
      </c>
      <c r="P342" s="7" t="s">
        <v>63</v>
      </c>
      <c r="Q342" s="4">
        <v>1</v>
      </c>
      <c r="R342" s="4">
        <v>2</v>
      </c>
      <c r="S342" s="4">
        <v>3297</v>
      </c>
      <c r="T342" s="8" t="s">
        <v>30</v>
      </c>
      <c r="U342" t="str">
        <f>IF(OR(E342&lt;'Q1'!$E$13,E342&gt;'Q1'!$E$14),"Outliers","Not an Outliers")</f>
        <v>Not an Outliers</v>
      </c>
      <c r="V342" t="str">
        <f t="shared" si="5"/>
        <v>Weekday</v>
      </c>
    </row>
    <row r="343" spans="1:22" x14ac:dyDescent="0.3">
      <c r="A343" s="24">
        <v>45427</v>
      </c>
      <c r="B343" s="9" t="s">
        <v>55</v>
      </c>
      <c r="C343" s="9" t="s">
        <v>56</v>
      </c>
      <c r="D343" s="9" t="s">
        <v>33</v>
      </c>
      <c r="E343" s="5">
        <v>4402</v>
      </c>
      <c r="F343" s="5" t="b">
        <v>0</v>
      </c>
      <c r="G343" s="9" t="s">
        <v>23</v>
      </c>
      <c r="H343" s="9" t="s">
        <v>41</v>
      </c>
      <c r="I343" s="9" t="s">
        <v>42</v>
      </c>
      <c r="J343" s="9" t="s">
        <v>48</v>
      </c>
      <c r="K343" s="5">
        <v>1</v>
      </c>
      <c r="L343" s="9" t="s">
        <v>49</v>
      </c>
      <c r="M343" s="9" t="s">
        <v>58</v>
      </c>
      <c r="N343" s="5" t="b">
        <v>1</v>
      </c>
      <c r="O343" s="5">
        <v>59</v>
      </c>
      <c r="P343" s="9" t="s">
        <v>37</v>
      </c>
      <c r="Q343" s="5">
        <v>4</v>
      </c>
      <c r="R343" s="5">
        <v>1</v>
      </c>
      <c r="S343" s="5">
        <v>1739</v>
      </c>
      <c r="T343" s="10" t="s">
        <v>38</v>
      </c>
      <c r="U343" t="str">
        <f>IF(OR(E343&lt;'Q1'!$E$13,E343&gt;'Q1'!$E$14),"Outliers","Not an Outliers")</f>
        <v>Not an Outliers</v>
      </c>
      <c r="V343" t="str">
        <f t="shared" si="5"/>
        <v>Weekday</v>
      </c>
    </row>
    <row r="344" spans="1:22" x14ac:dyDescent="0.3">
      <c r="A344" s="23">
        <v>45428</v>
      </c>
      <c r="B344" s="7" t="s">
        <v>44</v>
      </c>
      <c r="C344" s="7" t="s">
        <v>32</v>
      </c>
      <c r="D344" s="7" t="s">
        <v>33</v>
      </c>
      <c r="E344" s="4">
        <v>2945</v>
      </c>
      <c r="F344" s="4" t="b">
        <v>0</v>
      </c>
      <c r="G344" s="7" t="s">
        <v>34</v>
      </c>
      <c r="H344" s="7" t="s">
        <v>70</v>
      </c>
      <c r="I344" s="7" t="s">
        <v>47</v>
      </c>
      <c r="J344" s="7" t="s">
        <v>43</v>
      </c>
      <c r="K344" s="4">
        <v>0</v>
      </c>
      <c r="L344" s="7" t="s">
        <v>36</v>
      </c>
      <c r="M344" s="7" t="s">
        <v>73</v>
      </c>
      <c r="N344" s="4" t="b">
        <v>1</v>
      </c>
      <c r="O344" s="4">
        <v>55</v>
      </c>
      <c r="P344" s="7" t="s">
        <v>37</v>
      </c>
      <c r="Q344" s="4">
        <v>10</v>
      </c>
      <c r="R344" s="4">
        <v>2</v>
      </c>
      <c r="S344" s="4">
        <v>1377</v>
      </c>
      <c r="T344" s="8" t="s">
        <v>30</v>
      </c>
      <c r="U344" t="str">
        <f>IF(OR(E344&lt;'Q1'!$E$13,E344&gt;'Q1'!$E$14),"Outliers","Not an Outliers")</f>
        <v>Not an Outliers</v>
      </c>
      <c r="V344" t="str">
        <f t="shared" si="5"/>
        <v>Weekday</v>
      </c>
    </row>
    <row r="345" spans="1:22" x14ac:dyDescent="0.3">
      <c r="A345" s="24">
        <v>45429</v>
      </c>
      <c r="B345" s="9" t="s">
        <v>74</v>
      </c>
      <c r="C345" s="9" t="s">
        <v>56</v>
      </c>
      <c r="D345" s="9" t="s">
        <v>53</v>
      </c>
      <c r="E345" s="5">
        <v>6103</v>
      </c>
      <c r="F345" s="5" t="b">
        <v>1</v>
      </c>
      <c r="G345" s="9" t="s">
        <v>23</v>
      </c>
      <c r="H345" s="9" t="s">
        <v>70</v>
      </c>
      <c r="I345" s="9" t="s">
        <v>42</v>
      </c>
      <c r="J345" s="9" t="s">
        <v>43</v>
      </c>
      <c r="K345" s="5">
        <v>3</v>
      </c>
      <c r="L345" s="9" t="s">
        <v>49</v>
      </c>
      <c r="M345" s="9" t="s">
        <v>73</v>
      </c>
      <c r="N345" s="5" t="b">
        <v>1</v>
      </c>
      <c r="O345" s="5">
        <v>99</v>
      </c>
      <c r="P345" s="9" t="s">
        <v>67</v>
      </c>
      <c r="Q345" s="5">
        <v>6</v>
      </c>
      <c r="R345" s="5">
        <v>2</v>
      </c>
      <c r="S345" s="5">
        <v>1226</v>
      </c>
      <c r="T345" s="10" t="s">
        <v>38</v>
      </c>
      <c r="U345" t="str">
        <f>IF(OR(E345&lt;'Q1'!$E$13,E345&gt;'Q1'!$E$14),"Outliers","Not an Outliers")</f>
        <v>Not an Outliers</v>
      </c>
      <c r="V345" t="str">
        <f t="shared" si="5"/>
        <v>Weekday</v>
      </c>
    </row>
    <row r="346" spans="1:22" x14ac:dyDescent="0.3">
      <c r="A346" s="23">
        <v>45429</v>
      </c>
      <c r="B346" s="7" t="s">
        <v>74</v>
      </c>
      <c r="C346" s="7" t="s">
        <v>45</v>
      </c>
      <c r="D346" s="7" t="s">
        <v>53</v>
      </c>
      <c r="E346" s="4">
        <v>4463</v>
      </c>
      <c r="F346" s="4" t="b">
        <v>0</v>
      </c>
      <c r="G346" s="7" t="s">
        <v>64</v>
      </c>
      <c r="H346" s="7" t="s">
        <v>41</v>
      </c>
      <c r="I346" s="7" t="s">
        <v>42</v>
      </c>
      <c r="J346" s="7" t="s">
        <v>54</v>
      </c>
      <c r="K346" s="4">
        <v>1</v>
      </c>
      <c r="L346" s="7" t="s">
        <v>27</v>
      </c>
      <c r="M346" s="7" t="s">
        <v>58</v>
      </c>
      <c r="N346" s="4" t="b">
        <v>0</v>
      </c>
      <c r="O346" s="4">
        <v>120</v>
      </c>
      <c r="P346" s="7" t="s">
        <v>63</v>
      </c>
      <c r="Q346" s="4">
        <v>6</v>
      </c>
      <c r="R346" s="4">
        <v>3</v>
      </c>
      <c r="S346" s="4">
        <v>4228</v>
      </c>
      <c r="T346" s="8" t="s">
        <v>51</v>
      </c>
      <c r="U346" t="str">
        <f>IF(OR(E346&lt;'Q1'!$E$13,E346&gt;'Q1'!$E$14),"Outliers","Not an Outliers")</f>
        <v>Not an Outliers</v>
      </c>
      <c r="V346" t="str">
        <f t="shared" si="5"/>
        <v>Weekday</v>
      </c>
    </row>
    <row r="347" spans="1:22" x14ac:dyDescent="0.3">
      <c r="A347" s="24">
        <v>45429</v>
      </c>
      <c r="B347" s="9" t="s">
        <v>52</v>
      </c>
      <c r="C347" s="9" t="s">
        <v>56</v>
      </c>
      <c r="D347" s="9" t="s">
        <v>53</v>
      </c>
      <c r="E347" s="5">
        <v>3827</v>
      </c>
      <c r="F347" s="5" t="b">
        <v>0</v>
      </c>
      <c r="G347" s="9" t="s">
        <v>23</v>
      </c>
      <c r="H347" s="9" t="s">
        <v>35</v>
      </c>
      <c r="I347" s="9" t="s">
        <v>42</v>
      </c>
      <c r="J347" s="9" t="s">
        <v>43</v>
      </c>
      <c r="K347" s="5">
        <v>3</v>
      </c>
      <c r="L347" s="9" t="s">
        <v>49</v>
      </c>
      <c r="M347" s="9" t="s">
        <v>58</v>
      </c>
      <c r="N347" s="5" t="b">
        <v>1</v>
      </c>
      <c r="O347" s="5">
        <v>104</v>
      </c>
      <c r="P347" s="9" t="s">
        <v>50</v>
      </c>
      <c r="Q347" s="5">
        <v>3</v>
      </c>
      <c r="R347" s="5">
        <v>3</v>
      </c>
      <c r="S347" s="5">
        <v>4904</v>
      </c>
      <c r="T347" s="10" t="s">
        <v>38</v>
      </c>
      <c r="U347" t="str">
        <f>IF(OR(E347&lt;'Q1'!$E$13,E347&gt;'Q1'!$E$14),"Outliers","Not an Outliers")</f>
        <v>Not an Outliers</v>
      </c>
      <c r="V347" t="str">
        <f t="shared" si="5"/>
        <v>Weekday</v>
      </c>
    </row>
    <row r="348" spans="1:22" x14ac:dyDescent="0.3">
      <c r="A348" s="23">
        <v>45429</v>
      </c>
      <c r="B348" s="7" t="s">
        <v>55</v>
      </c>
      <c r="C348" s="7" t="s">
        <v>21</v>
      </c>
      <c r="D348" s="7" t="s">
        <v>33</v>
      </c>
      <c r="E348" s="4">
        <v>3475</v>
      </c>
      <c r="F348" s="4" t="b">
        <v>0</v>
      </c>
      <c r="G348" s="7" t="s">
        <v>65</v>
      </c>
      <c r="H348" s="7" t="s">
        <v>70</v>
      </c>
      <c r="I348" s="7" t="s">
        <v>59</v>
      </c>
      <c r="J348" s="7" t="s">
        <v>43</v>
      </c>
      <c r="K348" s="4">
        <v>5</v>
      </c>
      <c r="L348" s="7" t="s">
        <v>49</v>
      </c>
      <c r="M348" s="7" t="s">
        <v>28</v>
      </c>
      <c r="N348" s="4" t="b">
        <v>0</v>
      </c>
      <c r="O348" s="4">
        <v>93</v>
      </c>
      <c r="P348" s="7" t="s">
        <v>29</v>
      </c>
      <c r="Q348" s="4">
        <v>9</v>
      </c>
      <c r="R348" s="4">
        <v>3</v>
      </c>
      <c r="S348" s="4">
        <v>2655</v>
      </c>
      <c r="T348" s="8" t="s">
        <v>51</v>
      </c>
      <c r="U348" t="str">
        <f>IF(OR(E348&lt;'Q1'!$E$13,E348&gt;'Q1'!$E$14),"Outliers","Not an Outliers")</f>
        <v>Not an Outliers</v>
      </c>
      <c r="V348" t="str">
        <f t="shared" si="5"/>
        <v>Weekday</v>
      </c>
    </row>
    <row r="349" spans="1:22" x14ac:dyDescent="0.3">
      <c r="A349" s="24">
        <v>45429</v>
      </c>
      <c r="B349" s="9" t="s">
        <v>68</v>
      </c>
      <c r="C349" s="9" t="s">
        <v>32</v>
      </c>
      <c r="D349" s="9" t="s">
        <v>53</v>
      </c>
      <c r="E349" s="5">
        <v>4176</v>
      </c>
      <c r="F349" s="5" t="b">
        <v>1</v>
      </c>
      <c r="G349" s="9" t="s">
        <v>40</v>
      </c>
      <c r="H349" s="9" t="s">
        <v>41</v>
      </c>
      <c r="I349" s="9" t="s">
        <v>42</v>
      </c>
      <c r="J349" s="9" t="s">
        <v>26</v>
      </c>
      <c r="K349" s="5">
        <v>2</v>
      </c>
      <c r="L349" s="9" t="s">
        <v>27</v>
      </c>
      <c r="M349" s="9" t="s">
        <v>28</v>
      </c>
      <c r="N349" s="5" t="b">
        <v>1</v>
      </c>
      <c r="O349" s="5">
        <v>65</v>
      </c>
      <c r="P349" s="9" t="s">
        <v>63</v>
      </c>
      <c r="Q349" s="5">
        <v>6</v>
      </c>
      <c r="R349" s="5">
        <v>1</v>
      </c>
      <c r="S349" s="5">
        <v>4274</v>
      </c>
      <c r="T349" s="10" t="s">
        <v>30</v>
      </c>
      <c r="U349" t="str">
        <f>IF(OR(E349&lt;'Q1'!$E$13,E349&gt;'Q1'!$E$14),"Outliers","Not an Outliers")</f>
        <v>Not an Outliers</v>
      </c>
      <c r="V349" t="str">
        <f t="shared" si="5"/>
        <v>Weekday</v>
      </c>
    </row>
    <row r="350" spans="1:22" x14ac:dyDescent="0.3">
      <c r="A350" s="23">
        <v>45430</v>
      </c>
      <c r="B350" s="7" t="s">
        <v>52</v>
      </c>
      <c r="C350" s="7" t="s">
        <v>60</v>
      </c>
      <c r="D350" s="7" t="s">
        <v>46</v>
      </c>
      <c r="E350" s="4">
        <v>2812</v>
      </c>
      <c r="F350" s="4" t="b">
        <v>1</v>
      </c>
      <c r="G350" s="7" t="s">
        <v>34</v>
      </c>
      <c r="H350" s="7" t="s">
        <v>35</v>
      </c>
      <c r="I350" s="7" t="s">
        <v>47</v>
      </c>
      <c r="J350" s="7" t="s">
        <v>48</v>
      </c>
      <c r="K350" s="4">
        <v>1</v>
      </c>
      <c r="L350" s="7" t="s">
        <v>49</v>
      </c>
      <c r="M350" s="7" t="s">
        <v>28</v>
      </c>
      <c r="N350" s="4" t="b">
        <v>1</v>
      </c>
      <c r="O350" s="4">
        <v>64</v>
      </c>
      <c r="P350" s="7" t="s">
        <v>67</v>
      </c>
      <c r="Q350" s="4">
        <v>7</v>
      </c>
      <c r="R350" s="4">
        <v>1</v>
      </c>
      <c r="S350" s="4">
        <v>975</v>
      </c>
      <c r="T350" s="8" t="s">
        <v>38</v>
      </c>
      <c r="U350" t="str">
        <f>IF(OR(E350&lt;'Q1'!$E$13,E350&gt;'Q1'!$E$14),"Outliers","Not an Outliers")</f>
        <v>Not an Outliers</v>
      </c>
      <c r="V350" t="str">
        <f t="shared" si="5"/>
        <v>Weekend</v>
      </c>
    </row>
    <row r="351" spans="1:22" x14ac:dyDescent="0.3">
      <c r="A351" s="24">
        <v>45430</v>
      </c>
      <c r="B351" s="9" t="s">
        <v>75</v>
      </c>
      <c r="C351" s="9" t="s">
        <v>32</v>
      </c>
      <c r="D351" s="9" t="s">
        <v>33</v>
      </c>
      <c r="E351" s="5">
        <v>2697</v>
      </c>
      <c r="F351" s="5" t="b">
        <v>0</v>
      </c>
      <c r="G351" s="9" t="s">
        <v>65</v>
      </c>
      <c r="H351" s="9" t="s">
        <v>41</v>
      </c>
      <c r="I351" s="9" t="s">
        <v>59</v>
      </c>
      <c r="J351" s="9" t="s">
        <v>54</v>
      </c>
      <c r="K351" s="5">
        <v>4</v>
      </c>
      <c r="L351" s="9" t="s">
        <v>49</v>
      </c>
      <c r="M351" s="9" t="s">
        <v>66</v>
      </c>
      <c r="N351" s="5" t="b">
        <v>1</v>
      </c>
      <c r="O351" s="5">
        <v>112</v>
      </c>
      <c r="P351" s="9" t="s">
        <v>50</v>
      </c>
      <c r="Q351" s="5">
        <v>5</v>
      </c>
      <c r="R351" s="5">
        <v>3</v>
      </c>
      <c r="S351" s="5">
        <v>3863</v>
      </c>
      <c r="T351" s="10" t="s">
        <v>51</v>
      </c>
      <c r="U351" t="str">
        <f>IF(OR(E351&lt;'Q1'!$E$13,E351&gt;'Q1'!$E$14),"Outliers","Not an Outliers")</f>
        <v>Not an Outliers</v>
      </c>
      <c r="V351" t="str">
        <f t="shared" si="5"/>
        <v>Weekend</v>
      </c>
    </row>
    <row r="352" spans="1:22" x14ac:dyDescent="0.3">
      <c r="A352" s="23">
        <v>45430</v>
      </c>
      <c r="B352" s="7" t="s">
        <v>39</v>
      </c>
      <c r="C352" s="7" t="s">
        <v>56</v>
      </c>
      <c r="D352" s="7" t="s">
        <v>22</v>
      </c>
      <c r="E352" s="4">
        <v>5072</v>
      </c>
      <c r="F352" s="4" t="b">
        <v>0</v>
      </c>
      <c r="G352" s="7" t="s">
        <v>64</v>
      </c>
      <c r="H352" s="7" t="s">
        <v>70</v>
      </c>
      <c r="I352" s="7" t="s">
        <v>47</v>
      </c>
      <c r="J352" s="7" t="s">
        <v>26</v>
      </c>
      <c r="K352" s="4">
        <v>2</v>
      </c>
      <c r="L352" s="7" t="s">
        <v>36</v>
      </c>
      <c r="M352" s="7" t="s">
        <v>58</v>
      </c>
      <c r="N352" s="4" t="b">
        <v>1</v>
      </c>
      <c r="O352" s="4">
        <v>57</v>
      </c>
      <c r="P352" s="7" t="s">
        <v>37</v>
      </c>
      <c r="Q352" s="4">
        <v>5</v>
      </c>
      <c r="R352" s="4">
        <v>1</v>
      </c>
      <c r="S352" s="4">
        <v>4010</v>
      </c>
      <c r="T352" s="8" t="s">
        <v>30</v>
      </c>
      <c r="U352" t="str">
        <f>IF(OR(E352&lt;'Q1'!$E$13,E352&gt;'Q1'!$E$14),"Outliers","Not an Outliers")</f>
        <v>Not an Outliers</v>
      </c>
      <c r="V352" t="str">
        <f t="shared" si="5"/>
        <v>Weekend</v>
      </c>
    </row>
    <row r="353" spans="1:22" x14ac:dyDescent="0.3">
      <c r="A353" s="24">
        <v>45430</v>
      </c>
      <c r="B353" s="9" t="s">
        <v>76</v>
      </c>
      <c r="C353" s="9" t="s">
        <v>21</v>
      </c>
      <c r="D353" s="9" t="s">
        <v>33</v>
      </c>
      <c r="E353" s="5">
        <v>4626</v>
      </c>
      <c r="F353" s="5" t="b">
        <v>0</v>
      </c>
      <c r="G353" s="9" t="s">
        <v>23</v>
      </c>
      <c r="H353" s="9" t="s">
        <v>35</v>
      </c>
      <c r="I353" s="9" t="s">
        <v>47</v>
      </c>
      <c r="J353" s="9" t="s">
        <v>43</v>
      </c>
      <c r="K353" s="5">
        <v>5</v>
      </c>
      <c r="L353" s="9" t="s">
        <v>27</v>
      </c>
      <c r="M353" s="9" t="s">
        <v>58</v>
      </c>
      <c r="N353" s="5" t="b">
        <v>0</v>
      </c>
      <c r="O353" s="5">
        <v>27</v>
      </c>
      <c r="P353" s="9" t="s">
        <v>50</v>
      </c>
      <c r="Q353" s="5">
        <v>3</v>
      </c>
      <c r="R353" s="5">
        <v>2</v>
      </c>
      <c r="S353" s="5">
        <v>1801</v>
      </c>
      <c r="T353" s="10" t="s">
        <v>51</v>
      </c>
      <c r="U353" t="str">
        <f>IF(OR(E353&lt;'Q1'!$E$13,E353&gt;'Q1'!$E$14),"Outliers","Not an Outliers")</f>
        <v>Not an Outliers</v>
      </c>
      <c r="V353" t="str">
        <f t="shared" si="5"/>
        <v>Weekend</v>
      </c>
    </row>
    <row r="354" spans="1:22" x14ac:dyDescent="0.3">
      <c r="A354" s="23">
        <v>45430</v>
      </c>
      <c r="B354" s="7" t="s">
        <v>31</v>
      </c>
      <c r="C354" s="7" t="s">
        <v>32</v>
      </c>
      <c r="D354" s="7" t="s">
        <v>33</v>
      </c>
      <c r="E354" s="4">
        <v>3256</v>
      </c>
      <c r="F354" s="4" t="b">
        <v>0</v>
      </c>
      <c r="G354" s="7" t="s">
        <v>34</v>
      </c>
      <c r="H354" s="7" t="s">
        <v>35</v>
      </c>
      <c r="I354" s="7" t="s">
        <v>42</v>
      </c>
      <c r="J354" s="7" t="s">
        <v>54</v>
      </c>
      <c r="K354" s="4">
        <v>2</v>
      </c>
      <c r="L354" s="7" t="s">
        <v>27</v>
      </c>
      <c r="M354" s="7" t="s">
        <v>66</v>
      </c>
      <c r="N354" s="4" t="b">
        <v>1</v>
      </c>
      <c r="O354" s="4">
        <v>11</v>
      </c>
      <c r="P354" s="7" t="s">
        <v>37</v>
      </c>
      <c r="Q354" s="4">
        <v>6</v>
      </c>
      <c r="R354" s="4">
        <v>1</v>
      </c>
      <c r="S354" s="4">
        <v>1606</v>
      </c>
      <c r="T354" s="8" t="s">
        <v>38</v>
      </c>
      <c r="U354" t="str">
        <f>IF(OR(E354&lt;'Q1'!$E$13,E354&gt;'Q1'!$E$14),"Outliers","Not an Outliers")</f>
        <v>Not an Outliers</v>
      </c>
      <c r="V354" t="str">
        <f t="shared" si="5"/>
        <v>Weekend</v>
      </c>
    </row>
    <row r="355" spans="1:22" x14ac:dyDescent="0.3">
      <c r="A355" s="24">
        <v>45432</v>
      </c>
      <c r="B355" s="9" t="s">
        <v>31</v>
      </c>
      <c r="C355" s="9" t="s">
        <v>32</v>
      </c>
      <c r="D355" s="9" t="s">
        <v>53</v>
      </c>
      <c r="E355" s="5">
        <v>7974</v>
      </c>
      <c r="F355" s="5" t="b">
        <v>1</v>
      </c>
      <c r="G355" s="9" t="s">
        <v>23</v>
      </c>
      <c r="H355" s="9" t="s">
        <v>24</v>
      </c>
      <c r="I355" s="9" t="s">
        <v>47</v>
      </c>
      <c r="J355" s="9" t="s">
        <v>26</v>
      </c>
      <c r="K355" s="5">
        <v>2</v>
      </c>
      <c r="L355" s="9" t="s">
        <v>49</v>
      </c>
      <c r="M355" s="9" t="s">
        <v>28</v>
      </c>
      <c r="N355" s="5" t="b">
        <v>1</v>
      </c>
      <c r="O355" s="5">
        <v>25</v>
      </c>
      <c r="P355" s="9" t="s">
        <v>50</v>
      </c>
      <c r="Q355" s="5">
        <v>2</v>
      </c>
      <c r="R355" s="5">
        <v>3</v>
      </c>
      <c r="S355" s="5">
        <v>4313</v>
      </c>
      <c r="T355" s="10" t="s">
        <v>51</v>
      </c>
      <c r="U355" t="str">
        <f>IF(OR(E355&lt;'Q1'!$E$13,E355&gt;'Q1'!$E$14),"Outliers","Not an Outliers")</f>
        <v>Not an Outliers</v>
      </c>
      <c r="V355" t="str">
        <f t="shared" si="5"/>
        <v>Weekday</v>
      </c>
    </row>
    <row r="356" spans="1:22" x14ac:dyDescent="0.3">
      <c r="A356" s="23">
        <v>45432</v>
      </c>
      <c r="B356" s="7" t="s">
        <v>72</v>
      </c>
      <c r="C356" s="7" t="s">
        <v>60</v>
      </c>
      <c r="D356" s="7" t="s">
        <v>53</v>
      </c>
      <c r="E356" s="4">
        <v>7655</v>
      </c>
      <c r="F356" s="4" t="b">
        <v>0</v>
      </c>
      <c r="G356" s="7" t="s">
        <v>23</v>
      </c>
      <c r="H356" s="7" t="s">
        <v>24</v>
      </c>
      <c r="I356" s="7" t="s">
        <v>59</v>
      </c>
      <c r="J356" s="7" t="s">
        <v>48</v>
      </c>
      <c r="K356" s="4">
        <v>1</v>
      </c>
      <c r="L356" s="7" t="s">
        <v>27</v>
      </c>
      <c r="M356" s="7" t="s">
        <v>73</v>
      </c>
      <c r="N356" s="4" t="b">
        <v>0</v>
      </c>
      <c r="O356" s="4">
        <v>61</v>
      </c>
      <c r="P356" s="7" t="s">
        <v>29</v>
      </c>
      <c r="Q356" s="4">
        <v>1</v>
      </c>
      <c r="R356" s="4">
        <v>1</v>
      </c>
      <c r="S356" s="4">
        <v>1855</v>
      </c>
      <c r="T356" s="8" t="s">
        <v>30</v>
      </c>
      <c r="U356" t="str">
        <f>IF(OR(E356&lt;'Q1'!$E$13,E356&gt;'Q1'!$E$14),"Outliers","Not an Outliers")</f>
        <v>Not an Outliers</v>
      </c>
      <c r="V356" t="str">
        <f t="shared" si="5"/>
        <v>Weekday</v>
      </c>
    </row>
    <row r="357" spans="1:22" x14ac:dyDescent="0.3">
      <c r="A357" s="24">
        <v>45432</v>
      </c>
      <c r="B357" s="9" t="s">
        <v>76</v>
      </c>
      <c r="C357" s="9" t="s">
        <v>56</v>
      </c>
      <c r="D357" s="9" t="s">
        <v>57</v>
      </c>
      <c r="E357" s="5">
        <v>1000</v>
      </c>
      <c r="F357" s="5" t="b">
        <v>0</v>
      </c>
      <c r="G357" s="9" t="s">
        <v>64</v>
      </c>
      <c r="H357" s="9" t="s">
        <v>70</v>
      </c>
      <c r="I357" s="9" t="s">
        <v>47</v>
      </c>
      <c r="J357" s="9" t="s">
        <v>48</v>
      </c>
      <c r="K357" s="5">
        <v>0</v>
      </c>
      <c r="L357" s="9" t="s">
        <v>36</v>
      </c>
      <c r="M357" s="9" t="s">
        <v>66</v>
      </c>
      <c r="N357" s="5" t="b">
        <v>0</v>
      </c>
      <c r="O357" s="5">
        <v>18</v>
      </c>
      <c r="P357" s="9" t="s">
        <v>50</v>
      </c>
      <c r="Q357" s="5">
        <v>6</v>
      </c>
      <c r="R357" s="5">
        <v>1</v>
      </c>
      <c r="S357" s="5">
        <v>1938</v>
      </c>
      <c r="T357" s="10" t="s">
        <v>30</v>
      </c>
      <c r="U357" t="str">
        <f>IF(OR(E357&lt;'Q1'!$E$13,E357&gt;'Q1'!$E$14),"Outliers","Not an Outliers")</f>
        <v>Not an Outliers</v>
      </c>
      <c r="V357" t="str">
        <f t="shared" si="5"/>
        <v>Weekday</v>
      </c>
    </row>
    <row r="358" spans="1:22" x14ac:dyDescent="0.3">
      <c r="A358" s="23">
        <v>45432</v>
      </c>
      <c r="B358" s="7" t="s">
        <v>69</v>
      </c>
      <c r="C358" s="7" t="s">
        <v>32</v>
      </c>
      <c r="D358" s="7" t="s">
        <v>22</v>
      </c>
      <c r="E358" s="4">
        <v>6802</v>
      </c>
      <c r="F358" s="4" t="b">
        <v>0</v>
      </c>
      <c r="G358" s="7" t="s">
        <v>40</v>
      </c>
      <c r="H358" s="7" t="s">
        <v>41</v>
      </c>
      <c r="I358" s="7" t="s">
        <v>59</v>
      </c>
      <c r="J358" s="7" t="s">
        <v>48</v>
      </c>
      <c r="K358" s="4">
        <v>4</v>
      </c>
      <c r="L358" s="7" t="s">
        <v>49</v>
      </c>
      <c r="M358" s="7" t="s">
        <v>66</v>
      </c>
      <c r="N358" s="4" t="b">
        <v>0</v>
      </c>
      <c r="O358" s="4">
        <v>49</v>
      </c>
      <c r="P358" s="7" t="s">
        <v>63</v>
      </c>
      <c r="Q358" s="4">
        <v>9</v>
      </c>
      <c r="R358" s="4">
        <v>1</v>
      </c>
      <c r="S358" s="4">
        <v>3834</v>
      </c>
      <c r="T358" s="8" t="s">
        <v>51</v>
      </c>
      <c r="U358" t="str">
        <f>IF(OR(E358&lt;'Q1'!$E$13,E358&gt;'Q1'!$E$14),"Outliers","Not an Outliers")</f>
        <v>Not an Outliers</v>
      </c>
      <c r="V358" t="str">
        <f t="shared" si="5"/>
        <v>Weekday</v>
      </c>
    </row>
    <row r="359" spans="1:22" x14ac:dyDescent="0.3">
      <c r="A359" s="24">
        <v>45432</v>
      </c>
      <c r="B359" s="9" t="s">
        <v>62</v>
      </c>
      <c r="C359" s="9" t="s">
        <v>45</v>
      </c>
      <c r="D359" s="9" t="s">
        <v>53</v>
      </c>
      <c r="E359" s="5">
        <v>2476</v>
      </c>
      <c r="F359" s="5" t="b">
        <v>0</v>
      </c>
      <c r="G359" s="9" t="s">
        <v>64</v>
      </c>
      <c r="H359" s="9" t="s">
        <v>24</v>
      </c>
      <c r="I359" s="9" t="s">
        <v>59</v>
      </c>
      <c r="J359" s="9" t="s">
        <v>26</v>
      </c>
      <c r="K359" s="5">
        <v>1</v>
      </c>
      <c r="L359" s="9" t="s">
        <v>36</v>
      </c>
      <c r="M359" s="9" t="s">
        <v>73</v>
      </c>
      <c r="N359" s="5" t="b">
        <v>1</v>
      </c>
      <c r="O359" s="5">
        <v>40</v>
      </c>
      <c r="P359" s="9" t="s">
        <v>29</v>
      </c>
      <c r="Q359" s="5">
        <v>4</v>
      </c>
      <c r="R359" s="5">
        <v>1</v>
      </c>
      <c r="S359" s="5">
        <v>1260</v>
      </c>
      <c r="T359" s="10" t="s">
        <v>38</v>
      </c>
      <c r="U359" t="str">
        <f>IF(OR(E359&lt;'Q1'!$E$13,E359&gt;'Q1'!$E$14),"Outliers","Not an Outliers")</f>
        <v>Not an Outliers</v>
      </c>
      <c r="V359" t="str">
        <f t="shared" si="5"/>
        <v>Weekday</v>
      </c>
    </row>
    <row r="360" spans="1:22" x14ac:dyDescent="0.3">
      <c r="A360" s="23">
        <v>45433</v>
      </c>
      <c r="B360" s="7" t="s">
        <v>44</v>
      </c>
      <c r="C360" s="7" t="s">
        <v>56</v>
      </c>
      <c r="D360" s="7" t="s">
        <v>46</v>
      </c>
      <c r="E360" s="4">
        <v>1608</v>
      </c>
      <c r="F360" s="4" t="b">
        <v>1</v>
      </c>
      <c r="G360" s="7" t="s">
        <v>23</v>
      </c>
      <c r="H360" s="7" t="s">
        <v>70</v>
      </c>
      <c r="I360" s="7" t="s">
        <v>42</v>
      </c>
      <c r="J360" s="7" t="s">
        <v>26</v>
      </c>
      <c r="K360" s="4">
        <v>0</v>
      </c>
      <c r="L360" s="7" t="s">
        <v>36</v>
      </c>
      <c r="M360" s="7" t="s">
        <v>58</v>
      </c>
      <c r="N360" s="4" t="b">
        <v>1</v>
      </c>
      <c r="O360" s="4">
        <v>17</v>
      </c>
      <c r="P360" s="7" t="s">
        <v>29</v>
      </c>
      <c r="Q360" s="4">
        <v>6</v>
      </c>
      <c r="R360" s="4">
        <v>1</v>
      </c>
      <c r="S360" s="4">
        <v>1864</v>
      </c>
      <c r="T360" s="8" t="s">
        <v>51</v>
      </c>
      <c r="U360" t="str">
        <f>IF(OR(E360&lt;'Q1'!$E$13,E360&gt;'Q1'!$E$14),"Outliers","Not an Outliers")</f>
        <v>Not an Outliers</v>
      </c>
      <c r="V360" t="str">
        <f t="shared" si="5"/>
        <v>Weekday</v>
      </c>
    </row>
    <row r="361" spans="1:22" x14ac:dyDescent="0.3">
      <c r="A361" s="24">
        <v>45433</v>
      </c>
      <c r="B361" s="9" t="s">
        <v>44</v>
      </c>
      <c r="C361" s="9" t="s">
        <v>60</v>
      </c>
      <c r="D361" s="9" t="s">
        <v>46</v>
      </c>
      <c r="E361" s="5">
        <v>2449</v>
      </c>
      <c r="F361" s="5" t="b">
        <v>0</v>
      </c>
      <c r="G361" s="9" t="s">
        <v>65</v>
      </c>
      <c r="H361" s="9" t="s">
        <v>35</v>
      </c>
      <c r="I361" s="9" t="s">
        <v>47</v>
      </c>
      <c r="J361" s="9" t="s">
        <v>26</v>
      </c>
      <c r="K361" s="5">
        <v>3</v>
      </c>
      <c r="L361" s="9" t="s">
        <v>27</v>
      </c>
      <c r="M361" s="9" t="s">
        <v>73</v>
      </c>
      <c r="N361" s="5" t="b">
        <v>0</v>
      </c>
      <c r="O361" s="5">
        <v>98</v>
      </c>
      <c r="P361" s="9" t="s">
        <v>67</v>
      </c>
      <c r="Q361" s="5">
        <v>9</v>
      </c>
      <c r="R361" s="5">
        <v>2</v>
      </c>
      <c r="S361" s="5">
        <v>3476</v>
      </c>
      <c r="T361" s="10" t="s">
        <v>51</v>
      </c>
      <c r="U361" t="str">
        <f>IF(OR(E361&lt;'Q1'!$E$13,E361&gt;'Q1'!$E$14),"Outliers","Not an Outliers")</f>
        <v>Not an Outliers</v>
      </c>
      <c r="V361" t="str">
        <f t="shared" si="5"/>
        <v>Weekday</v>
      </c>
    </row>
    <row r="362" spans="1:22" x14ac:dyDescent="0.3">
      <c r="A362" s="23">
        <v>45434</v>
      </c>
      <c r="B362" s="7" t="s">
        <v>72</v>
      </c>
      <c r="C362" s="7" t="s">
        <v>21</v>
      </c>
      <c r="D362" s="7" t="s">
        <v>53</v>
      </c>
      <c r="E362" s="4">
        <v>7055</v>
      </c>
      <c r="F362" s="4" t="b">
        <v>0</v>
      </c>
      <c r="G362" s="7" t="s">
        <v>34</v>
      </c>
      <c r="H362" s="7" t="s">
        <v>41</v>
      </c>
      <c r="I362" s="7" t="s">
        <v>25</v>
      </c>
      <c r="J362" s="7" t="s">
        <v>54</v>
      </c>
      <c r="K362" s="4">
        <v>4</v>
      </c>
      <c r="L362" s="7" t="s">
        <v>49</v>
      </c>
      <c r="M362" s="7" t="s">
        <v>58</v>
      </c>
      <c r="N362" s="4" t="b">
        <v>0</v>
      </c>
      <c r="O362" s="4">
        <v>77</v>
      </c>
      <c r="P362" s="7" t="s">
        <v>50</v>
      </c>
      <c r="Q362" s="4">
        <v>1</v>
      </c>
      <c r="R362" s="4">
        <v>2</v>
      </c>
      <c r="S362" s="4">
        <v>2267</v>
      </c>
      <c r="T362" s="8" t="s">
        <v>30</v>
      </c>
      <c r="U362" t="str">
        <f>IF(OR(E362&lt;'Q1'!$E$13,E362&gt;'Q1'!$E$14),"Outliers","Not an Outliers")</f>
        <v>Not an Outliers</v>
      </c>
      <c r="V362" t="str">
        <f t="shared" si="5"/>
        <v>Weekday</v>
      </c>
    </row>
    <row r="363" spans="1:22" x14ac:dyDescent="0.3">
      <c r="A363" s="24">
        <v>45434</v>
      </c>
      <c r="B363" s="9" t="s">
        <v>72</v>
      </c>
      <c r="C363" s="9" t="s">
        <v>32</v>
      </c>
      <c r="D363" s="9" t="s">
        <v>57</v>
      </c>
      <c r="E363" s="5">
        <v>1000</v>
      </c>
      <c r="F363" s="5" t="b">
        <v>0</v>
      </c>
      <c r="G363" s="9" t="s">
        <v>23</v>
      </c>
      <c r="H363" s="9" t="s">
        <v>70</v>
      </c>
      <c r="I363" s="9" t="s">
        <v>42</v>
      </c>
      <c r="J363" s="9" t="s">
        <v>48</v>
      </c>
      <c r="K363" s="5">
        <v>2</v>
      </c>
      <c r="L363" s="9" t="s">
        <v>49</v>
      </c>
      <c r="M363" s="9" t="s">
        <v>73</v>
      </c>
      <c r="N363" s="5" t="b">
        <v>1</v>
      </c>
      <c r="O363" s="5">
        <v>2</v>
      </c>
      <c r="P363" s="9" t="s">
        <v>37</v>
      </c>
      <c r="Q363" s="5">
        <v>8</v>
      </c>
      <c r="R363" s="5">
        <v>3</v>
      </c>
      <c r="S363" s="5">
        <v>4192</v>
      </c>
      <c r="T363" s="10" t="s">
        <v>51</v>
      </c>
      <c r="U363" t="str">
        <f>IF(OR(E363&lt;'Q1'!$E$13,E363&gt;'Q1'!$E$14),"Outliers","Not an Outliers")</f>
        <v>Not an Outliers</v>
      </c>
      <c r="V363" t="str">
        <f t="shared" si="5"/>
        <v>Weekday</v>
      </c>
    </row>
    <row r="364" spans="1:22" x14ac:dyDescent="0.3">
      <c r="A364" s="23">
        <v>45434</v>
      </c>
      <c r="B364" s="7" t="s">
        <v>55</v>
      </c>
      <c r="C364" s="7" t="s">
        <v>45</v>
      </c>
      <c r="D364" s="7" t="s">
        <v>53</v>
      </c>
      <c r="E364" s="4">
        <v>4381</v>
      </c>
      <c r="F364" s="4" t="b">
        <v>0</v>
      </c>
      <c r="G364" s="7" t="s">
        <v>40</v>
      </c>
      <c r="H364" s="7" t="s">
        <v>35</v>
      </c>
      <c r="I364" s="7" t="s">
        <v>42</v>
      </c>
      <c r="J364" s="7" t="s">
        <v>48</v>
      </c>
      <c r="K364" s="4">
        <v>1</v>
      </c>
      <c r="L364" s="7" t="s">
        <v>36</v>
      </c>
      <c r="M364" s="7" t="s">
        <v>28</v>
      </c>
      <c r="N364" s="4" t="b">
        <v>1</v>
      </c>
      <c r="O364" s="4">
        <v>22</v>
      </c>
      <c r="P364" s="7" t="s">
        <v>37</v>
      </c>
      <c r="Q364" s="4">
        <v>4</v>
      </c>
      <c r="R364" s="4">
        <v>2</v>
      </c>
      <c r="S364" s="4">
        <v>2923</v>
      </c>
      <c r="T364" s="8" t="s">
        <v>30</v>
      </c>
      <c r="U364" t="str">
        <f>IF(OR(E364&lt;'Q1'!$E$13,E364&gt;'Q1'!$E$14),"Outliers","Not an Outliers")</f>
        <v>Not an Outliers</v>
      </c>
      <c r="V364" t="str">
        <f t="shared" si="5"/>
        <v>Weekday</v>
      </c>
    </row>
    <row r="365" spans="1:22" x14ac:dyDescent="0.3">
      <c r="A365" s="24">
        <v>45435</v>
      </c>
      <c r="B365" s="9" t="s">
        <v>52</v>
      </c>
      <c r="C365" s="9" t="s">
        <v>45</v>
      </c>
      <c r="D365" s="9" t="s">
        <v>57</v>
      </c>
      <c r="E365" s="5">
        <v>1000</v>
      </c>
      <c r="F365" s="5" t="b">
        <v>0</v>
      </c>
      <c r="G365" s="9" t="s">
        <v>40</v>
      </c>
      <c r="H365" s="9" t="s">
        <v>35</v>
      </c>
      <c r="I365" s="9" t="s">
        <v>42</v>
      </c>
      <c r="J365" s="9" t="s">
        <v>43</v>
      </c>
      <c r="K365" s="5">
        <v>4</v>
      </c>
      <c r="L365" s="9" t="s">
        <v>36</v>
      </c>
      <c r="M365" s="9" t="s">
        <v>58</v>
      </c>
      <c r="N365" s="5" t="b">
        <v>0</v>
      </c>
      <c r="O365" s="5">
        <v>28</v>
      </c>
      <c r="P365" s="9" t="s">
        <v>37</v>
      </c>
      <c r="Q365" s="5">
        <v>3</v>
      </c>
      <c r="R365" s="5">
        <v>1</v>
      </c>
      <c r="S365" s="5">
        <v>3674</v>
      </c>
      <c r="T365" s="10" t="s">
        <v>38</v>
      </c>
      <c r="U365" t="str">
        <f>IF(OR(E365&lt;'Q1'!$E$13,E365&gt;'Q1'!$E$14),"Outliers","Not an Outliers")</f>
        <v>Not an Outliers</v>
      </c>
      <c r="V365" t="str">
        <f t="shared" si="5"/>
        <v>Weekday</v>
      </c>
    </row>
    <row r="366" spans="1:22" x14ac:dyDescent="0.3">
      <c r="A366" s="23">
        <v>45435</v>
      </c>
      <c r="B366" s="7" t="s">
        <v>74</v>
      </c>
      <c r="C366" s="7" t="s">
        <v>32</v>
      </c>
      <c r="D366" s="7" t="s">
        <v>46</v>
      </c>
      <c r="E366" s="4">
        <v>3313</v>
      </c>
      <c r="F366" s="4" t="b">
        <v>1</v>
      </c>
      <c r="G366" s="7" t="s">
        <v>40</v>
      </c>
      <c r="H366" s="7" t="s">
        <v>35</v>
      </c>
      <c r="I366" s="7" t="s">
        <v>25</v>
      </c>
      <c r="J366" s="7" t="s">
        <v>26</v>
      </c>
      <c r="K366" s="4">
        <v>3</v>
      </c>
      <c r="L366" s="7" t="s">
        <v>27</v>
      </c>
      <c r="M366" s="7" t="s">
        <v>66</v>
      </c>
      <c r="N366" s="4" t="b">
        <v>0</v>
      </c>
      <c r="O366" s="4">
        <v>48</v>
      </c>
      <c r="P366" s="7" t="s">
        <v>29</v>
      </c>
      <c r="Q366" s="4">
        <v>4</v>
      </c>
      <c r="R366" s="4">
        <v>1</v>
      </c>
      <c r="S366" s="4">
        <v>2635</v>
      </c>
      <c r="T366" s="8" t="s">
        <v>51</v>
      </c>
      <c r="U366" t="str">
        <f>IF(OR(E366&lt;'Q1'!$E$13,E366&gt;'Q1'!$E$14),"Outliers","Not an Outliers")</f>
        <v>Not an Outliers</v>
      </c>
      <c r="V366" t="str">
        <f t="shared" si="5"/>
        <v>Weekday</v>
      </c>
    </row>
    <row r="367" spans="1:22" x14ac:dyDescent="0.3">
      <c r="A367" s="24">
        <v>45436</v>
      </c>
      <c r="B367" s="9" t="s">
        <v>62</v>
      </c>
      <c r="C367" s="9" t="s">
        <v>60</v>
      </c>
      <c r="D367" s="9" t="s">
        <v>53</v>
      </c>
      <c r="E367" s="5">
        <v>4781</v>
      </c>
      <c r="F367" s="5" t="b">
        <v>1</v>
      </c>
      <c r="G367" s="9" t="s">
        <v>34</v>
      </c>
      <c r="H367" s="9" t="s">
        <v>41</v>
      </c>
      <c r="I367" s="9" t="s">
        <v>25</v>
      </c>
      <c r="J367" s="9" t="s">
        <v>54</v>
      </c>
      <c r="K367" s="5">
        <v>0</v>
      </c>
      <c r="L367" s="9" t="s">
        <v>27</v>
      </c>
      <c r="M367" s="9" t="s">
        <v>28</v>
      </c>
      <c r="N367" s="5" t="b">
        <v>0</v>
      </c>
      <c r="O367" s="5">
        <v>118</v>
      </c>
      <c r="P367" s="9" t="s">
        <v>63</v>
      </c>
      <c r="Q367" s="5">
        <v>9</v>
      </c>
      <c r="R367" s="5">
        <v>1</v>
      </c>
      <c r="S367" s="5">
        <v>3258</v>
      </c>
      <c r="T367" s="10" t="s">
        <v>38</v>
      </c>
      <c r="U367" t="str">
        <f>IF(OR(E367&lt;'Q1'!$E$13,E367&gt;'Q1'!$E$14),"Outliers","Not an Outliers")</f>
        <v>Not an Outliers</v>
      </c>
      <c r="V367" t="str">
        <f t="shared" si="5"/>
        <v>Weekday</v>
      </c>
    </row>
    <row r="368" spans="1:22" x14ac:dyDescent="0.3">
      <c r="A368" s="23">
        <v>45436</v>
      </c>
      <c r="B368" s="7" t="s">
        <v>72</v>
      </c>
      <c r="C368" s="7" t="s">
        <v>60</v>
      </c>
      <c r="D368" s="7" t="s">
        <v>22</v>
      </c>
      <c r="E368" s="4">
        <v>6280</v>
      </c>
      <c r="F368" s="4" t="b">
        <v>0</v>
      </c>
      <c r="G368" s="7" t="s">
        <v>34</v>
      </c>
      <c r="H368" s="7" t="s">
        <v>70</v>
      </c>
      <c r="I368" s="7" t="s">
        <v>47</v>
      </c>
      <c r="J368" s="7" t="s">
        <v>43</v>
      </c>
      <c r="K368" s="4">
        <v>2</v>
      </c>
      <c r="L368" s="7" t="s">
        <v>49</v>
      </c>
      <c r="M368" s="7" t="s">
        <v>58</v>
      </c>
      <c r="N368" s="4" t="b">
        <v>1</v>
      </c>
      <c r="O368" s="4">
        <v>43</v>
      </c>
      <c r="P368" s="7" t="s">
        <v>63</v>
      </c>
      <c r="Q368" s="4">
        <v>1</v>
      </c>
      <c r="R368" s="4">
        <v>1</v>
      </c>
      <c r="S368" s="4">
        <v>3428</v>
      </c>
      <c r="T368" s="8" t="s">
        <v>51</v>
      </c>
      <c r="U368" t="str">
        <f>IF(OR(E368&lt;'Q1'!$E$13,E368&gt;'Q1'!$E$14),"Outliers","Not an Outliers")</f>
        <v>Not an Outliers</v>
      </c>
      <c r="V368" t="str">
        <f t="shared" si="5"/>
        <v>Weekday</v>
      </c>
    </row>
    <row r="369" spans="1:22" x14ac:dyDescent="0.3">
      <c r="A369" s="24">
        <v>45436</v>
      </c>
      <c r="B369" s="9" t="s">
        <v>72</v>
      </c>
      <c r="C369" s="9" t="s">
        <v>45</v>
      </c>
      <c r="D369" s="9" t="s">
        <v>46</v>
      </c>
      <c r="E369" s="5">
        <v>1429</v>
      </c>
      <c r="F369" s="5" t="b">
        <v>0</v>
      </c>
      <c r="G369" s="9" t="s">
        <v>64</v>
      </c>
      <c r="H369" s="9" t="s">
        <v>41</v>
      </c>
      <c r="I369" s="9" t="s">
        <v>42</v>
      </c>
      <c r="J369" s="9" t="s">
        <v>43</v>
      </c>
      <c r="K369" s="5">
        <v>1</v>
      </c>
      <c r="L369" s="9" t="s">
        <v>27</v>
      </c>
      <c r="M369" s="9" t="s">
        <v>66</v>
      </c>
      <c r="N369" s="5" t="b">
        <v>0</v>
      </c>
      <c r="O369" s="5">
        <v>101</v>
      </c>
      <c r="P369" s="9" t="s">
        <v>29</v>
      </c>
      <c r="Q369" s="5">
        <v>4</v>
      </c>
      <c r="R369" s="5">
        <v>3</v>
      </c>
      <c r="S369" s="5">
        <v>3224</v>
      </c>
      <c r="T369" s="10" t="s">
        <v>38</v>
      </c>
      <c r="U369" t="str">
        <f>IF(OR(E369&lt;'Q1'!$E$13,E369&gt;'Q1'!$E$14),"Outliers","Not an Outliers")</f>
        <v>Not an Outliers</v>
      </c>
      <c r="V369" t="str">
        <f t="shared" si="5"/>
        <v>Weekday</v>
      </c>
    </row>
    <row r="370" spans="1:22" x14ac:dyDescent="0.3">
      <c r="A370" s="23">
        <v>45438</v>
      </c>
      <c r="B370" s="7" t="s">
        <v>72</v>
      </c>
      <c r="C370" s="7" t="s">
        <v>21</v>
      </c>
      <c r="D370" s="7" t="s">
        <v>22</v>
      </c>
      <c r="E370" s="4">
        <v>6047</v>
      </c>
      <c r="F370" s="4" t="b">
        <v>0</v>
      </c>
      <c r="G370" s="7" t="s">
        <v>34</v>
      </c>
      <c r="H370" s="7" t="s">
        <v>35</v>
      </c>
      <c r="I370" s="7" t="s">
        <v>59</v>
      </c>
      <c r="J370" s="7" t="s">
        <v>54</v>
      </c>
      <c r="K370" s="4">
        <v>1</v>
      </c>
      <c r="L370" s="7" t="s">
        <v>36</v>
      </c>
      <c r="M370" s="7" t="s">
        <v>66</v>
      </c>
      <c r="N370" s="4" t="b">
        <v>1</v>
      </c>
      <c r="O370" s="4">
        <v>63</v>
      </c>
      <c r="P370" s="7" t="s">
        <v>29</v>
      </c>
      <c r="Q370" s="4">
        <v>3</v>
      </c>
      <c r="R370" s="4">
        <v>3</v>
      </c>
      <c r="S370" s="4">
        <v>2121</v>
      </c>
      <c r="T370" s="8" t="s">
        <v>51</v>
      </c>
      <c r="U370" t="str">
        <f>IF(OR(E370&lt;'Q1'!$E$13,E370&gt;'Q1'!$E$14),"Outliers","Not an Outliers")</f>
        <v>Not an Outliers</v>
      </c>
      <c r="V370" t="str">
        <f t="shared" si="5"/>
        <v>Weekend</v>
      </c>
    </row>
    <row r="371" spans="1:22" x14ac:dyDescent="0.3">
      <c r="A371" s="24">
        <v>45438</v>
      </c>
      <c r="B371" s="9" t="s">
        <v>44</v>
      </c>
      <c r="C371" s="9" t="s">
        <v>32</v>
      </c>
      <c r="D371" s="9" t="s">
        <v>46</v>
      </c>
      <c r="E371" s="5">
        <v>3263</v>
      </c>
      <c r="F371" s="5" t="b">
        <v>1</v>
      </c>
      <c r="G371" s="9" t="s">
        <v>40</v>
      </c>
      <c r="H371" s="9" t="s">
        <v>35</v>
      </c>
      <c r="I371" s="9" t="s">
        <v>59</v>
      </c>
      <c r="J371" s="9" t="s">
        <v>48</v>
      </c>
      <c r="K371" s="5">
        <v>3</v>
      </c>
      <c r="L371" s="9" t="s">
        <v>36</v>
      </c>
      <c r="M371" s="9" t="s">
        <v>73</v>
      </c>
      <c r="N371" s="5" t="b">
        <v>0</v>
      </c>
      <c r="O371" s="5">
        <v>13</v>
      </c>
      <c r="P371" s="9" t="s">
        <v>67</v>
      </c>
      <c r="Q371" s="5">
        <v>6</v>
      </c>
      <c r="R371" s="5">
        <v>2</v>
      </c>
      <c r="S371" s="5">
        <v>2748</v>
      </c>
      <c r="T371" s="10" t="s">
        <v>38</v>
      </c>
      <c r="U371" t="str">
        <f>IF(OR(E371&lt;'Q1'!$E$13,E371&gt;'Q1'!$E$14),"Outliers","Not an Outliers")</f>
        <v>Not an Outliers</v>
      </c>
      <c r="V371" t="str">
        <f t="shared" si="5"/>
        <v>Weekend</v>
      </c>
    </row>
    <row r="372" spans="1:22" x14ac:dyDescent="0.3">
      <c r="A372" s="23">
        <v>45438</v>
      </c>
      <c r="B372" s="7" t="s">
        <v>68</v>
      </c>
      <c r="C372" s="7" t="s">
        <v>32</v>
      </c>
      <c r="D372" s="7" t="s">
        <v>57</v>
      </c>
      <c r="E372" s="4">
        <v>1000</v>
      </c>
      <c r="F372" s="4" t="b">
        <v>0</v>
      </c>
      <c r="G372" s="7" t="s">
        <v>65</v>
      </c>
      <c r="H372" s="7" t="s">
        <v>24</v>
      </c>
      <c r="I372" s="7" t="s">
        <v>25</v>
      </c>
      <c r="J372" s="7" t="s">
        <v>48</v>
      </c>
      <c r="K372" s="4">
        <v>5</v>
      </c>
      <c r="L372" s="7" t="s">
        <v>36</v>
      </c>
      <c r="M372" s="7" t="s">
        <v>28</v>
      </c>
      <c r="N372" s="4" t="b">
        <v>1</v>
      </c>
      <c r="O372" s="4">
        <v>64</v>
      </c>
      <c r="P372" s="7" t="s">
        <v>37</v>
      </c>
      <c r="Q372" s="4">
        <v>5</v>
      </c>
      <c r="R372" s="4">
        <v>3</v>
      </c>
      <c r="S372" s="4">
        <v>864</v>
      </c>
      <c r="T372" s="8" t="s">
        <v>30</v>
      </c>
      <c r="U372" t="str">
        <f>IF(OR(E372&lt;'Q1'!$E$13,E372&gt;'Q1'!$E$14),"Outliers","Not an Outliers")</f>
        <v>Not an Outliers</v>
      </c>
      <c r="V372" t="str">
        <f t="shared" si="5"/>
        <v>Weekend</v>
      </c>
    </row>
    <row r="373" spans="1:22" x14ac:dyDescent="0.3">
      <c r="A373" s="24">
        <v>45438</v>
      </c>
      <c r="B373" s="9" t="s">
        <v>72</v>
      </c>
      <c r="C373" s="9" t="s">
        <v>56</v>
      </c>
      <c r="D373" s="9" t="s">
        <v>53</v>
      </c>
      <c r="E373" s="5">
        <v>7216</v>
      </c>
      <c r="F373" s="5" t="b">
        <v>1</v>
      </c>
      <c r="G373" s="9" t="s">
        <v>64</v>
      </c>
      <c r="H373" s="9" t="s">
        <v>70</v>
      </c>
      <c r="I373" s="9" t="s">
        <v>42</v>
      </c>
      <c r="J373" s="9" t="s">
        <v>54</v>
      </c>
      <c r="K373" s="5">
        <v>5</v>
      </c>
      <c r="L373" s="9" t="s">
        <v>36</v>
      </c>
      <c r="M373" s="9" t="s">
        <v>73</v>
      </c>
      <c r="N373" s="5" t="b">
        <v>1</v>
      </c>
      <c r="O373" s="5">
        <v>16</v>
      </c>
      <c r="P373" s="9" t="s">
        <v>67</v>
      </c>
      <c r="Q373" s="5">
        <v>8</v>
      </c>
      <c r="R373" s="5">
        <v>1</v>
      </c>
      <c r="S373" s="5">
        <v>754</v>
      </c>
      <c r="T373" s="10" t="s">
        <v>38</v>
      </c>
      <c r="U373" t="str">
        <f>IF(OR(E373&lt;'Q1'!$E$13,E373&gt;'Q1'!$E$14),"Outliers","Not an Outliers")</f>
        <v>Not an Outliers</v>
      </c>
      <c r="V373" t="str">
        <f t="shared" si="5"/>
        <v>Weekend</v>
      </c>
    </row>
    <row r="374" spans="1:22" x14ac:dyDescent="0.3">
      <c r="A374" s="23">
        <v>45439</v>
      </c>
      <c r="B374" s="7" t="s">
        <v>69</v>
      </c>
      <c r="C374" s="7" t="s">
        <v>60</v>
      </c>
      <c r="D374" s="7" t="s">
        <v>61</v>
      </c>
      <c r="E374" s="4">
        <v>1000</v>
      </c>
      <c r="F374" s="4" t="b">
        <v>1</v>
      </c>
      <c r="G374" s="7" t="s">
        <v>40</v>
      </c>
      <c r="H374" s="7" t="s">
        <v>41</v>
      </c>
      <c r="I374" s="7" t="s">
        <v>42</v>
      </c>
      <c r="J374" s="7" t="s">
        <v>54</v>
      </c>
      <c r="K374" s="4">
        <v>3</v>
      </c>
      <c r="L374" s="7" t="s">
        <v>36</v>
      </c>
      <c r="M374" s="7" t="s">
        <v>28</v>
      </c>
      <c r="N374" s="4" t="b">
        <v>1</v>
      </c>
      <c r="O374" s="4">
        <v>13</v>
      </c>
      <c r="P374" s="7" t="s">
        <v>50</v>
      </c>
      <c r="Q374" s="4">
        <v>3</v>
      </c>
      <c r="R374" s="4">
        <v>2</v>
      </c>
      <c r="S374" s="4">
        <v>4237</v>
      </c>
      <c r="T374" s="8" t="s">
        <v>30</v>
      </c>
      <c r="U374" t="str">
        <f>IF(OR(E374&lt;'Q1'!$E$13,E374&gt;'Q1'!$E$14),"Outliers","Not an Outliers")</f>
        <v>Not an Outliers</v>
      </c>
      <c r="V374" t="str">
        <f t="shared" si="5"/>
        <v>Weekday</v>
      </c>
    </row>
    <row r="375" spans="1:22" x14ac:dyDescent="0.3">
      <c r="A375" s="24">
        <v>45439</v>
      </c>
      <c r="B375" s="9" t="s">
        <v>31</v>
      </c>
      <c r="C375" s="9" t="s">
        <v>21</v>
      </c>
      <c r="D375" s="9" t="s">
        <v>33</v>
      </c>
      <c r="E375" s="5">
        <v>3992</v>
      </c>
      <c r="F375" s="5" t="b">
        <v>0</v>
      </c>
      <c r="G375" s="9" t="s">
        <v>34</v>
      </c>
      <c r="H375" s="9" t="s">
        <v>35</v>
      </c>
      <c r="I375" s="9" t="s">
        <v>47</v>
      </c>
      <c r="J375" s="9" t="s">
        <v>43</v>
      </c>
      <c r="K375" s="5">
        <v>3</v>
      </c>
      <c r="L375" s="9" t="s">
        <v>49</v>
      </c>
      <c r="M375" s="9" t="s">
        <v>73</v>
      </c>
      <c r="N375" s="5" t="b">
        <v>0</v>
      </c>
      <c r="O375" s="5">
        <v>70</v>
      </c>
      <c r="P375" s="9" t="s">
        <v>29</v>
      </c>
      <c r="Q375" s="5">
        <v>7</v>
      </c>
      <c r="R375" s="5">
        <v>2</v>
      </c>
      <c r="S375" s="5">
        <v>3420</v>
      </c>
      <c r="T375" s="10" t="s">
        <v>51</v>
      </c>
      <c r="U375" t="str">
        <f>IF(OR(E375&lt;'Q1'!$E$13,E375&gt;'Q1'!$E$14),"Outliers","Not an Outliers")</f>
        <v>Not an Outliers</v>
      </c>
      <c r="V375" t="str">
        <f t="shared" si="5"/>
        <v>Weekday</v>
      </c>
    </row>
    <row r="376" spans="1:22" x14ac:dyDescent="0.3">
      <c r="A376" s="23">
        <v>45439</v>
      </c>
      <c r="B376" s="7" t="s">
        <v>39</v>
      </c>
      <c r="C376" s="7" t="s">
        <v>45</v>
      </c>
      <c r="D376" s="7" t="s">
        <v>46</v>
      </c>
      <c r="E376" s="4">
        <v>1282</v>
      </c>
      <c r="F376" s="4" t="b">
        <v>0</v>
      </c>
      <c r="G376" s="7" t="s">
        <v>40</v>
      </c>
      <c r="H376" s="7" t="s">
        <v>41</v>
      </c>
      <c r="I376" s="7" t="s">
        <v>59</v>
      </c>
      <c r="J376" s="7" t="s">
        <v>54</v>
      </c>
      <c r="K376" s="4">
        <v>5</v>
      </c>
      <c r="L376" s="7" t="s">
        <v>27</v>
      </c>
      <c r="M376" s="7" t="s">
        <v>58</v>
      </c>
      <c r="N376" s="4" t="b">
        <v>1</v>
      </c>
      <c r="O376" s="4">
        <v>65</v>
      </c>
      <c r="P376" s="7" t="s">
        <v>63</v>
      </c>
      <c r="Q376" s="4">
        <v>4</v>
      </c>
      <c r="R376" s="4">
        <v>1</v>
      </c>
      <c r="S376" s="4">
        <v>2735</v>
      </c>
      <c r="T376" s="8" t="s">
        <v>38</v>
      </c>
      <c r="U376" t="str">
        <f>IF(OR(E376&lt;'Q1'!$E$13,E376&gt;'Q1'!$E$14),"Outliers","Not an Outliers")</f>
        <v>Not an Outliers</v>
      </c>
      <c r="V376" t="str">
        <f t="shared" si="5"/>
        <v>Weekday</v>
      </c>
    </row>
    <row r="377" spans="1:22" x14ac:dyDescent="0.3">
      <c r="A377" s="24">
        <v>45439</v>
      </c>
      <c r="B377" s="9" t="s">
        <v>76</v>
      </c>
      <c r="C377" s="9" t="s">
        <v>21</v>
      </c>
      <c r="D377" s="9" t="s">
        <v>33</v>
      </c>
      <c r="E377" s="5">
        <v>2079</v>
      </c>
      <c r="F377" s="5" t="b">
        <v>0</v>
      </c>
      <c r="G377" s="9" t="s">
        <v>65</v>
      </c>
      <c r="H377" s="9" t="s">
        <v>70</v>
      </c>
      <c r="I377" s="9" t="s">
        <v>42</v>
      </c>
      <c r="J377" s="9" t="s">
        <v>48</v>
      </c>
      <c r="K377" s="5">
        <v>1</v>
      </c>
      <c r="L377" s="9" t="s">
        <v>49</v>
      </c>
      <c r="M377" s="9" t="s">
        <v>58</v>
      </c>
      <c r="N377" s="5" t="b">
        <v>1</v>
      </c>
      <c r="O377" s="5">
        <v>101</v>
      </c>
      <c r="P377" s="9" t="s">
        <v>37</v>
      </c>
      <c r="Q377" s="5">
        <v>5</v>
      </c>
      <c r="R377" s="5">
        <v>2</v>
      </c>
      <c r="S377" s="5">
        <v>1222</v>
      </c>
      <c r="T377" s="10" t="s">
        <v>51</v>
      </c>
      <c r="U377" t="str">
        <f>IF(OR(E377&lt;'Q1'!$E$13,E377&gt;'Q1'!$E$14),"Outliers","Not an Outliers")</f>
        <v>Not an Outliers</v>
      </c>
      <c r="V377" t="str">
        <f t="shared" si="5"/>
        <v>Weekday</v>
      </c>
    </row>
    <row r="378" spans="1:22" x14ac:dyDescent="0.3">
      <c r="A378" s="23">
        <v>45439</v>
      </c>
      <c r="B378" s="7" t="s">
        <v>68</v>
      </c>
      <c r="C378" s="7" t="s">
        <v>21</v>
      </c>
      <c r="D378" s="7" t="s">
        <v>46</v>
      </c>
      <c r="E378" s="4">
        <v>4726</v>
      </c>
      <c r="F378" s="4" t="b">
        <v>1</v>
      </c>
      <c r="G378" s="7" t="s">
        <v>64</v>
      </c>
      <c r="H378" s="7" t="s">
        <v>41</v>
      </c>
      <c r="I378" s="7" t="s">
        <v>25</v>
      </c>
      <c r="J378" s="7" t="s">
        <v>26</v>
      </c>
      <c r="K378" s="4">
        <v>2</v>
      </c>
      <c r="L378" s="7" t="s">
        <v>36</v>
      </c>
      <c r="M378" s="7" t="s">
        <v>66</v>
      </c>
      <c r="N378" s="4" t="b">
        <v>1</v>
      </c>
      <c r="O378" s="4">
        <v>99</v>
      </c>
      <c r="P378" s="7" t="s">
        <v>29</v>
      </c>
      <c r="Q378" s="4">
        <v>8</v>
      </c>
      <c r="R378" s="4">
        <v>2</v>
      </c>
      <c r="S378" s="4">
        <v>1838</v>
      </c>
      <c r="T378" s="8" t="s">
        <v>38</v>
      </c>
      <c r="U378" t="str">
        <f>IF(OR(E378&lt;'Q1'!$E$13,E378&gt;'Q1'!$E$14),"Outliers","Not an Outliers")</f>
        <v>Not an Outliers</v>
      </c>
      <c r="V378" t="str">
        <f t="shared" si="5"/>
        <v>Weekday</v>
      </c>
    </row>
    <row r="379" spans="1:22" x14ac:dyDescent="0.3">
      <c r="A379" s="24">
        <v>45439</v>
      </c>
      <c r="B379" s="9" t="s">
        <v>74</v>
      </c>
      <c r="C379" s="9" t="s">
        <v>56</v>
      </c>
      <c r="D379" s="9" t="s">
        <v>33</v>
      </c>
      <c r="E379" s="5">
        <v>2272</v>
      </c>
      <c r="F379" s="5" t="b">
        <v>0</v>
      </c>
      <c r="G379" s="9" t="s">
        <v>40</v>
      </c>
      <c r="H379" s="9" t="s">
        <v>24</v>
      </c>
      <c r="I379" s="9" t="s">
        <v>59</v>
      </c>
      <c r="J379" s="9" t="s">
        <v>26</v>
      </c>
      <c r="K379" s="5">
        <v>14</v>
      </c>
      <c r="L379" s="9" t="s">
        <v>49</v>
      </c>
      <c r="M379" s="9" t="s">
        <v>66</v>
      </c>
      <c r="N379" s="5" t="b">
        <v>0</v>
      </c>
      <c r="O379" s="5">
        <v>4</v>
      </c>
      <c r="P379" s="9" t="s">
        <v>50</v>
      </c>
      <c r="Q379" s="5">
        <v>7</v>
      </c>
      <c r="R379" s="5">
        <v>2</v>
      </c>
      <c r="S379" s="5">
        <v>1805</v>
      </c>
      <c r="T379" s="10" t="s">
        <v>51</v>
      </c>
      <c r="U379" t="str">
        <f>IF(OR(E379&lt;'Q1'!$E$13,E379&gt;'Q1'!$E$14),"Outliers","Not an Outliers")</f>
        <v>Not an Outliers</v>
      </c>
      <c r="V379" t="str">
        <f t="shared" si="5"/>
        <v>Weekday</v>
      </c>
    </row>
    <row r="380" spans="1:22" x14ac:dyDescent="0.3">
      <c r="A380" s="23">
        <v>45439</v>
      </c>
      <c r="B380" s="7" t="s">
        <v>20</v>
      </c>
      <c r="C380" s="7" t="s">
        <v>56</v>
      </c>
      <c r="D380" s="7" t="s">
        <v>22</v>
      </c>
      <c r="E380" s="4">
        <v>6433</v>
      </c>
      <c r="F380" s="4" t="b">
        <v>1</v>
      </c>
      <c r="G380" s="7" t="s">
        <v>65</v>
      </c>
      <c r="H380" s="7" t="s">
        <v>24</v>
      </c>
      <c r="I380" s="7" t="s">
        <v>42</v>
      </c>
      <c r="J380" s="7" t="s">
        <v>26</v>
      </c>
      <c r="K380" s="4">
        <v>3</v>
      </c>
      <c r="L380" s="7" t="s">
        <v>49</v>
      </c>
      <c r="M380" s="7" t="s">
        <v>73</v>
      </c>
      <c r="N380" s="4" t="b">
        <v>0</v>
      </c>
      <c r="O380" s="4">
        <v>37</v>
      </c>
      <c r="P380" s="7" t="s">
        <v>63</v>
      </c>
      <c r="Q380" s="4">
        <v>10</v>
      </c>
      <c r="R380" s="4">
        <v>3</v>
      </c>
      <c r="S380" s="4">
        <v>1365</v>
      </c>
      <c r="T380" s="8" t="s">
        <v>30</v>
      </c>
      <c r="U380" t="str">
        <f>IF(OR(E380&lt;'Q1'!$E$13,E380&gt;'Q1'!$E$14),"Outliers","Not an Outliers")</f>
        <v>Not an Outliers</v>
      </c>
      <c r="V380" t="str">
        <f t="shared" si="5"/>
        <v>Weekday</v>
      </c>
    </row>
    <row r="381" spans="1:22" x14ac:dyDescent="0.3">
      <c r="A381" s="24">
        <v>45440</v>
      </c>
      <c r="B381" s="9" t="s">
        <v>68</v>
      </c>
      <c r="C381" s="9" t="s">
        <v>32</v>
      </c>
      <c r="D381" s="9" t="s">
        <v>33</v>
      </c>
      <c r="E381" s="5">
        <v>4106</v>
      </c>
      <c r="F381" s="5" t="b">
        <v>1</v>
      </c>
      <c r="G381" s="9" t="s">
        <v>65</v>
      </c>
      <c r="H381" s="9" t="s">
        <v>35</v>
      </c>
      <c r="I381" s="9" t="s">
        <v>59</v>
      </c>
      <c r="J381" s="9" t="s">
        <v>54</v>
      </c>
      <c r="K381" s="5">
        <v>5</v>
      </c>
      <c r="L381" s="9" t="s">
        <v>27</v>
      </c>
      <c r="M381" s="9" t="s">
        <v>73</v>
      </c>
      <c r="N381" s="5" t="b">
        <v>1</v>
      </c>
      <c r="O381" s="5">
        <v>77</v>
      </c>
      <c r="P381" s="9" t="s">
        <v>50</v>
      </c>
      <c r="Q381" s="5">
        <v>1</v>
      </c>
      <c r="R381" s="5">
        <v>2</v>
      </c>
      <c r="S381" s="5">
        <v>2945</v>
      </c>
      <c r="T381" s="10" t="s">
        <v>51</v>
      </c>
      <c r="U381" t="str">
        <f>IF(OR(E381&lt;'Q1'!$E$13,E381&gt;'Q1'!$E$14),"Outliers","Not an Outliers")</f>
        <v>Not an Outliers</v>
      </c>
      <c r="V381" t="str">
        <f t="shared" si="5"/>
        <v>Weekday</v>
      </c>
    </row>
    <row r="382" spans="1:22" x14ac:dyDescent="0.3">
      <c r="A382" s="23">
        <v>45440</v>
      </c>
      <c r="B382" s="7" t="s">
        <v>68</v>
      </c>
      <c r="C382" s="7" t="s">
        <v>32</v>
      </c>
      <c r="D382" s="7" t="s">
        <v>46</v>
      </c>
      <c r="E382" s="4">
        <v>2349</v>
      </c>
      <c r="F382" s="4" t="b">
        <v>0</v>
      </c>
      <c r="G382" s="7" t="s">
        <v>64</v>
      </c>
      <c r="H382" s="7" t="s">
        <v>70</v>
      </c>
      <c r="I382" s="7" t="s">
        <v>59</v>
      </c>
      <c r="J382" s="7" t="s">
        <v>43</v>
      </c>
      <c r="K382" s="4">
        <v>3</v>
      </c>
      <c r="L382" s="7" t="s">
        <v>36</v>
      </c>
      <c r="M382" s="7" t="s">
        <v>28</v>
      </c>
      <c r="N382" s="4" t="b">
        <v>1</v>
      </c>
      <c r="O382" s="4">
        <v>84</v>
      </c>
      <c r="P382" s="7" t="s">
        <v>50</v>
      </c>
      <c r="Q382" s="4">
        <v>10</v>
      </c>
      <c r="R382" s="4">
        <v>3</v>
      </c>
      <c r="S382" s="4">
        <v>3048</v>
      </c>
      <c r="T382" s="8" t="s">
        <v>51</v>
      </c>
      <c r="U382" t="str">
        <f>IF(OR(E382&lt;'Q1'!$E$13,E382&gt;'Q1'!$E$14),"Outliers","Not an Outliers")</f>
        <v>Not an Outliers</v>
      </c>
      <c r="V382" t="str">
        <f t="shared" si="5"/>
        <v>Weekday</v>
      </c>
    </row>
    <row r="383" spans="1:22" x14ac:dyDescent="0.3">
      <c r="A383" s="24">
        <v>45440</v>
      </c>
      <c r="B383" s="9" t="s">
        <v>69</v>
      </c>
      <c r="C383" s="9" t="s">
        <v>45</v>
      </c>
      <c r="D383" s="9" t="s">
        <v>22</v>
      </c>
      <c r="E383" s="5">
        <v>6251</v>
      </c>
      <c r="F383" s="5" t="b">
        <v>0</v>
      </c>
      <c r="G383" s="9" t="s">
        <v>65</v>
      </c>
      <c r="H383" s="9" t="s">
        <v>35</v>
      </c>
      <c r="I383" s="9" t="s">
        <v>47</v>
      </c>
      <c r="J383" s="9" t="s">
        <v>54</v>
      </c>
      <c r="K383" s="5">
        <v>5</v>
      </c>
      <c r="L383" s="9" t="s">
        <v>36</v>
      </c>
      <c r="M383" s="9" t="s">
        <v>58</v>
      </c>
      <c r="N383" s="5" t="b">
        <v>1</v>
      </c>
      <c r="O383" s="5">
        <v>16</v>
      </c>
      <c r="P383" s="9" t="s">
        <v>29</v>
      </c>
      <c r="Q383" s="5">
        <v>1</v>
      </c>
      <c r="R383" s="5">
        <v>3</v>
      </c>
      <c r="S383" s="5">
        <v>3624</v>
      </c>
      <c r="T383" s="10" t="s">
        <v>30</v>
      </c>
      <c r="U383" t="str">
        <f>IF(OR(E383&lt;'Q1'!$E$13,E383&gt;'Q1'!$E$14),"Outliers","Not an Outliers")</f>
        <v>Not an Outliers</v>
      </c>
      <c r="V383" t="str">
        <f t="shared" si="5"/>
        <v>Weekday</v>
      </c>
    </row>
    <row r="384" spans="1:22" x14ac:dyDescent="0.3">
      <c r="A384" s="23">
        <v>45440</v>
      </c>
      <c r="B384" s="7" t="s">
        <v>75</v>
      </c>
      <c r="C384" s="7" t="s">
        <v>45</v>
      </c>
      <c r="D384" s="7" t="s">
        <v>22</v>
      </c>
      <c r="E384" s="4">
        <v>6644</v>
      </c>
      <c r="F384" s="4" t="b">
        <v>0</v>
      </c>
      <c r="G384" s="7" t="s">
        <v>64</v>
      </c>
      <c r="H384" s="7" t="s">
        <v>70</v>
      </c>
      <c r="I384" s="7" t="s">
        <v>42</v>
      </c>
      <c r="J384" s="7" t="s">
        <v>43</v>
      </c>
      <c r="K384" s="4">
        <v>0</v>
      </c>
      <c r="L384" s="7" t="s">
        <v>27</v>
      </c>
      <c r="M384" s="7" t="s">
        <v>73</v>
      </c>
      <c r="N384" s="4" t="b">
        <v>1</v>
      </c>
      <c r="O384" s="4">
        <v>6</v>
      </c>
      <c r="P384" s="7" t="s">
        <v>29</v>
      </c>
      <c r="Q384" s="4">
        <v>9</v>
      </c>
      <c r="R384" s="4">
        <v>3</v>
      </c>
      <c r="S384" s="4">
        <v>3292</v>
      </c>
      <c r="T384" s="8" t="s">
        <v>51</v>
      </c>
      <c r="U384" t="str">
        <f>IF(OR(E384&lt;'Q1'!$E$13,E384&gt;'Q1'!$E$14),"Outliers","Not an Outliers")</f>
        <v>Not an Outliers</v>
      </c>
      <c r="V384" t="str">
        <f t="shared" si="5"/>
        <v>Weekday</v>
      </c>
    </row>
    <row r="385" spans="1:22" x14ac:dyDescent="0.3">
      <c r="A385" s="24">
        <v>45440</v>
      </c>
      <c r="B385" s="9" t="s">
        <v>69</v>
      </c>
      <c r="C385" s="9" t="s">
        <v>21</v>
      </c>
      <c r="D385" s="9" t="s">
        <v>57</v>
      </c>
      <c r="E385" s="5">
        <v>1000</v>
      </c>
      <c r="F385" s="5" t="b">
        <v>1</v>
      </c>
      <c r="G385" s="9" t="s">
        <v>34</v>
      </c>
      <c r="H385" s="9" t="s">
        <v>70</v>
      </c>
      <c r="I385" s="9" t="s">
        <v>47</v>
      </c>
      <c r="J385" s="9" t="s">
        <v>48</v>
      </c>
      <c r="K385" s="5">
        <v>0</v>
      </c>
      <c r="L385" s="9" t="s">
        <v>49</v>
      </c>
      <c r="M385" s="9" t="s">
        <v>28</v>
      </c>
      <c r="N385" s="5" t="b">
        <v>0</v>
      </c>
      <c r="O385" s="5">
        <v>66</v>
      </c>
      <c r="P385" s="9" t="s">
        <v>29</v>
      </c>
      <c r="Q385" s="5">
        <v>10</v>
      </c>
      <c r="R385" s="5">
        <v>2</v>
      </c>
      <c r="S385" s="5">
        <v>1385</v>
      </c>
      <c r="T385" s="10" t="s">
        <v>38</v>
      </c>
      <c r="U385" t="str">
        <f>IF(OR(E385&lt;'Q1'!$E$13,E385&gt;'Q1'!$E$14),"Outliers","Not an Outliers")</f>
        <v>Not an Outliers</v>
      </c>
      <c r="V385" t="str">
        <f t="shared" si="5"/>
        <v>Weekday</v>
      </c>
    </row>
    <row r="386" spans="1:22" x14ac:dyDescent="0.3">
      <c r="A386" s="23">
        <v>45444</v>
      </c>
      <c r="B386" s="7" t="s">
        <v>71</v>
      </c>
      <c r="C386" s="7" t="s">
        <v>56</v>
      </c>
      <c r="D386" s="7" t="s">
        <v>22</v>
      </c>
      <c r="E386" s="4">
        <v>8121</v>
      </c>
      <c r="F386" s="4" t="b">
        <v>0</v>
      </c>
      <c r="G386" s="7" t="s">
        <v>64</v>
      </c>
      <c r="H386" s="7" t="s">
        <v>70</v>
      </c>
      <c r="I386" s="7" t="s">
        <v>42</v>
      </c>
      <c r="J386" s="7" t="s">
        <v>54</v>
      </c>
      <c r="K386" s="4">
        <v>2</v>
      </c>
      <c r="L386" s="7" t="s">
        <v>36</v>
      </c>
      <c r="M386" s="7" t="s">
        <v>66</v>
      </c>
      <c r="N386" s="4" t="b">
        <v>1</v>
      </c>
      <c r="O386" s="4">
        <v>28</v>
      </c>
      <c r="P386" s="7" t="s">
        <v>50</v>
      </c>
      <c r="Q386" s="4">
        <v>8</v>
      </c>
      <c r="R386" s="4">
        <v>2</v>
      </c>
      <c r="S386" s="4">
        <v>2668</v>
      </c>
      <c r="T386" s="8" t="s">
        <v>30</v>
      </c>
      <c r="U386" t="str">
        <f>IF(OR(E386&lt;'Q1'!$E$13,E386&gt;'Q1'!$E$14),"Outliers","Not an Outliers")</f>
        <v>Not an Outliers</v>
      </c>
      <c r="V386" t="str">
        <f t="shared" si="5"/>
        <v>Weekend</v>
      </c>
    </row>
    <row r="387" spans="1:22" x14ac:dyDescent="0.3">
      <c r="A387" s="24">
        <v>45445</v>
      </c>
      <c r="B387" s="9" t="s">
        <v>44</v>
      </c>
      <c r="C387" s="9" t="s">
        <v>45</v>
      </c>
      <c r="D387" s="9" t="s">
        <v>22</v>
      </c>
      <c r="E387" s="5">
        <v>9492</v>
      </c>
      <c r="F387" s="5" t="b">
        <v>0</v>
      </c>
      <c r="G387" s="9" t="s">
        <v>34</v>
      </c>
      <c r="H387" s="9" t="s">
        <v>24</v>
      </c>
      <c r="I387" s="9" t="s">
        <v>25</v>
      </c>
      <c r="J387" s="9" t="s">
        <v>43</v>
      </c>
      <c r="K387" s="5">
        <v>3</v>
      </c>
      <c r="L387" s="9" t="s">
        <v>49</v>
      </c>
      <c r="M387" s="9" t="s">
        <v>66</v>
      </c>
      <c r="N387" s="5" t="b">
        <v>0</v>
      </c>
      <c r="O387" s="5">
        <v>61</v>
      </c>
      <c r="P387" s="9" t="s">
        <v>50</v>
      </c>
      <c r="Q387" s="5">
        <v>8</v>
      </c>
      <c r="R387" s="5">
        <v>1</v>
      </c>
      <c r="S387" s="5">
        <v>4724</v>
      </c>
      <c r="T387" s="10" t="s">
        <v>30</v>
      </c>
      <c r="U387" t="str">
        <f>IF(OR(E387&lt;'Q1'!$E$13,E387&gt;'Q1'!$E$14),"Outliers","Not an Outliers")</f>
        <v>Not an Outliers</v>
      </c>
      <c r="V387" t="str">
        <f t="shared" ref="V387:V450" si="6">IF(WEEKDAY(A387,2)&gt;5,"Weekend","Weekday")</f>
        <v>Weekend</v>
      </c>
    </row>
    <row r="388" spans="1:22" x14ac:dyDescent="0.3">
      <c r="A388" s="23">
        <v>45445</v>
      </c>
      <c r="B388" s="7" t="s">
        <v>77</v>
      </c>
      <c r="C388" s="7" t="s">
        <v>60</v>
      </c>
      <c r="D388" s="7" t="s">
        <v>53</v>
      </c>
      <c r="E388" s="4">
        <v>5510</v>
      </c>
      <c r="F388" s="4" t="b">
        <v>1</v>
      </c>
      <c r="G388" s="7" t="s">
        <v>40</v>
      </c>
      <c r="H388" s="7" t="s">
        <v>24</v>
      </c>
      <c r="I388" s="7" t="s">
        <v>42</v>
      </c>
      <c r="J388" s="7" t="s">
        <v>43</v>
      </c>
      <c r="K388" s="4">
        <v>2</v>
      </c>
      <c r="L388" s="7" t="s">
        <v>27</v>
      </c>
      <c r="M388" s="7" t="s">
        <v>73</v>
      </c>
      <c r="N388" s="4" t="b">
        <v>0</v>
      </c>
      <c r="O388" s="4">
        <v>13</v>
      </c>
      <c r="P388" s="7" t="s">
        <v>50</v>
      </c>
      <c r="Q388" s="4">
        <v>5</v>
      </c>
      <c r="R388" s="4">
        <v>3</v>
      </c>
      <c r="S388" s="4">
        <v>4846</v>
      </c>
      <c r="T388" s="8" t="s">
        <v>38</v>
      </c>
      <c r="U388" t="str">
        <f>IF(OR(E388&lt;'Q1'!$E$13,E388&gt;'Q1'!$E$14),"Outliers","Not an Outliers")</f>
        <v>Not an Outliers</v>
      </c>
      <c r="V388" t="str">
        <f t="shared" si="6"/>
        <v>Weekend</v>
      </c>
    </row>
    <row r="389" spans="1:22" x14ac:dyDescent="0.3">
      <c r="A389" s="24">
        <v>45445</v>
      </c>
      <c r="B389" s="9" t="s">
        <v>62</v>
      </c>
      <c r="C389" s="9" t="s">
        <v>56</v>
      </c>
      <c r="D389" s="9" t="s">
        <v>53</v>
      </c>
      <c r="E389" s="5">
        <v>3071</v>
      </c>
      <c r="F389" s="5" t="b">
        <v>0</v>
      </c>
      <c r="G389" s="9" t="s">
        <v>40</v>
      </c>
      <c r="H389" s="9" t="s">
        <v>70</v>
      </c>
      <c r="I389" s="9" t="s">
        <v>59</v>
      </c>
      <c r="J389" s="9" t="s">
        <v>48</v>
      </c>
      <c r="K389" s="5">
        <v>3</v>
      </c>
      <c r="L389" s="9" t="s">
        <v>49</v>
      </c>
      <c r="M389" s="9" t="s">
        <v>73</v>
      </c>
      <c r="N389" s="5" t="b">
        <v>0</v>
      </c>
      <c r="O389" s="5">
        <v>106</v>
      </c>
      <c r="P389" s="9" t="s">
        <v>37</v>
      </c>
      <c r="Q389" s="5">
        <v>7</v>
      </c>
      <c r="R389" s="5">
        <v>1</v>
      </c>
      <c r="S389" s="5">
        <v>3266</v>
      </c>
      <c r="T389" s="10" t="s">
        <v>51</v>
      </c>
      <c r="U389" t="str">
        <f>IF(OR(E389&lt;'Q1'!$E$13,E389&gt;'Q1'!$E$14),"Outliers","Not an Outliers")</f>
        <v>Not an Outliers</v>
      </c>
      <c r="V389" t="str">
        <f t="shared" si="6"/>
        <v>Weekend</v>
      </c>
    </row>
    <row r="390" spans="1:22" x14ac:dyDescent="0.3">
      <c r="A390" s="23">
        <v>45446</v>
      </c>
      <c r="B390" s="7" t="s">
        <v>62</v>
      </c>
      <c r="C390" s="7" t="s">
        <v>56</v>
      </c>
      <c r="D390" s="7" t="s">
        <v>57</v>
      </c>
      <c r="E390" s="4">
        <v>1000</v>
      </c>
      <c r="F390" s="4" t="b">
        <v>1</v>
      </c>
      <c r="G390" s="7" t="s">
        <v>34</v>
      </c>
      <c r="H390" s="7" t="s">
        <v>41</v>
      </c>
      <c r="I390" s="7" t="s">
        <v>47</v>
      </c>
      <c r="J390" s="7" t="s">
        <v>54</v>
      </c>
      <c r="K390" s="4">
        <v>0</v>
      </c>
      <c r="L390" s="7" t="s">
        <v>49</v>
      </c>
      <c r="M390" s="7" t="s">
        <v>73</v>
      </c>
      <c r="N390" s="4" t="b">
        <v>0</v>
      </c>
      <c r="O390" s="4">
        <v>60</v>
      </c>
      <c r="P390" s="7" t="s">
        <v>50</v>
      </c>
      <c r="Q390" s="4">
        <v>7</v>
      </c>
      <c r="R390" s="4">
        <v>3</v>
      </c>
      <c r="S390" s="4">
        <v>1886</v>
      </c>
      <c r="T390" s="8" t="s">
        <v>30</v>
      </c>
      <c r="U390" t="str">
        <f>IF(OR(E390&lt;'Q1'!$E$13,E390&gt;'Q1'!$E$14),"Outliers","Not an Outliers")</f>
        <v>Not an Outliers</v>
      </c>
      <c r="V390" t="str">
        <f t="shared" si="6"/>
        <v>Weekday</v>
      </c>
    </row>
    <row r="391" spans="1:22" x14ac:dyDescent="0.3">
      <c r="A391" s="24">
        <v>45446</v>
      </c>
      <c r="B391" s="9" t="s">
        <v>74</v>
      </c>
      <c r="C391" s="9" t="s">
        <v>45</v>
      </c>
      <c r="D391" s="9" t="s">
        <v>57</v>
      </c>
      <c r="E391" s="5">
        <v>1000</v>
      </c>
      <c r="F391" s="5" t="b">
        <v>0</v>
      </c>
      <c r="G391" s="9" t="s">
        <v>64</v>
      </c>
      <c r="H391" s="9" t="s">
        <v>70</v>
      </c>
      <c r="I391" s="9" t="s">
        <v>47</v>
      </c>
      <c r="J391" s="9" t="s">
        <v>43</v>
      </c>
      <c r="K391" s="5">
        <v>5</v>
      </c>
      <c r="L391" s="9" t="s">
        <v>49</v>
      </c>
      <c r="M391" s="9" t="s">
        <v>28</v>
      </c>
      <c r="N391" s="5" t="b">
        <v>1</v>
      </c>
      <c r="O391" s="5">
        <v>19</v>
      </c>
      <c r="P391" s="9" t="s">
        <v>50</v>
      </c>
      <c r="Q391" s="5">
        <v>4</v>
      </c>
      <c r="R391" s="5">
        <v>1</v>
      </c>
      <c r="S391" s="5">
        <v>1995</v>
      </c>
      <c r="T391" s="10" t="s">
        <v>30</v>
      </c>
      <c r="U391" t="str">
        <f>IF(OR(E391&lt;'Q1'!$E$13,E391&gt;'Q1'!$E$14),"Outliers","Not an Outliers")</f>
        <v>Not an Outliers</v>
      </c>
      <c r="V391" t="str">
        <f t="shared" si="6"/>
        <v>Weekday</v>
      </c>
    </row>
    <row r="392" spans="1:22" x14ac:dyDescent="0.3">
      <c r="A392" s="23">
        <v>45446</v>
      </c>
      <c r="B392" s="7" t="s">
        <v>76</v>
      </c>
      <c r="C392" s="7" t="s">
        <v>21</v>
      </c>
      <c r="D392" s="7" t="s">
        <v>57</v>
      </c>
      <c r="E392" s="4">
        <v>1000</v>
      </c>
      <c r="F392" s="4" t="b">
        <v>0</v>
      </c>
      <c r="G392" s="7" t="s">
        <v>40</v>
      </c>
      <c r="H392" s="7" t="s">
        <v>70</v>
      </c>
      <c r="I392" s="7" t="s">
        <v>42</v>
      </c>
      <c r="J392" s="7" t="s">
        <v>43</v>
      </c>
      <c r="K392" s="4">
        <v>2</v>
      </c>
      <c r="L392" s="7" t="s">
        <v>27</v>
      </c>
      <c r="M392" s="7" t="s">
        <v>66</v>
      </c>
      <c r="N392" s="4" t="b">
        <v>1</v>
      </c>
      <c r="O392" s="4">
        <v>18</v>
      </c>
      <c r="P392" s="7" t="s">
        <v>37</v>
      </c>
      <c r="Q392" s="4">
        <v>4</v>
      </c>
      <c r="R392" s="4">
        <v>1</v>
      </c>
      <c r="S392" s="4">
        <v>547</v>
      </c>
      <c r="T392" s="8" t="s">
        <v>51</v>
      </c>
      <c r="U392" t="str">
        <f>IF(OR(E392&lt;'Q1'!$E$13,E392&gt;'Q1'!$E$14),"Outliers","Not an Outliers")</f>
        <v>Not an Outliers</v>
      </c>
      <c r="V392" t="str">
        <f t="shared" si="6"/>
        <v>Weekday</v>
      </c>
    </row>
    <row r="393" spans="1:22" x14ac:dyDescent="0.3">
      <c r="A393" s="24">
        <v>45447</v>
      </c>
      <c r="B393" s="9" t="s">
        <v>55</v>
      </c>
      <c r="C393" s="9" t="s">
        <v>60</v>
      </c>
      <c r="D393" s="9" t="s">
        <v>61</v>
      </c>
      <c r="E393" s="5">
        <v>1000</v>
      </c>
      <c r="F393" s="5" t="b">
        <v>0</v>
      </c>
      <c r="G393" s="9" t="s">
        <v>34</v>
      </c>
      <c r="H393" s="9" t="s">
        <v>41</v>
      </c>
      <c r="I393" s="9" t="s">
        <v>42</v>
      </c>
      <c r="J393" s="9" t="s">
        <v>48</v>
      </c>
      <c r="K393" s="5">
        <v>2</v>
      </c>
      <c r="L393" s="9" t="s">
        <v>49</v>
      </c>
      <c r="M393" s="9" t="s">
        <v>66</v>
      </c>
      <c r="N393" s="5" t="b">
        <v>1</v>
      </c>
      <c r="O393" s="5">
        <v>31</v>
      </c>
      <c r="P393" s="9" t="s">
        <v>63</v>
      </c>
      <c r="Q393" s="5">
        <v>2</v>
      </c>
      <c r="R393" s="5">
        <v>1</v>
      </c>
      <c r="S393" s="5">
        <v>925</v>
      </c>
      <c r="T393" s="10" t="s">
        <v>30</v>
      </c>
      <c r="U393" t="str">
        <f>IF(OR(E393&lt;'Q1'!$E$13,E393&gt;'Q1'!$E$14),"Outliers","Not an Outliers")</f>
        <v>Not an Outliers</v>
      </c>
      <c r="V393" t="str">
        <f t="shared" si="6"/>
        <v>Weekday</v>
      </c>
    </row>
    <row r="394" spans="1:22" x14ac:dyDescent="0.3">
      <c r="A394" s="23">
        <v>45447</v>
      </c>
      <c r="B394" s="7" t="s">
        <v>71</v>
      </c>
      <c r="C394" s="7" t="s">
        <v>56</v>
      </c>
      <c r="D394" s="7" t="s">
        <v>46</v>
      </c>
      <c r="E394" s="4">
        <v>1976</v>
      </c>
      <c r="F394" s="4" t="b">
        <v>1</v>
      </c>
      <c r="G394" s="7" t="s">
        <v>40</v>
      </c>
      <c r="H394" s="7" t="s">
        <v>41</v>
      </c>
      <c r="I394" s="7" t="s">
        <v>25</v>
      </c>
      <c r="J394" s="7" t="s">
        <v>43</v>
      </c>
      <c r="K394" s="4">
        <v>1</v>
      </c>
      <c r="L394" s="7" t="s">
        <v>49</v>
      </c>
      <c r="M394" s="7" t="s">
        <v>66</v>
      </c>
      <c r="N394" s="4" t="b">
        <v>0</v>
      </c>
      <c r="O394" s="4">
        <v>94</v>
      </c>
      <c r="P394" s="7" t="s">
        <v>50</v>
      </c>
      <c r="Q394" s="4">
        <v>10</v>
      </c>
      <c r="R394" s="4">
        <v>3</v>
      </c>
      <c r="S394" s="4">
        <v>3981</v>
      </c>
      <c r="T394" s="8" t="s">
        <v>38</v>
      </c>
      <c r="U394" t="str">
        <f>IF(OR(E394&lt;'Q1'!$E$13,E394&gt;'Q1'!$E$14),"Outliers","Not an Outliers")</f>
        <v>Not an Outliers</v>
      </c>
      <c r="V394" t="str">
        <f t="shared" si="6"/>
        <v>Weekday</v>
      </c>
    </row>
    <row r="395" spans="1:22" x14ac:dyDescent="0.3">
      <c r="A395" s="24">
        <v>45447</v>
      </c>
      <c r="B395" s="9" t="s">
        <v>76</v>
      </c>
      <c r="C395" s="9" t="s">
        <v>60</v>
      </c>
      <c r="D395" s="9" t="s">
        <v>61</v>
      </c>
      <c r="E395" s="5">
        <v>1000</v>
      </c>
      <c r="F395" s="5" t="b">
        <v>0</v>
      </c>
      <c r="G395" s="9" t="s">
        <v>40</v>
      </c>
      <c r="H395" s="9" t="s">
        <v>70</v>
      </c>
      <c r="I395" s="9" t="s">
        <v>59</v>
      </c>
      <c r="J395" s="9" t="s">
        <v>54</v>
      </c>
      <c r="K395" s="5">
        <v>4</v>
      </c>
      <c r="L395" s="9" t="s">
        <v>36</v>
      </c>
      <c r="M395" s="9" t="s">
        <v>66</v>
      </c>
      <c r="N395" s="5" t="b">
        <v>1</v>
      </c>
      <c r="O395" s="5">
        <v>56</v>
      </c>
      <c r="P395" s="9" t="s">
        <v>37</v>
      </c>
      <c r="Q395" s="5">
        <v>1</v>
      </c>
      <c r="R395" s="5">
        <v>3</v>
      </c>
      <c r="S395" s="5">
        <v>2694</v>
      </c>
      <c r="T395" s="10" t="s">
        <v>38</v>
      </c>
      <c r="U395" t="str">
        <f>IF(OR(E395&lt;'Q1'!$E$13,E395&gt;'Q1'!$E$14),"Outliers","Not an Outliers")</f>
        <v>Not an Outliers</v>
      </c>
      <c r="V395" t="str">
        <f t="shared" si="6"/>
        <v>Weekday</v>
      </c>
    </row>
    <row r="396" spans="1:22" x14ac:dyDescent="0.3">
      <c r="A396" s="23">
        <v>45447</v>
      </c>
      <c r="B396" s="7" t="s">
        <v>75</v>
      </c>
      <c r="C396" s="7" t="s">
        <v>60</v>
      </c>
      <c r="D396" s="7" t="s">
        <v>33</v>
      </c>
      <c r="E396" s="4">
        <v>2103</v>
      </c>
      <c r="F396" s="4" t="b">
        <v>0</v>
      </c>
      <c r="G396" s="7" t="s">
        <v>65</v>
      </c>
      <c r="H396" s="7" t="s">
        <v>41</v>
      </c>
      <c r="I396" s="7" t="s">
        <v>42</v>
      </c>
      <c r="J396" s="7" t="s">
        <v>54</v>
      </c>
      <c r="K396" s="4">
        <v>1</v>
      </c>
      <c r="L396" s="7" t="s">
        <v>27</v>
      </c>
      <c r="M396" s="7" t="s">
        <v>73</v>
      </c>
      <c r="N396" s="4" t="b">
        <v>1</v>
      </c>
      <c r="O396" s="4">
        <v>42</v>
      </c>
      <c r="P396" s="7" t="s">
        <v>63</v>
      </c>
      <c r="Q396" s="4">
        <v>9</v>
      </c>
      <c r="R396" s="4">
        <v>2</v>
      </c>
      <c r="S396" s="4">
        <v>4333</v>
      </c>
      <c r="T396" s="8" t="s">
        <v>51</v>
      </c>
      <c r="U396" t="str">
        <f>IF(OR(E396&lt;'Q1'!$E$13,E396&gt;'Q1'!$E$14),"Outliers","Not an Outliers")</f>
        <v>Not an Outliers</v>
      </c>
      <c r="V396" t="str">
        <f t="shared" si="6"/>
        <v>Weekday</v>
      </c>
    </row>
    <row r="397" spans="1:22" x14ac:dyDescent="0.3">
      <c r="A397" s="24">
        <v>45447</v>
      </c>
      <c r="B397" s="9" t="s">
        <v>75</v>
      </c>
      <c r="C397" s="9" t="s">
        <v>56</v>
      </c>
      <c r="D397" s="9" t="s">
        <v>57</v>
      </c>
      <c r="E397" s="5">
        <v>1000</v>
      </c>
      <c r="F397" s="5" t="b">
        <v>0</v>
      </c>
      <c r="G397" s="9" t="s">
        <v>34</v>
      </c>
      <c r="H397" s="9" t="s">
        <v>35</v>
      </c>
      <c r="I397" s="9" t="s">
        <v>47</v>
      </c>
      <c r="J397" s="9" t="s">
        <v>43</v>
      </c>
      <c r="K397" s="5">
        <v>3</v>
      </c>
      <c r="L397" s="9" t="s">
        <v>27</v>
      </c>
      <c r="M397" s="9" t="s">
        <v>66</v>
      </c>
      <c r="N397" s="5" t="b">
        <v>0</v>
      </c>
      <c r="O397" s="5">
        <v>5</v>
      </c>
      <c r="P397" s="9" t="s">
        <v>50</v>
      </c>
      <c r="Q397" s="5">
        <v>7</v>
      </c>
      <c r="R397" s="5">
        <v>2</v>
      </c>
      <c r="S397" s="5">
        <v>856</v>
      </c>
      <c r="T397" s="10" t="s">
        <v>30</v>
      </c>
      <c r="U397" t="str">
        <f>IF(OR(E397&lt;'Q1'!$E$13,E397&gt;'Q1'!$E$14),"Outliers","Not an Outliers")</f>
        <v>Not an Outliers</v>
      </c>
      <c r="V397" t="str">
        <f t="shared" si="6"/>
        <v>Weekday</v>
      </c>
    </row>
    <row r="398" spans="1:22" x14ac:dyDescent="0.3">
      <c r="A398" s="23">
        <v>45448</v>
      </c>
      <c r="B398" s="7" t="s">
        <v>75</v>
      </c>
      <c r="C398" s="7" t="s">
        <v>32</v>
      </c>
      <c r="D398" s="7" t="s">
        <v>33</v>
      </c>
      <c r="E398" s="4">
        <v>2771</v>
      </c>
      <c r="F398" s="4" t="b">
        <v>1</v>
      </c>
      <c r="G398" s="7" t="s">
        <v>40</v>
      </c>
      <c r="H398" s="7" t="s">
        <v>35</v>
      </c>
      <c r="I398" s="7" t="s">
        <v>47</v>
      </c>
      <c r="J398" s="7" t="s">
        <v>54</v>
      </c>
      <c r="K398" s="4">
        <v>2</v>
      </c>
      <c r="L398" s="7" t="s">
        <v>36</v>
      </c>
      <c r="M398" s="7" t="s">
        <v>58</v>
      </c>
      <c r="N398" s="4" t="b">
        <v>0</v>
      </c>
      <c r="O398" s="4">
        <v>66</v>
      </c>
      <c r="P398" s="7" t="s">
        <v>67</v>
      </c>
      <c r="Q398" s="4">
        <v>7</v>
      </c>
      <c r="R398" s="4">
        <v>2</v>
      </c>
      <c r="S398" s="4">
        <v>4424</v>
      </c>
      <c r="T398" s="8" t="s">
        <v>51</v>
      </c>
      <c r="U398" t="str">
        <f>IF(OR(E398&lt;'Q1'!$E$13,E398&gt;'Q1'!$E$14),"Outliers","Not an Outliers")</f>
        <v>Not an Outliers</v>
      </c>
      <c r="V398" t="str">
        <f t="shared" si="6"/>
        <v>Weekday</v>
      </c>
    </row>
    <row r="399" spans="1:22" x14ac:dyDescent="0.3">
      <c r="A399" s="24">
        <v>45448</v>
      </c>
      <c r="B399" s="9" t="s">
        <v>71</v>
      </c>
      <c r="C399" s="9" t="s">
        <v>45</v>
      </c>
      <c r="D399" s="9" t="s">
        <v>46</v>
      </c>
      <c r="E399" s="5">
        <v>4308</v>
      </c>
      <c r="F399" s="5" t="b">
        <v>1</v>
      </c>
      <c r="G399" s="9" t="s">
        <v>23</v>
      </c>
      <c r="H399" s="9" t="s">
        <v>35</v>
      </c>
      <c r="I399" s="9" t="s">
        <v>59</v>
      </c>
      <c r="J399" s="9" t="s">
        <v>54</v>
      </c>
      <c r="K399" s="5">
        <v>5</v>
      </c>
      <c r="L399" s="9" t="s">
        <v>27</v>
      </c>
      <c r="M399" s="9" t="s">
        <v>58</v>
      </c>
      <c r="N399" s="5" t="b">
        <v>0</v>
      </c>
      <c r="O399" s="5">
        <v>120</v>
      </c>
      <c r="P399" s="9" t="s">
        <v>50</v>
      </c>
      <c r="Q399" s="5">
        <v>5</v>
      </c>
      <c r="R399" s="5">
        <v>2</v>
      </c>
      <c r="S399" s="5">
        <v>2210</v>
      </c>
      <c r="T399" s="10" t="s">
        <v>38</v>
      </c>
      <c r="U399" t="str">
        <f>IF(OR(E399&lt;'Q1'!$E$13,E399&gt;'Q1'!$E$14),"Outliers","Not an Outliers")</f>
        <v>Not an Outliers</v>
      </c>
      <c r="V399" t="str">
        <f t="shared" si="6"/>
        <v>Weekday</v>
      </c>
    </row>
    <row r="400" spans="1:22" x14ac:dyDescent="0.3">
      <c r="A400" s="23">
        <v>45448</v>
      </c>
      <c r="B400" s="7" t="s">
        <v>62</v>
      </c>
      <c r="C400" s="7" t="s">
        <v>32</v>
      </c>
      <c r="D400" s="7" t="s">
        <v>33</v>
      </c>
      <c r="E400" s="4">
        <v>4806</v>
      </c>
      <c r="F400" s="4" t="b">
        <v>0</v>
      </c>
      <c r="G400" s="7" t="s">
        <v>23</v>
      </c>
      <c r="H400" s="7" t="s">
        <v>41</v>
      </c>
      <c r="I400" s="7" t="s">
        <v>59</v>
      </c>
      <c r="J400" s="7" t="s">
        <v>26</v>
      </c>
      <c r="K400" s="4">
        <v>5</v>
      </c>
      <c r="L400" s="7" t="s">
        <v>27</v>
      </c>
      <c r="M400" s="7" t="s">
        <v>28</v>
      </c>
      <c r="N400" s="4" t="b">
        <v>1</v>
      </c>
      <c r="O400" s="4">
        <v>103</v>
      </c>
      <c r="P400" s="7" t="s">
        <v>50</v>
      </c>
      <c r="Q400" s="4">
        <v>9</v>
      </c>
      <c r="R400" s="4">
        <v>3</v>
      </c>
      <c r="S400" s="4">
        <v>2114</v>
      </c>
      <c r="T400" s="8" t="s">
        <v>38</v>
      </c>
      <c r="U400" t="str">
        <f>IF(OR(E400&lt;'Q1'!$E$13,E400&gt;'Q1'!$E$14),"Outliers","Not an Outliers")</f>
        <v>Not an Outliers</v>
      </c>
      <c r="V400" t="str">
        <f t="shared" si="6"/>
        <v>Weekday</v>
      </c>
    </row>
    <row r="401" spans="1:22" x14ac:dyDescent="0.3">
      <c r="A401" s="24">
        <v>45448</v>
      </c>
      <c r="B401" s="9" t="s">
        <v>20</v>
      </c>
      <c r="C401" s="9" t="s">
        <v>32</v>
      </c>
      <c r="D401" s="9" t="s">
        <v>53</v>
      </c>
      <c r="E401" s="5">
        <v>3873</v>
      </c>
      <c r="F401" s="5" t="b">
        <v>0</v>
      </c>
      <c r="G401" s="9" t="s">
        <v>65</v>
      </c>
      <c r="H401" s="9" t="s">
        <v>70</v>
      </c>
      <c r="I401" s="9" t="s">
        <v>59</v>
      </c>
      <c r="J401" s="9" t="s">
        <v>26</v>
      </c>
      <c r="K401" s="5">
        <v>4</v>
      </c>
      <c r="L401" s="9" t="s">
        <v>49</v>
      </c>
      <c r="M401" s="9" t="s">
        <v>58</v>
      </c>
      <c r="N401" s="5" t="b">
        <v>1</v>
      </c>
      <c r="O401" s="5">
        <v>50</v>
      </c>
      <c r="P401" s="9" t="s">
        <v>67</v>
      </c>
      <c r="Q401" s="5">
        <v>4</v>
      </c>
      <c r="R401" s="5">
        <v>3</v>
      </c>
      <c r="S401" s="5">
        <v>4108</v>
      </c>
      <c r="T401" s="10" t="s">
        <v>30</v>
      </c>
      <c r="U401" t="str">
        <f>IF(OR(E401&lt;'Q1'!$E$13,E401&gt;'Q1'!$E$14),"Outliers","Not an Outliers")</f>
        <v>Not an Outliers</v>
      </c>
      <c r="V401" t="str">
        <f t="shared" si="6"/>
        <v>Weekday</v>
      </c>
    </row>
    <row r="402" spans="1:22" x14ac:dyDescent="0.3">
      <c r="A402" s="23">
        <v>45448</v>
      </c>
      <c r="B402" s="7" t="s">
        <v>75</v>
      </c>
      <c r="C402" s="7" t="s">
        <v>45</v>
      </c>
      <c r="D402" s="7" t="s">
        <v>33</v>
      </c>
      <c r="E402" s="4">
        <v>3508</v>
      </c>
      <c r="F402" s="4" t="b">
        <v>0</v>
      </c>
      <c r="G402" s="7" t="s">
        <v>23</v>
      </c>
      <c r="H402" s="7" t="s">
        <v>41</v>
      </c>
      <c r="I402" s="7" t="s">
        <v>47</v>
      </c>
      <c r="J402" s="7" t="s">
        <v>54</v>
      </c>
      <c r="K402" s="4">
        <v>4</v>
      </c>
      <c r="L402" s="7" t="s">
        <v>49</v>
      </c>
      <c r="M402" s="7" t="s">
        <v>28</v>
      </c>
      <c r="N402" s="4" t="b">
        <v>0</v>
      </c>
      <c r="O402" s="4">
        <v>86</v>
      </c>
      <c r="P402" s="7" t="s">
        <v>50</v>
      </c>
      <c r="Q402" s="4">
        <v>9</v>
      </c>
      <c r="R402" s="4">
        <v>3</v>
      </c>
      <c r="S402" s="4">
        <v>4514</v>
      </c>
      <c r="T402" s="8" t="s">
        <v>38</v>
      </c>
      <c r="U402" t="str">
        <f>IF(OR(E402&lt;'Q1'!$E$13,E402&gt;'Q1'!$E$14),"Outliers","Not an Outliers")</f>
        <v>Not an Outliers</v>
      </c>
      <c r="V402" t="str">
        <f t="shared" si="6"/>
        <v>Weekday</v>
      </c>
    </row>
    <row r="403" spans="1:22" x14ac:dyDescent="0.3">
      <c r="A403" s="24">
        <v>45448</v>
      </c>
      <c r="B403" s="9" t="s">
        <v>31</v>
      </c>
      <c r="C403" s="9" t="s">
        <v>56</v>
      </c>
      <c r="D403" s="9" t="s">
        <v>46</v>
      </c>
      <c r="E403" s="5">
        <v>1523</v>
      </c>
      <c r="F403" s="5" t="b">
        <v>0</v>
      </c>
      <c r="G403" s="9" t="s">
        <v>40</v>
      </c>
      <c r="H403" s="9" t="s">
        <v>35</v>
      </c>
      <c r="I403" s="9" t="s">
        <v>47</v>
      </c>
      <c r="J403" s="9" t="s">
        <v>43</v>
      </c>
      <c r="K403" s="5">
        <v>2</v>
      </c>
      <c r="L403" s="9" t="s">
        <v>27</v>
      </c>
      <c r="M403" s="9" t="s">
        <v>28</v>
      </c>
      <c r="N403" s="5" t="b">
        <v>0</v>
      </c>
      <c r="O403" s="5">
        <v>6</v>
      </c>
      <c r="P403" s="9" t="s">
        <v>67</v>
      </c>
      <c r="Q403" s="5">
        <v>8</v>
      </c>
      <c r="R403" s="5">
        <v>1</v>
      </c>
      <c r="S403" s="5">
        <v>3878</v>
      </c>
      <c r="T403" s="10" t="s">
        <v>51</v>
      </c>
      <c r="U403" t="str">
        <f>IF(OR(E403&lt;'Q1'!$E$13,E403&gt;'Q1'!$E$14),"Outliers","Not an Outliers")</f>
        <v>Not an Outliers</v>
      </c>
      <c r="V403" t="str">
        <f t="shared" si="6"/>
        <v>Weekday</v>
      </c>
    </row>
    <row r="404" spans="1:22" x14ac:dyDescent="0.3">
      <c r="A404" s="23">
        <v>45449</v>
      </c>
      <c r="B404" s="7" t="s">
        <v>62</v>
      </c>
      <c r="C404" s="7" t="s">
        <v>32</v>
      </c>
      <c r="D404" s="7" t="s">
        <v>33</v>
      </c>
      <c r="E404" s="4">
        <v>4783</v>
      </c>
      <c r="F404" s="4" t="b">
        <v>0</v>
      </c>
      <c r="G404" s="7" t="s">
        <v>23</v>
      </c>
      <c r="H404" s="7" t="s">
        <v>70</v>
      </c>
      <c r="I404" s="7" t="s">
        <v>42</v>
      </c>
      <c r="J404" s="7" t="s">
        <v>54</v>
      </c>
      <c r="K404" s="4">
        <v>1</v>
      </c>
      <c r="L404" s="7" t="s">
        <v>49</v>
      </c>
      <c r="M404" s="7" t="s">
        <v>73</v>
      </c>
      <c r="N404" s="4" t="b">
        <v>1</v>
      </c>
      <c r="O404" s="4">
        <v>114</v>
      </c>
      <c r="P404" s="7" t="s">
        <v>63</v>
      </c>
      <c r="Q404" s="4">
        <v>8</v>
      </c>
      <c r="R404" s="4">
        <v>1</v>
      </c>
      <c r="S404" s="4">
        <v>4969</v>
      </c>
      <c r="T404" s="8" t="s">
        <v>38</v>
      </c>
      <c r="U404" t="str">
        <f>IF(OR(E404&lt;'Q1'!$E$13,E404&gt;'Q1'!$E$14),"Outliers","Not an Outliers")</f>
        <v>Not an Outliers</v>
      </c>
      <c r="V404" t="str">
        <f t="shared" si="6"/>
        <v>Weekday</v>
      </c>
    </row>
    <row r="405" spans="1:22" x14ac:dyDescent="0.3">
      <c r="A405" s="24">
        <v>45449</v>
      </c>
      <c r="B405" s="9" t="s">
        <v>71</v>
      </c>
      <c r="C405" s="9" t="s">
        <v>21</v>
      </c>
      <c r="D405" s="9" t="s">
        <v>57</v>
      </c>
      <c r="E405" s="5">
        <v>1000</v>
      </c>
      <c r="F405" s="5" t="b">
        <v>0</v>
      </c>
      <c r="G405" s="9" t="s">
        <v>64</v>
      </c>
      <c r="H405" s="9" t="s">
        <v>41</v>
      </c>
      <c r="I405" s="9" t="s">
        <v>59</v>
      </c>
      <c r="J405" s="9" t="s">
        <v>54</v>
      </c>
      <c r="K405" s="5">
        <v>4</v>
      </c>
      <c r="L405" s="9" t="s">
        <v>27</v>
      </c>
      <c r="M405" s="9" t="s">
        <v>28</v>
      </c>
      <c r="N405" s="5" t="b">
        <v>1</v>
      </c>
      <c r="O405" s="5">
        <v>102</v>
      </c>
      <c r="P405" s="9" t="s">
        <v>37</v>
      </c>
      <c r="Q405" s="5">
        <v>3</v>
      </c>
      <c r="R405" s="5">
        <v>1</v>
      </c>
      <c r="S405" s="5">
        <v>797</v>
      </c>
      <c r="T405" s="10" t="s">
        <v>38</v>
      </c>
      <c r="U405" t="str">
        <f>IF(OR(E405&lt;'Q1'!$E$13,E405&gt;'Q1'!$E$14),"Outliers","Not an Outliers")</f>
        <v>Not an Outliers</v>
      </c>
      <c r="V405" t="str">
        <f t="shared" si="6"/>
        <v>Weekday</v>
      </c>
    </row>
    <row r="406" spans="1:22" x14ac:dyDescent="0.3">
      <c r="A406" s="23">
        <v>45450</v>
      </c>
      <c r="B406" s="7" t="s">
        <v>72</v>
      </c>
      <c r="C406" s="7" t="s">
        <v>56</v>
      </c>
      <c r="D406" s="7" t="s">
        <v>46</v>
      </c>
      <c r="E406" s="4">
        <v>18340</v>
      </c>
      <c r="F406" s="4" t="b">
        <v>0</v>
      </c>
      <c r="G406" s="7" t="s">
        <v>34</v>
      </c>
      <c r="H406" s="7" t="s">
        <v>70</v>
      </c>
      <c r="I406" s="7" t="s">
        <v>47</v>
      </c>
      <c r="J406" s="7" t="s">
        <v>48</v>
      </c>
      <c r="K406" s="4">
        <v>3</v>
      </c>
      <c r="L406" s="7" t="s">
        <v>49</v>
      </c>
      <c r="M406" s="7" t="s">
        <v>73</v>
      </c>
      <c r="N406" s="4" t="b">
        <v>0</v>
      </c>
      <c r="O406" s="4">
        <v>116</v>
      </c>
      <c r="P406" s="7" t="s">
        <v>63</v>
      </c>
      <c r="Q406" s="4">
        <v>4</v>
      </c>
      <c r="R406" s="4">
        <v>1</v>
      </c>
      <c r="S406" s="4">
        <v>3391</v>
      </c>
      <c r="T406" s="8" t="s">
        <v>38</v>
      </c>
      <c r="U406" t="str">
        <f>IF(OR(E406&lt;'Q1'!$E$13,E406&gt;'Q1'!$E$14),"Outliers","Not an Outliers")</f>
        <v>Outliers</v>
      </c>
      <c r="V406" t="str">
        <f t="shared" si="6"/>
        <v>Weekday</v>
      </c>
    </row>
    <row r="407" spans="1:22" x14ac:dyDescent="0.3">
      <c r="A407" s="24">
        <v>45450</v>
      </c>
      <c r="B407" s="9" t="s">
        <v>69</v>
      </c>
      <c r="C407" s="9" t="s">
        <v>32</v>
      </c>
      <c r="D407" s="9" t="s">
        <v>57</v>
      </c>
      <c r="E407" s="5">
        <v>1000</v>
      </c>
      <c r="F407" s="5" t="b">
        <v>0</v>
      </c>
      <c r="G407" s="9" t="s">
        <v>34</v>
      </c>
      <c r="H407" s="9" t="s">
        <v>35</v>
      </c>
      <c r="I407" s="9" t="s">
        <v>59</v>
      </c>
      <c r="J407" s="9" t="s">
        <v>48</v>
      </c>
      <c r="K407" s="5">
        <v>3</v>
      </c>
      <c r="L407" s="9" t="s">
        <v>27</v>
      </c>
      <c r="M407" s="9" t="s">
        <v>58</v>
      </c>
      <c r="N407" s="5" t="b">
        <v>1</v>
      </c>
      <c r="O407" s="5">
        <v>34</v>
      </c>
      <c r="P407" s="9" t="s">
        <v>50</v>
      </c>
      <c r="Q407" s="5">
        <v>6</v>
      </c>
      <c r="R407" s="5">
        <v>2</v>
      </c>
      <c r="S407" s="5">
        <v>698</v>
      </c>
      <c r="T407" s="10" t="s">
        <v>30</v>
      </c>
      <c r="U407" t="str">
        <f>IF(OR(E407&lt;'Q1'!$E$13,E407&gt;'Q1'!$E$14),"Outliers","Not an Outliers")</f>
        <v>Not an Outliers</v>
      </c>
      <c r="V407" t="str">
        <f t="shared" si="6"/>
        <v>Weekday</v>
      </c>
    </row>
    <row r="408" spans="1:22" x14ac:dyDescent="0.3">
      <c r="A408" s="23">
        <v>45450</v>
      </c>
      <c r="B408" s="7" t="s">
        <v>20</v>
      </c>
      <c r="C408" s="7" t="s">
        <v>45</v>
      </c>
      <c r="D408" s="7" t="s">
        <v>57</v>
      </c>
      <c r="E408" s="4">
        <v>1000</v>
      </c>
      <c r="F408" s="4" t="b">
        <v>1</v>
      </c>
      <c r="G408" s="7" t="s">
        <v>34</v>
      </c>
      <c r="H408" s="7" t="s">
        <v>24</v>
      </c>
      <c r="I408" s="7" t="s">
        <v>42</v>
      </c>
      <c r="J408" s="7" t="s">
        <v>48</v>
      </c>
      <c r="K408" s="4">
        <v>5</v>
      </c>
      <c r="L408" s="7" t="s">
        <v>49</v>
      </c>
      <c r="M408" s="7" t="s">
        <v>66</v>
      </c>
      <c r="N408" s="4" t="b">
        <v>0</v>
      </c>
      <c r="O408" s="4">
        <v>89</v>
      </c>
      <c r="P408" s="7" t="s">
        <v>50</v>
      </c>
      <c r="Q408" s="4">
        <v>3</v>
      </c>
      <c r="R408" s="4">
        <v>2</v>
      </c>
      <c r="S408" s="4">
        <v>4222</v>
      </c>
      <c r="T408" s="8" t="s">
        <v>30</v>
      </c>
      <c r="U408" t="str">
        <f>IF(OR(E408&lt;'Q1'!$E$13,E408&gt;'Q1'!$E$14),"Outliers","Not an Outliers")</f>
        <v>Not an Outliers</v>
      </c>
      <c r="V408" t="str">
        <f t="shared" si="6"/>
        <v>Weekday</v>
      </c>
    </row>
    <row r="409" spans="1:22" x14ac:dyDescent="0.3">
      <c r="A409" s="24">
        <v>45450</v>
      </c>
      <c r="B409" s="9" t="s">
        <v>68</v>
      </c>
      <c r="C409" s="9" t="s">
        <v>32</v>
      </c>
      <c r="D409" s="9" t="s">
        <v>57</v>
      </c>
      <c r="E409" s="5">
        <v>1000</v>
      </c>
      <c r="F409" s="5" t="b">
        <v>0</v>
      </c>
      <c r="G409" s="9" t="s">
        <v>40</v>
      </c>
      <c r="H409" s="9" t="s">
        <v>70</v>
      </c>
      <c r="I409" s="9" t="s">
        <v>47</v>
      </c>
      <c r="J409" s="9" t="s">
        <v>54</v>
      </c>
      <c r="K409" s="5">
        <v>2</v>
      </c>
      <c r="L409" s="9" t="s">
        <v>36</v>
      </c>
      <c r="M409" s="9" t="s">
        <v>66</v>
      </c>
      <c r="N409" s="5" t="b">
        <v>0</v>
      </c>
      <c r="O409" s="5">
        <v>102</v>
      </c>
      <c r="P409" s="9" t="s">
        <v>67</v>
      </c>
      <c r="Q409" s="5">
        <v>9</v>
      </c>
      <c r="R409" s="5">
        <v>2</v>
      </c>
      <c r="S409" s="5">
        <v>2821</v>
      </c>
      <c r="T409" s="10" t="s">
        <v>51</v>
      </c>
      <c r="U409" t="str">
        <f>IF(OR(E409&lt;'Q1'!$E$13,E409&gt;'Q1'!$E$14),"Outliers","Not an Outliers")</f>
        <v>Not an Outliers</v>
      </c>
      <c r="V409" t="str">
        <f t="shared" si="6"/>
        <v>Weekday</v>
      </c>
    </row>
    <row r="410" spans="1:22" x14ac:dyDescent="0.3">
      <c r="A410" s="23">
        <v>45450</v>
      </c>
      <c r="B410" s="7" t="s">
        <v>75</v>
      </c>
      <c r="C410" s="7" t="s">
        <v>60</v>
      </c>
      <c r="D410" s="7" t="s">
        <v>22</v>
      </c>
      <c r="E410" s="4">
        <v>9901</v>
      </c>
      <c r="F410" s="4" t="b">
        <v>0</v>
      </c>
      <c r="G410" s="7" t="s">
        <v>34</v>
      </c>
      <c r="H410" s="7" t="s">
        <v>41</v>
      </c>
      <c r="I410" s="7" t="s">
        <v>47</v>
      </c>
      <c r="J410" s="7" t="s">
        <v>26</v>
      </c>
      <c r="K410" s="4">
        <v>3</v>
      </c>
      <c r="L410" s="7" t="s">
        <v>27</v>
      </c>
      <c r="M410" s="7" t="s">
        <v>58</v>
      </c>
      <c r="N410" s="4" t="b">
        <v>0</v>
      </c>
      <c r="O410" s="4">
        <v>69</v>
      </c>
      <c r="P410" s="7" t="s">
        <v>63</v>
      </c>
      <c r="Q410" s="4">
        <v>8</v>
      </c>
      <c r="R410" s="4">
        <v>1</v>
      </c>
      <c r="S410" s="4">
        <v>3617</v>
      </c>
      <c r="T410" s="8" t="s">
        <v>30</v>
      </c>
      <c r="U410" t="str">
        <f>IF(OR(E410&lt;'Q1'!$E$13,E410&gt;'Q1'!$E$14),"Outliers","Not an Outliers")</f>
        <v>Not an Outliers</v>
      </c>
      <c r="V410" t="str">
        <f t="shared" si="6"/>
        <v>Weekday</v>
      </c>
    </row>
    <row r="411" spans="1:22" x14ac:dyDescent="0.3">
      <c r="A411" s="24">
        <v>45451</v>
      </c>
      <c r="B411" s="9" t="s">
        <v>69</v>
      </c>
      <c r="C411" s="9" t="s">
        <v>21</v>
      </c>
      <c r="D411" s="9" t="s">
        <v>22</v>
      </c>
      <c r="E411" s="5">
        <v>6399</v>
      </c>
      <c r="F411" s="5" t="b">
        <v>0</v>
      </c>
      <c r="G411" s="9" t="s">
        <v>40</v>
      </c>
      <c r="H411" s="9" t="s">
        <v>70</v>
      </c>
      <c r="I411" s="9" t="s">
        <v>59</v>
      </c>
      <c r="J411" s="9" t="s">
        <v>54</v>
      </c>
      <c r="K411" s="5">
        <v>5</v>
      </c>
      <c r="L411" s="9" t="s">
        <v>36</v>
      </c>
      <c r="M411" s="9" t="s">
        <v>28</v>
      </c>
      <c r="N411" s="5" t="b">
        <v>1</v>
      </c>
      <c r="O411" s="5">
        <v>32</v>
      </c>
      <c r="P411" s="9" t="s">
        <v>67</v>
      </c>
      <c r="Q411" s="5">
        <v>10</v>
      </c>
      <c r="R411" s="5">
        <v>1</v>
      </c>
      <c r="S411" s="5">
        <v>2463</v>
      </c>
      <c r="T411" s="10" t="s">
        <v>38</v>
      </c>
      <c r="U411" t="str">
        <f>IF(OR(E411&lt;'Q1'!$E$13,E411&gt;'Q1'!$E$14),"Outliers","Not an Outliers")</f>
        <v>Not an Outliers</v>
      </c>
      <c r="V411" t="str">
        <f t="shared" si="6"/>
        <v>Weekend</v>
      </c>
    </row>
    <row r="412" spans="1:22" x14ac:dyDescent="0.3">
      <c r="A412" s="23">
        <v>45451</v>
      </c>
      <c r="B412" s="7" t="s">
        <v>39</v>
      </c>
      <c r="C412" s="7" t="s">
        <v>45</v>
      </c>
      <c r="D412" s="7" t="s">
        <v>46</v>
      </c>
      <c r="E412" s="4">
        <v>3306</v>
      </c>
      <c r="F412" s="4" t="b">
        <v>1</v>
      </c>
      <c r="G412" s="7" t="s">
        <v>65</v>
      </c>
      <c r="H412" s="7" t="s">
        <v>24</v>
      </c>
      <c r="I412" s="7" t="s">
        <v>25</v>
      </c>
      <c r="J412" s="7" t="s">
        <v>48</v>
      </c>
      <c r="K412" s="4">
        <v>1</v>
      </c>
      <c r="L412" s="7" t="s">
        <v>36</v>
      </c>
      <c r="M412" s="7" t="s">
        <v>28</v>
      </c>
      <c r="N412" s="4" t="b">
        <v>0</v>
      </c>
      <c r="O412" s="4">
        <v>115</v>
      </c>
      <c r="P412" s="7" t="s">
        <v>37</v>
      </c>
      <c r="Q412" s="4">
        <v>7</v>
      </c>
      <c r="R412" s="4">
        <v>1</v>
      </c>
      <c r="S412" s="4">
        <v>3706</v>
      </c>
      <c r="T412" s="8" t="s">
        <v>30</v>
      </c>
      <c r="U412" t="str">
        <f>IF(OR(E412&lt;'Q1'!$E$13,E412&gt;'Q1'!$E$14),"Outliers","Not an Outliers")</f>
        <v>Not an Outliers</v>
      </c>
      <c r="V412" t="str">
        <f t="shared" si="6"/>
        <v>Weekend</v>
      </c>
    </row>
    <row r="413" spans="1:22" x14ac:dyDescent="0.3">
      <c r="A413" s="24">
        <v>45451</v>
      </c>
      <c r="B413" s="9" t="s">
        <v>74</v>
      </c>
      <c r="C413" s="9" t="s">
        <v>45</v>
      </c>
      <c r="D413" s="9" t="s">
        <v>46</v>
      </c>
      <c r="E413" s="5">
        <v>2547</v>
      </c>
      <c r="F413" s="5" t="b">
        <v>0</v>
      </c>
      <c r="G413" s="9" t="s">
        <v>65</v>
      </c>
      <c r="H413" s="9" t="s">
        <v>70</v>
      </c>
      <c r="I413" s="9" t="s">
        <v>47</v>
      </c>
      <c r="J413" s="9" t="s">
        <v>54</v>
      </c>
      <c r="K413" s="5">
        <v>5</v>
      </c>
      <c r="L413" s="9" t="s">
        <v>27</v>
      </c>
      <c r="M413" s="9" t="s">
        <v>66</v>
      </c>
      <c r="N413" s="5" t="b">
        <v>1</v>
      </c>
      <c r="O413" s="5">
        <v>73</v>
      </c>
      <c r="P413" s="9" t="s">
        <v>67</v>
      </c>
      <c r="Q413" s="5">
        <v>6</v>
      </c>
      <c r="R413" s="5">
        <v>3</v>
      </c>
      <c r="S413" s="5">
        <v>1832</v>
      </c>
      <c r="T413" s="10" t="s">
        <v>51</v>
      </c>
      <c r="U413" t="str">
        <f>IF(OR(E413&lt;'Q1'!$E$13,E413&gt;'Q1'!$E$14),"Outliers","Not an Outliers")</f>
        <v>Not an Outliers</v>
      </c>
      <c r="V413" t="str">
        <f t="shared" si="6"/>
        <v>Weekend</v>
      </c>
    </row>
    <row r="414" spans="1:22" x14ac:dyDescent="0.3">
      <c r="A414" s="23">
        <v>45451</v>
      </c>
      <c r="B414" s="7" t="s">
        <v>39</v>
      </c>
      <c r="C414" s="7" t="s">
        <v>32</v>
      </c>
      <c r="D414" s="7" t="s">
        <v>46</v>
      </c>
      <c r="E414" s="4">
        <v>4953</v>
      </c>
      <c r="F414" s="4" t="b">
        <v>0</v>
      </c>
      <c r="G414" s="7" t="s">
        <v>23</v>
      </c>
      <c r="H414" s="7" t="s">
        <v>35</v>
      </c>
      <c r="I414" s="7" t="s">
        <v>42</v>
      </c>
      <c r="J414" s="7" t="s">
        <v>43</v>
      </c>
      <c r="K414" s="4">
        <v>5</v>
      </c>
      <c r="L414" s="7" t="s">
        <v>49</v>
      </c>
      <c r="M414" s="7" t="s">
        <v>28</v>
      </c>
      <c r="N414" s="4" t="b">
        <v>1</v>
      </c>
      <c r="O414" s="4">
        <v>116</v>
      </c>
      <c r="P414" s="7" t="s">
        <v>50</v>
      </c>
      <c r="Q414" s="4">
        <v>1</v>
      </c>
      <c r="R414" s="4">
        <v>2</v>
      </c>
      <c r="S414" s="4">
        <v>1113</v>
      </c>
      <c r="T414" s="8" t="s">
        <v>30</v>
      </c>
      <c r="U414" t="str">
        <f>IF(OR(E414&lt;'Q1'!$E$13,E414&gt;'Q1'!$E$14),"Outliers","Not an Outliers")</f>
        <v>Not an Outliers</v>
      </c>
      <c r="V414" t="str">
        <f t="shared" si="6"/>
        <v>Weekend</v>
      </c>
    </row>
    <row r="415" spans="1:22" x14ac:dyDescent="0.3">
      <c r="A415" s="24">
        <v>45452</v>
      </c>
      <c r="B415" s="9" t="s">
        <v>20</v>
      </c>
      <c r="C415" s="9" t="s">
        <v>60</v>
      </c>
      <c r="D415" s="9" t="s">
        <v>61</v>
      </c>
      <c r="E415" s="5">
        <v>1000</v>
      </c>
      <c r="F415" s="5" t="b">
        <v>0</v>
      </c>
      <c r="G415" s="9" t="s">
        <v>23</v>
      </c>
      <c r="H415" s="9" t="s">
        <v>24</v>
      </c>
      <c r="I415" s="9" t="s">
        <v>25</v>
      </c>
      <c r="J415" s="9" t="s">
        <v>54</v>
      </c>
      <c r="K415" s="5">
        <v>1</v>
      </c>
      <c r="L415" s="9" t="s">
        <v>49</v>
      </c>
      <c r="M415" s="9" t="s">
        <v>66</v>
      </c>
      <c r="N415" s="5" t="b">
        <v>0</v>
      </c>
      <c r="O415" s="5">
        <v>49</v>
      </c>
      <c r="P415" s="9" t="s">
        <v>50</v>
      </c>
      <c r="Q415" s="5">
        <v>7</v>
      </c>
      <c r="R415" s="5">
        <v>3</v>
      </c>
      <c r="S415" s="5">
        <v>3962</v>
      </c>
      <c r="T415" s="10" t="s">
        <v>30</v>
      </c>
      <c r="U415" t="str">
        <f>IF(OR(E415&lt;'Q1'!$E$13,E415&gt;'Q1'!$E$14),"Outliers","Not an Outliers")</f>
        <v>Not an Outliers</v>
      </c>
      <c r="V415" t="str">
        <f t="shared" si="6"/>
        <v>Weekend</v>
      </c>
    </row>
    <row r="416" spans="1:22" x14ac:dyDescent="0.3">
      <c r="A416" s="23">
        <v>45452</v>
      </c>
      <c r="B416" s="7" t="s">
        <v>62</v>
      </c>
      <c r="C416" s="7" t="s">
        <v>60</v>
      </c>
      <c r="D416" s="7" t="s">
        <v>33</v>
      </c>
      <c r="E416" s="4">
        <v>4193</v>
      </c>
      <c r="F416" s="4" t="b">
        <v>0</v>
      </c>
      <c r="G416" s="7" t="s">
        <v>34</v>
      </c>
      <c r="H416" s="7" t="s">
        <v>70</v>
      </c>
      <c r="I416" s="7" t="s">
        <v>59</v>
      </c>
      <c r="J416" s="7" t="s">
        <v>48</v>
      </c>
      <c r="K416" s="4">
        <v>3</v>
      </c>
      <c r="L416" s="7" t="s">
        <v>49</v>
      </c>
      <c r="M416" s="7" t="s">
        <v>73</v>
      </c>
      <c r="N416" s="4" t="b">
        <v>1</v>
      </c>
      <c r="O416" s="4">
        <v>68</v>
      </c>
      <c r="P416" s="7" t="s">
        <v>37</v>
      </c>
      <c r="Q416" s="4">
        <v>8</v>
      </c>
      <c r="R416" s="4">
        <v>1</v>
      </c>
      <c r="S416" s="4">
        <v>3225</v>
      </c>
      <c r="T416" s="8" t="s">
        <v>30</v>
      </c>
      <c r="U416" t="str">
        <f>IF(OR(E416&lt;'Q1'!$E$13,E416&gt;'Q1'!$E$14),"Outliers","Not an Outliers")</f>
        <v>Not an Outliers</v>
      </c>
      <c r="V416" t="str">
        <f t="shared" si="6"/>
        <v>Weekend</v>
      </c>
    </row>
    <row r="417" spans="1:22" x14ac:dyDescent="0.3">
      <c r="A417" s="24">
        <v>45452</v>
      </c>
      <c r="B417" s="9" t="s">
        <v>74</v>
      </c>
      <c r="C417" s="9" t="s">
        <v>60</v>
      </c>
      <c r="D417" s="9" t="s">
        <v>22</v>
      </c>
      <c r="E417" s="5">
        <v>8376</v>
      </c>
      <c r="F417" s="5" t="b">
        <v>0</v>
      </c>
      <c r="G417" s="9" t="s">
        <v>34</v>
      </c>
      <c r="H417" s="9" t="s">
        <v>35</v>
      </c>
      <c r="I417" s="9" t="s">
        <v>25</v>
      </c>
      <c r="J417" s="9" t="s">
        <v>26</v>
      </c>
      <c r="K417" s="5">
        <v>1</v>
      </c>
      <c r="L417" s="9" t="s">
        <v>49</v>
      </c>
      <c r="M417" s="9" t="s">
        <v>58</v>
      </c>
      <c r="N417" s="5" t="b">
        <v>0</v>
      </c>
      <c r="O417" s="5">
        <v>33</v>
      </c>
      <c r="P417" s="9" t="s">
        <v>37</v>
      </c>
      <c r="Q417" s="5">
        <v>9</v>
      </c>
      <c r="R417" s="5">
        <v>2</v>
      </c>
      <c r="S417" s="5">
        <v>3103</v>
      </c>
      <c r="T417" s="10" t="s">
        <v>30</v>
      </c>
      <c r="U417" t="str">
        <f>IF(OR(E417&lt;'Q1'!$E$13,E417&gt;'Q1'!$E$14),"Outliers","Not an Outliers")</f>
        <v>Not an Outliers</v>
      </c>
      <c r="V417" t="str">
        <f t="shared" si="6"/>
        <v>Weekend</v>
      </c>
    </row>
    <row r="418" spans="1:22" x14ac:dyDescent="0.3">
      <c r="A418" s="23">
        <v>45453</v>
      </c>
      <c r="B418" s="7" t="s">
        <v>44</v>
      </c>
      <c r="C418" s="7" t="s">
        <v>60</v>
      </c>
      <c r="D418" s="7" t="s">
        <v>22</v>
      </c>
      <c r="E418" s="4">
        <v>9434</v>
      </c>
      <c r="F418" s="4" t="b">
        <v>0</v>
      </c>
      <c r="G418" s="7" t="s">
        <v>40</v>
      </c>
      <c r="H418" s="7" t="s">
        <v>24</v>
      </c>
      <c r="I418" s="7" t="s">
        <v>47</v>
      </c>
      <c r="J418" s="7" t="s">
        <v>54</v>
      </c>
      <c r="K418" s="4">
        <v>2</v>
      </c>
      <c r="L418" s="7" t="s">
        <v>49</v>
      </c>
      <c r="M418" s="7" t="s">
        <v>66</v>
      </c>
      <c r="N418" s="4" t="b">
        <v>0</v>
      </c>
      <c r="O418" s="4">
        <v>58</v>
      </c>
      <c r="P418" s="7" t="s">
        <v>67</v>
      </c>
      <c r="Q418" s="4">
        <v>7</v>
      </c>
      <c r="R418" s="4">
        <v>2</v>
      </c>
      <c r="S418" s="4">
        <v>3998</v>
      </c>
      <c r="T418" s="8" t="s">
        <v>51</v>
      </c>
      <c r="U418" t="str">
        <f>IF(OR(E418&lt;'Q1'!$E$13,E418&gt;'Q1'!$E$14),"Outliers","Not an Outliers")</f>
        <v>Not an Outliers</v>
      </c>
      <c r="V418" t="str">
        <f t="shared" si="6"/>
        <v>Weekday</v>
      </c>
    </row>
    <row r="419" spans="1:22" x14ac:dyDescent="0.3">
      <c r="A419" s="24">
        <v>45454</v>
      </c>
      <c r="B419" s="9" t="s">
        <v>39</v>
      </c>
      <c r="C419" s="9" t="s">
        <v>56</v>
      </c>
      <c r="D419" s="9" t="s">
        <v>53</v>
      </c>
      <c r="E419" s="5">
        <v>5610</v>
      </c>
      <c r="F419" s="5" t="b">
        <v>0</v>
      </c>
      <c r="G419" s="9" t="s">
        <v>40</v>
      </c>
      <c r="H419" s="9" t="s">
        <v>35</v>
      </c>
      <c r="I419" s="9" t="s">
        <v>47</v>
      </c>
      <c r="J419" s="9" t="s">
        <v>54</v>
      </c>
      <c r="K419" s="5">
        <v>18</v>
      </c>
      <c r="L419" s="9" t="s">
        <v>49</v>
      </c>
      <c r="M419" s="9" t="s">
        <v>73</v>
      </c>
      <c r="N419" s="5" t="b">
        <v>0</v>
      </c>
      <c r="O419" s="5">
        <v>61</v>
      </c>
      <c r="P419" s="9" t="s">
        <v>63</v>
      </c>
      <c r="Q419" s="5">
        <v>5</v>
      </c>
      <c r="R419" s="5">
        <v>3</v>
      </c>
      <c r="S419" s="5">
        <v>4411</v>
      </c>
      <c r="T419" s="10" t="s">
        <v>30</v>
      </c>
      <c r="U419" t="str">
        <f>IF(OR(E419&lt;'Q1'!$E$13,E419&gt;'Q1'!$E$14),"Outliers","Not an Outliers")</f>
        <v>Not an Outliers</v>
      </c>
      <c r="V419" t="str">
        <f t="shared" si="6"/>
        <v>Weekday</v>
      </c>
    </row>
    <row r="420" spans="1:22" x14ac:dyDescent="0.3">
      <c r="A420" s="23">
        <v>45455</v>
      </c>
      <c r="B420" s="7" t="s">
        <v>72</v>
      </c>
      <c r="C420" s="7" t="s">
        <v>32</v>
      </c>
      <c r="D420" s="7" t="s">
        <v>22</v>
      </c>
      <c r="E420" s="4">
        <v>9693</v>
      </c>
      <c r="F420" s="4" t="b">
        <v>0</v>
      </c>
      <c r="G420" s="7" t="s">
        <v>23</v>
      </c>
      <c r="H420" s="7" t="s">
        <v>41</v>
      </c>
      <c r="I420" s="7" t="s">
        <v>47</v>
      </c>
      <c r="J420" s="7" t="s">
        <v>26</v>
      </c>
      <c r="K420" s="4">
        <v>2</v>
      </c>
      <c r="L420" s="7" t="s">
        <v>49</v>
      </c>
      <c r="M420" s="7" t="s">
        <v>73</v>
      </c>
      <c r="N420" s="4" t="b">
        <v>1</v>
      </c>
      <c r="O420" s="4">
        <v>115</v>
      </c>
      <c r="P420" s="7" t="s">
        <v>29</v>
      </c>
      <c r="Q420" s="4">
        <v>4</v>
      </c>
      <c r="R420" s="4">
        <v>3</v>
      </c>
      <c r="S420" s="4">
        <v>1417</v>
      </c>
      <c r="T420" s="8" t="s">
        <v>51</v>
      </c>
      <c r="U420" t="str">
        <f>IF(OR(E420&lt;'Q1'!$E$13,E420&gt;'Q1'!$E$14),"Outliers","Not an Outliers")</f>
        <v>Not an Outliers</v>
      </c>
      <c r="V420" t="str">
        <f t="shared" si="6"/>
        <v>Weekday</v>
      </c>
    </row>
    <row r="421" spans="1:22" x14ac:dyDescent="0.3">
      <c r="A421" s="24">
        <v>45455</v>
      </c>
      <c r="B421" s="9" t="s">
        <v>44</v>
      </c>
      <c r="C421" s="9" t="s">
        <v>56</v>
      </c>
      <c r="D421" s="9" t="s">
        <v>57</v>
      </c>
      <c r="E421" s="5">
        <v>1000</v>
      </c>
      <c r="F421" s="5" t="b">
        <v>1</v>
      </c>
      <c r="G421" s="9" t="s">
        <v>65</v>
      </c>
      <c r="H421" s="9" t="s">
        <v>24</v>
      </c>
      <c r="I421" s="9" t="s">
        <v>42</v>
      </c>
      <c r="J421" s="9" t="s">
        <v>26</v>
      </c>
      <c r="K421" s="5">
        <v>4</v>
      </c>
      <c r="L421" s="9" t="s">
        <v>36</v>
      </c>
      <c r="M421" s="9" t="s">
        <v>58</v>
      </c>
      <c r="N421" s="5" t="b">
        <v>0</v>
      </c>
      <c r="O421" s="5">
        <v>96</v>
      </c>
      <c r="P421" s="9" t="s">
        <v>63</v>
      </c>
      <c r="Q421" s="5">
        <v>10</v>
      </c>
      <c r="R421" s="5">
        <v>1</v>
      </c>
      <c r="S421" s="5">
        <v>2446</v>
      </c>
      <c r="T421" s="10" t="s">
        <v>30</v>
      </c>
      <c r="U421" t="str">
        <f>IF(OR(E421&lt;'Q1'!$E$13,E421&gt;'Q1'!$E$14),"Outliers","Not an Outliers")</f>
        <v>Not an Outliers</v>
      </c>
      <c r="V421" t="str">
        <f t="shared" si="6"/>
        <v>Weekday</v>
      </c>
    </row>
    <row r="422" spans="1:22" x14ac:dyDescent="0.3">
      <c r="A422" s="23">
        <v>45456</v>
      </c>
      <c r="B422" s="7" t="s">
        <v>55</v>
      </c>
      <c r="C422" s="7" t="s">
        <v>45</v>
      </c>
      <c r="D422" s="7" t="s">
        <v>53</v>
      </c>
      <c r="E422" s="4">
        <v>2307</v>
      </c>
      <c r="F422" s="4" t="b">
        <v>1</v>
      </c>
      <c r="G422" s="7" t="s">
        <v>34</v>
      </c>
      <c r="H422" s="7" t="s">
        <v>41</v>
      </c>
      <c r="I422" s="7" t="s">
        <v>59</v>
      </c>
      <c r="J422" s="7" t="s">
        <v>26</v>
      </c>
      <c r="K422" s="4">
        <v>2</v>
      </c>
      <c r="L422" s="7" t="s">
        <v>36</v>
      </c>
      <c r="M422" s="7" t="s">
        <v>58</v>
      </c>
      <c r="N422" s="4" t="b">
        <v>0</v>
      </c>
      <c r="O422" s="4">
        <v>0</v>
      </c>
      <c r="P422" s="7" t="s">
        <v>63</v>
      </c>
      <c r="Q422" s="4">
        <v>4</v>
      </c>
      <c r="R422" s="4">
        <v>1</v>
      </c>
      <c r="S422" s="4">
        <v>4228</v>
      </c>
      <c r="T422" s="8" t="s">
        <v>30</v>
      </c>
      <c r="U422" t="str">
        <f>IF(OR(E422&lt;'Q1'!$E$13,E422&gt;'Q1'!$E$14),"Outliers","Not an Outliers")</f>
        <v>Not an Outliers</v>
      </c>
      <c r="V422" t="str">
        <f t="shared" si="6"/>
        <v>Weekday</v>
      </c>
    </row>
    <row r="423" spans="1:22" x14ac:dyDescent="0.3">
      <c r="A423" s="24">
        <v>45456</v>
      </c>
      <c r="B423" s="9" t="s">
        <v>31</v>
      </c>
      <c r="C423" s="9" t="s">
        <v>32</v>
      </c>
      <c r="D423" s="9" t="s">
        <v>57</v>
      </c>
      <c r="E423" s="5">
        <v>1000</v>
      </c>
      <c r="F423" s="5" t="b">
        <v>0</v>
      </c>
      <c r="G423" s="9" t="s">
        <v>23</v>
      </c>
      <c r="H423" s="9" t="s">
        <v>41</v>
      </c>
      <c r="I423" s="9" t="s">
        <v>59</v>
      </c>
      <c r="J423" s="9" t="s">
        <v>54</v>
      </c>
      <c r="K423" s="5">
        <v>2</v>
      </c>
      <c r="L423" s="9" t="s">
        <v>49</v>
      </c>
      <c r="M423" s="9" t="s">
        <v>28</v>
      </c>
      <c r="N423" s="5" t="b">
        <v>1</v>
      </c>
      <c r="O423" s="5">
        <v>66</v>
      </c>
      <c r="P423" s="9" t="s">
        <v>63</v>
      </c>
      <c r="Q423" s="5">
        <v>8</v>
      </c>
      <c r="R423" s="5">
        <v>2</v>
      </c>
      <c r="S423" s="5">
        <v>1492</v>
      </c>
      <c r="T423" s="10" t="s">
        <v>38</v>
      </c>
      <c r="U423" t="str">
        <f>IF(OR(E423&lt;'Q1'!$E$13,E423&gt;'Q1'!$E$14),"Outliers","Not an Outliers")</f>
        <v>Not an Outliers</v>
      </c>
      <c r="V423" t="str">
        <f t="shared" si="6"/>
        <v>Weekday</v>
      </c>
    </row>
    <row r="424" spans="1:22" x14ac:dyDescent="0.3">
      <c r="A424" s="23">
        <v>45457</v>
      </c>
      <c r="B424" s="7" t="s">
        <v>44</v>
      </c>
      <c r="C424" s="7" t="s">
        <v>21</v>
      </c>
      <c r="D424" s="7" t="s">
        <v>22</v>
      </c>
      <c r="E424" s="4">
        <v>9602</v>
      </c>
      <c r="F424" s="4" t="b">
        <v>0</v>
      </c>
      <c r="G424" s="7" t="s">
        <v>34</v>
      </c>
      <c r="H424" s="7" t="s">
        <v>35</v>
      </c>
      <c r="I424" s="7" t="s">
        <v>47</v>
      </c>
      <c r="J424" s="7" t="s">
        <v>54</v>
      </c>
      <c r="K424" s="4">
        <v>5</v>
      </c>
      <c r="L424" s="7" t="s">
        <v>49</v>
      </c>
      <c r="M424" s="7" t="s">
        <v>58</v>
      </c>
      <c r="N424" s="4" t="b">
        <v>1</v>
      </c>
      <c r="O424" s="4">
        <v>91</v>
      </c>
      <c r="P424" s="7" t="s">
        <v>37</v>
      </c>
      <c r="Q424" s="4">
        <v>7</v>
      </c>
      <c r="R424" s="4">
        <v>2</v>
      </c>
      <c r="S424" s="4">
        <v>1434</v>
      </c>
      <c r="T424" s="8" t="s">
        <v>38</v>
      </c>
      <c r="U424" t="str">
        <f>IF(OR(E424&lt;'Q1'!$E$13,E424&gt;'Q1'!$E$14),"Outliers","Not an Outliers")</f>
        <v>Not an Outliers</v>
      </c>
      <c r="V424" t="str">
        <f t="shared" si="6"/>
        <v>Weekday</v>
      </c>
    </row>
    <row r="425" spans="1:22" x14ac:dyDescent="0.3">
      <c r="A425" s="24">
        <v>45458</v>
      </c>
      <c r="B425" s="9" t="s">
        <v>31</v>
      </c>
      <c r="C425" s="9" t="s">
        <v>60</v>
      </c>
      <c r="D425" s="9" t="s">
        <v>22</v>
      </c>
      <c r="E425" s="5">
        <v>7629</v>
      </c>
      <c r="F425" s="5" t="b">
        <v>0</v>
      </c>
      <c r="G425" s="9" t="s">
        <v>64</v>
      </c>
      <c r="H425" s="9" t="s">
        <v>24</v>
      </c>
      <c r="I425" s="9" t="s">
        <v>47</v>
      </c>
      <c r="J425" s="9" t="s">
        <v>26</v>
      </c>
      <c r="K425" s="5">
        <v>1</v>
      </c>
      <c r="L425" s="9" t="s">
        <v>27</v>
      </c>
      <c r="M425" s="9" t="s">
        <v>66</v>
      </c>
      <c r="N425" s="5" t="b">
        <v>0</v>
      </c>
      <c r="O425" s="5">
        <v>60</v>
      </c>
      <c r="P425" s="9" t="s">
        <v>37</v>
      </c>
      <c r="Q425" s="5">
        <v>4</v>
      </c>
      <c r="R425" s="5">
        <v>2</v>
      </c>
      <c r="S425" s="5">
        <v>966</v>
      </c>
      <c r="T425" s="10" t="s">
        <v>30</v>
      </c>
      <c r="U425" t="str">
        <f>IF(OR(E425&lt;'Q1'!$E$13,E425&gt;'Q1'!$E$14),"Outliers","Not an Outliers")</f>
        <v>Not an Outliers</v>
      </c>
      <c r="V425" t="str">
        <f t="shared" si="6"/>
        <v>Weekend</v>
      </c>
    </row>
    <row r="426" spans="1:22" x14ac:dyDescent="0.3">
      <c r="A426" s="23">
        <v>45458</v>
      </c>
      <c r="B426" s="7" t="s">
        <v>20</v>
      </c>
      <c r="C426" s="7" t="s">
        <v>21</v>
      </c>
      <c r="D426" s="7" t="s">
        <v>53</v>
      </c>
      <c r="E426" s="4">
        <v>2596</v>
      </c>
      <c r="F426" s="4" t="b">
        <v>1</v>
      </c>
      <c r="G426" s="7" t="s">
        <v>64</v>
      </c>
      <c r="H426" s="7" t="s">
        <v>70</v>
      </c>
      <c r="I426" s="7" t="s">
        <v>59</v>
      </c>
      <c r="J426" s="7" t="s">
        <v>26</v>
      </c>
      <c r="K426" s="4">
        <v>5</v>
      </c>
      <c r="L426" s="7" t="s">
        <v>49</v>
      </c>
      <c r="M426" s="7" t="s">
        <v>73</v>
      </c>
      <c r="N426" s="4" t="b">
        <v>0</v>
      </c>
      <c r="O426" s="4">
        <v>19</v>
      </c>
      <c r="P426" s="7" t="s">
        <v>67</v>
      </c>
      <c r="Q426" s="4">
        <v>2</v>
      </c>
      <c r="R426" s="4">
        <v>2</v>
      </c>
      <c r="S426" s="4">
        <v>2131</v>
      </c>
      <c r="T426" s="8" t="s">
        <v>51</v>
      </c>
      <c r="U426" t="str">
        <f>IF(OR(E426&lt;'Q1'!$E$13,E426&gt;'Q1'!$E$14),"Outliers","Not an Outliers")</f>
        <v>Not an Outliers</v>
      </c>
      <c r="V426" t="str">
        <f t="shared" si="6"/>
        <v>Weekend</v>
      </c>
    </row>
    <row r="427" spans="1:22" x14ac:dyDescent="0.3">
      <c r="A427" s="24">
        <v>45458</v>
      </c>
      <c r="B427" s="9" t="s">
        <v>62</v>
      </c>
      <c r="C427" s="9" t="s">
        <v>45</v>
      </c>
      <c r="D427" s="9" t="s">
        <v>33</v>
      </c>
      <c r="E427" s="5">
        <v>4613</v>
      </c>
      <c r="F427" s="5" t="b">
        <v>1</v>
      </c>
      <c r="G427" s="9" t="s">
        <v>34</v>
      </c>
      <c r="H427" s="9" t="s">
        <v>70</v>
      </c>
      <c r="I427" s="9" t="s">
        <v>59</v>
      </c>
      <c r="J427" s="9" t="s">
        <v>48</v>
      </c>
      <c r="K427" s="5">
        <v>1</v>
      </c>
      <c r="L427" s="9" t="s">
        <v>36</v>
      </c>
      <c r="M427" s="9" t="s">
        <v>66</v>
      </c>
      <c r="N427" s="5" t="b">
        <v>1</v>
      </c>
      <c r="O427" s="5">
        <v>73</v>
      </c>
      <c r="P427" s="9" t="s">
        <v>37</v>
      </c>
      <c r="Q427" s="5">
        <v>9</v>
      </c>
      <c r="R427" s="5">
        <v>3</v>
      </c>
      <c r="S427" s="5">
        <v>1800</v>
      </c>
      <c r="T427" s="10" t="s">
        <v>30</v>
      </c>
      <c r="U427" t="str">
        <f>IF(OR(E427&lt;'Q1'!$E$13,E427&gt;'Q1'!$E$14),"Outliers","Not an Outliers")</f>
        <v>Not an Outliers</v>
      </c>
      <c r="V427" t="str">
        <f t="shared" si="6"/>
        <v>Weekend</v>
      </c>
    </row>
    <row r="428" spans="1:22" x14ac:dyDescent="0.3">
      <c r="A428" s="23">
        <v>45459</v>
      </c>
      <c r="B428" s="7" t="s">
        <v>52</v>
      </c>
      <c r="C428" s="7" t="s">
        <v>21</v>
      </c>
      <c r="D428" s="7" t="s">
        <v>57</v>
      </c>
      <c r="E428" s="4">
        <v>1000</v>
      </c>
      <c r="F428" s="4" t="b">
        <v>1</v>
      </c>
      <c r="G428" s="7" t="s">
        <v>64</v>
      </c>
      <c r="H428" s="7" t="s">
        <v>41</v>
      </c>
      <c r="I428" s="7" t="s">
        <v>59</v>
      </c>
      <c r="J428" s="7" t="s">
        <v>48</v>
      </c>
      <c r="K428" s="4">
        <v>5</v>
      </c>
      <c r="L428" s="7" t="s">
        <v>36</v>
      </c>
      <c r="M428" s="7" t="s">
        <v>28</v>
      </c>
      <c r="N428" s="4" t="b">
        <v>1</v>
      </c>
      <c r="O428" s="4">
        <v>88</v>
      </c>
      <c r="P428" s="7" t="s">
        <v>37</v>
      </c>
      <c r="Q428" s="4">
        <v>8</v>
      </c>
      <c r="R428" s="4">
        <v>3</v>
      </c>
      <c r="S428" s="4">
        <v>1430</v>
      </c>
      <c r="T428" s="8" t="s">
        <v>51</v>
      </c>
      <c r="U428" t="str">
        <f>IF(OR(E428&lt;'Q1'!$E$13,E428&gt;'Q1'!$E$14),"Outliers","Not an Outliers")</f>
        <v>Not an Outliers</v>
      </c>
      <c r="V428" t="str">
        <f t="shared" si="6"/>
        <v>Weekend</v>
      </c>
    </row>
    <row r="429" spans="1:22" x14ac:dyDescent="0.3">
      <c r="A429" s="24">
        <v>45459</v>
      </c>
      <c r="B429" s="9" t="s">
        <v>55</v>
      </c>
      <c r="C429" s="9" t="s">
        <v>60</v>
      </c>
      <c r="D429" s="9" t="s">
        <v>61</v>
      </c>
      <c r="E429" s="5">
        <v>1000</v>
      </c>
      <c r="F429" s="5" t="b">
        <v>0</v>
      </c>
      <c r="G429" s="9" t="s">
        <v>64</v>
      </c>
      <c r="H429" s="9" t="s">
        <v>35</v>
      </c>
      <c r="I429" s="9" t="s">
        <v>42</v>
      </c>
      <c r="J429" s="9" t="s">
        <v>54</v>
      </c>
      <c r="K429" s="5">
        <v>3</v>
      </c>
      <c r="L429" s="9" t="s">
        <v>36</v>
      </c>
      <c r="M429" s="9" t="s">
        <v>28</v>
      </c>
      <c r="N429" s="5" t="b">
        <v>0</v>
      </c>
      <c r="O429" s="5">
        <v>25</v>
      </c>
      <c r="P429" s="9" t="s">
        <v>63</v>
      </c>
      <c r="Q429" s="5">
        <v>5</v>
      </c>
      <c r="R429" s="5">
        <v>1</v>
      </c>
      <c r="S429" s="5">
        <v>2848</v>
      </c>
      <c r="T429" s="10" t="s">
        <v>38</v>
      </c>
      <c r="U429" t="str">
        <f>IF(OR(E429&lt;'Q1'!$E$13,E429&gt;'Q1'!$E$14),"Outliers","Not an Outliers")</f>
        <v>Not an Outliers</v>
      </c>
      <c r="V429" t="str">
        <f t="shared" si="6"/>
        <v>Weekend</v>
      </c>
    </row>
    <row r="430" spans="1:22" x14ac:dyDescent="0.3">
      <c r="A430" s="23">
        <v>45460</v>
      </c>
      <c r="B430" s="7" t="s">
        <v>72</v>
      </c>
      <c r="C430" s="7" t="s">
        <v>60</v>
      </c>
      <c r="D430" s="7" t="s">
        <v>33</v>
      </c>
      <c r="E430" s="4">
        <v>2468</v>
      </c>
      <c r="F430" s="4" t="b">
        <v>1</v>
      </c>
      <c r="G430" s="7" t="s">
        <v>65</v>
      </c>
      <c r="H430" s="7" t="s">
        <v>70</v>
      </c>
      <c r="I430" s="7" t="s">
        <v>47</v>
      </c>
      <c r="J430" s="7" t="s">
        <v>26</v>
      </c>
      <c r="K430" s="4">
        <v>2</v>
      </c>
      <c r="L430" s="7" t="s">
        <v>36</v>
      </c>
      <c r="M430" s="7" t="s">
        <v>66</v>
      </c>
      <c r="N430" s="4" t="b">
        <v>0</v>
      </c>
      <c r="O430" s="4">
        <v>41</v>
      </c>
      <c r="P430" s="7" t="s">
        <v>29</v>
      </c>
      <c r="Q430" s="4">
        <v>4</v>
      </c>
      <c r="R430" s="4">
        <v>1</v>
      </c>
      <c r="S430" s="4">
        <v>2730</v>
      </c>
      <c r="T430" s="8" t="s">
        <v>51</v>
      </c>
      <c r="U430" t="str">
        <f>IF(OR(E430&lt;'Q1'!$E$13,E430&gt;'Q1'!$E$14),"Outliers","Not an Outliers")</f>
        <v>Not an Outliers</v>
      </c>
      <c r="V430" t="str">
        <f t="shared" si="6"/>
        <v>Weekday</v>
      </c>
    </row>
    <row r="431" spans="1:22" x14ac:dyDescent="0.3">
      <c r="A431" s="24">
        <v>45460</v>
      </c>
      <c r="B431" s="9" t="s">
        <v>72</v>
      </c>
      <c r="C431" s="9" t="s">
        <v>32</v>
      </c>
      <c r="D431" s="9" t="s">
        <v>53</v>
      </c>
      <c r="E431" s="5">
        <v>7693</v>
      </c>
      <c r="F431" s="5" t="b">
        <v>0</v>
      </c>
      <c r="G431" s="9" t="s">
        <v>40</v>
      </c>
      <c r="H431" s="9" t="s">
        <v>35</v>
      </c>
      <c r="I431" s="9" t="s">
        <v>47</v>
      </c>
      <c r="J431" s="9" t="s">
        <v>26</v>
      </c>
      <c r="K431" s="5">
        <v>5</v>
      </c>
      <c r="L431" s="9" t="s">
        <v>36</v>
      </c>
      <c r="M431" s="9" t="s">
        <v>66</v>
      </c>
      <c r="N431" s="5" t="b">
        <v>0</v>
      </c>
      <c r="O431" s="5">
        <v>65</v>
      </c>
      <c r="P431" s="9" t="s">
        <v>37</v>
      </c>
      <c r="Q431" s="5">
        <v>7</v>
      </c>
      <c r="R431" s="5">
        <v>2</v>
      </c>
      <c r="S431" s="5">
        <v>4674</v>
      </c>
      <c r="T431" s="10" t="s">
        <v>51</v>
      </c>
      <c r="U431" t="str">
        <f>IF(OR(E431&lt;'Q1'!$E$13,E431&gt;'Q1'!$E$14),"Outliers","Not an Outliers")</f>
        <v>Not an Outliers</v>
      </c>
      <c r="V431" t="str">
        <f t="shared" si="6"/>
        <v>Weekday</v>
      </c>
    </row>
    <row r="432" spans="1:22" x14ac:dyDescent="0.3">
      <c r="A432" s="23">
        <v>45463</v>
      </c>
      <c r="B432" s="7" t="s">
        <v>39</v>
      </c>
      <c r="C432" s="7" t="s">
        <v>60</v>
      </c>
      <c r="D432" s="7" t="s">
        <v>22</v>
      </c>
      <c r="E432" s="4">
        <v>8413</v>
      </c>
      <c r="F432" s="4" t="b">
        <v>0</v>
      </c>
      <c r="G432" s="7" t="s">
        <v>65</v>
      </c>
      <c r="H432" s="7" t="s">
        <v>24</v>
      </c>
      <c r="I432" s="7" t="s">
        <v>47</v>
      </c>
      <c r="J432" s="7" t="s">
        <v>48</v>
      </c>
      <c r="K432" s="4">
        <v>0</v>
      </c>
      <c r="L432" s="7" t="s">
        <v>27</v>
      </c>
      <c r="M432" s="7" t="s">
        <v>58</v>
      </c>
      <c r="N432" s="4" t="b">
        <v>1</v>
      </c>
      <c r="O432" s="4">
        <v>90</v>
      </c>
      <c r="P432" s="7" t="s">
        <v>67</v>
      </c>
      <c r="Q432" s="4">
        <v>6</v>
      </c>
      <c r="R432" s="4">
        <v>2</v>
      </c>
      <c r="S432" s="4">
        <v>2806</v>
      </c>
      <c r="T432" s="8" t="s">
        <v>30</v>
      </c>
      <c r="U432" t="str">
        <f>IF(OR(E432&lt;'Q1'!$E$13,E432&gt;'Q1'!$E$14),"Outliers","Not an Outliers")</f>
        <v>Not an Outliers</v>
      </c>
      <c r="V432" t="str">
        <f t="shared" si="6"/>
        <v>Weekday</v>
      </c>
    </row>
    <row r="433" spans="1:22" x14ac:dyDescent="0.3">
      <c r="A433" s="24">
        <v>45463</v>
      </c>
      <c r="B433" s="9" t="s">
        <v>44</v>
      </c>
      <c r="C433" s="9" t="s">
        <v>56</v>
      </c>
      <c r="D433" s="9" t="s">
        <v>57</v>
      </c>
      <c r="E433" s="5">
        <v>1000</v>
      </c>
      <c r="F433" s="5" t="b">
        <v>0</v>
      </c>
      <c r="G433" s="9" t="s">
        <v>34</v>
      </c>
      <c r="H433" s="9" t="s">
        <v>24</v>
      </c>
      <c r="I433" s="9" t="s">
        <v>47</v>
      </c>
      <c r="J433" s="9" t="s">
        <v>26</v>
      </c>
      <c r="K433" s="5">
        <v>9</v>
      </c>
      <c r="L433" s="9" t="s">
        <v>36</v>
      </c>
      <c r="M433" s="9" t="s">
        <v>66</v>
      </c>
      <c r="N433" s="5" t="b">
        <v>0</v>
      </c>
      <c r="O433" s="5">
        <v>19</v>
      </c>
      <c r="P433" s="9" t="s">
        <v>29</v>
      </c>
      <c r="Q433" s="5">
        <v>10</v>
      </c>
      <c r="R433" s="5">
        <v>2</v>
      </c>
      <c r="S433" s="5">
        <v>1019</v>
      </c>
      <c r="T433" s="10" t="s">
        <v>30</v>
      </c>
      <c r="U433" t="str">
        <f>IF(OR(E433&lt;'Q1'!$E$13,E433&gt;'Q1'!$E$14),"Outliers","Not an Outliers")</f>
        <v>Not an Outliers</v>
      </c>
      <c r="V433" t="str">
        <f t="shared" si="6"/>
        <v>Weekday</v>
      </c>
    </row>
    <row r="434" spans="1:22" x14ac:dyDescent="0.3">
      <c r="A434" s="23">
        <v>45463</v>
      </c>
      <c r="B434" s="7" t="s">
        <v>62</v>
      </c>
      <c r="C434" s="7" t="s">
        <v>56</v>
      </c>
      <c r="D434" s="7" t="s">
        <v>46</v>
      </c>
      <c r="E434" s="4">
        <v>2158</v>
      </c>
      <c r="F434" s="4" t="b">
        <v>1</v>
      </c>
      <c r="G434" s="7" t="s">
        <v>34</v>
      </c>
      <c r="H434" s="7" t="s">
        <v>70</v>
      </c>
      <c r="I434" s="7" t="s">
        <v>59</v>
      </c>
      <c r="J434" s="7" t="s">
        <v>26</v>
      </c>
      <c r="K434" s="4">
        <v>1</v>
      </c>
      <c r="L434" s="7" t="s">
        <v>49</v>
      </c>
      <c r="M434" s="7" t="s">
        <v>28</v>
      </c>
      <c r="N434" s="4" t="b">
        <v>0</v>
      </c>
      <c r="O434" s="4">
        <v>120</v>
      </c>
      <c r="P434" s="7" t="s">
        <v>29</v>
      </c>
      <c r="Q434" s="4">
        <v>3</v>
      </c>
      <c r="R434" s="4">
        <v>3</v>
      </c>
      <c r="S434" s="4">
        <v>2781</v>
      </c>
      <c r="T434" s="8" t="s">
        <v>51</v>
      </c>
      <c r="U434" t="str">
        <f>IF(OR(E434&lt;'Q1'!$E$13,E434&gt;'Q1'!$E$14),"Outliers","Not an Outliers")</f>
        <v>Not an Outliers</v>
      </c>
      <c r="V434" t="str">
        <f t="shared" si="6"/>
        <v>Weekday</v>
      </c>
    </row>
    <row r="435" spans="1:22" x14ac:dyDescent="0.3">
      <c r="A435" s="24">
        <v>45463</v>
      </c>
      <c r="B435" s="9" t="s">
        <v>52</v>
      </c>
      <c r="C435" s="9" t="s">
        <v>60</v>
      </c>
      <c r="D435" s="9" t="s">
        <v>22</v>
      </c>
      <c r="E435" s="5">
        <v>5779</v>
      </c>
      <c r="F435" s="5" t="b">
        <v>0</v>
      </c>
      <c r="G435" s="9" t="s">
        <v>34</v>
      </c>
      <c r="H435" s="9" t="s">
        <v>35</v>
      </c>
      <c r="I435" s="9" t="s">
        <v>42</v>
      </c>
      <c r="J435" s="9" t="s">
        <v>43</v>
      </c>
      <c r="K435" s="5">
        <v>2</v>
      </c>
      <c r="L435" s="9" t="s">
        <v>49</v>
      </c>
      <c r="M435" s="9" t="s">
        <v>58</v>
      </c>
      <c r="N435" s="5" t="b">
        <v>0</v>
      </c>
      <c r="O435" s="5">
        <v>38</v>
      </c>
      <c r="P435" s="9" t="s">
        <v>29</v>
      </c>
      <c r="Q435" s="5">
        <v>7</v>
      </c>
      <c r="R435" s="5">
        <v>1</v>
      </c>
      <c r="S435" s="5">
        <v>4666</v>
      </c>
      <c r="T435" s="10" t="s">
        <v>51</v>
      </c>
      <c r="U435" t="str">
        <f>IF(OR(E435&lt;'Q1'!$E$13,E435&gt;'Q1'!$E$14),"Outliers","Not an Outliers")</f>
        <v>Not an Outliers</v>
      </c>
      <c r="V435" t="str">
        <f t="shared" si="6"/>
        <v>Weekday</v>
      </c>
    </row>
    <row r="436" spans="1:22" x14ac:dyDescent="0.3">
      <c r="A436" s="23">
        <v>45464</v>
      </c>
      <c r="B436" s="7" t="s">
        <v>74</v>
      </c>
      <c r="C436" s="7" t="s">
        <v>32</v>
      </c>
      <c r="D436" s="7" t="s">
        <v>22</v>
      </c>
      <c r="E436" s="4">
        <v>9581</v>
      </c>
      <c r="F436" s="4" t="b">
        <v>0</v>
      </c>
      <c r="G436" s="7" t="s">
        <v>65</v>
      </c>
      <c r="H436" s="7" t="s">
        <v>70</v>
      </c>
      <c r="I436" s="7" t="s">
        <v>59</v>
      </c>
      <c r="J436" s="7" t="s">
        <v>48</v>
      </c>
      <c r="K436" s="4">
        <v>3</v>
      </c>
      <c r="L436" s="7" t="s">
        <v>27</v>
      </c>
      <c r="M436" s="7" t="s">
        <v>58</v>
      </c>
      <c r="N436" s="4" t="b">
        <v>1</v>
      </c>
      <c r="O436" s="4">
        <v>35</v>
      </c>
      <c r="P436" s="7" t="s">
        <v>63</v>
      </c>
      <c r="Q436" s="4">
        <v>10</v>
      </c>
      <c r="R436" s="4">
        <v>2</v>
      </c>
      <c r="S436" s="4">
        <v>2343</v>
      </c>
      <c r="T436" s="8" t="s">
        <v>30</v>
      </c>
      <c r="U436" t="str">
        <f>IF(OR(E436&lt;'Q1'!$E$13,E436&gt;'Q1'!$E$14),"Outliers","Not an Outliers")</f>
        <v>Not an Outliers</v>
      </c>
      <c r="V436" t="str">
        <f t="shared" si="6"/>
        <v>Weekday</v>
      </c>
    </row>
    <row r="437" spans="1:22" x14ac:dyDescent="0.3">
      <c r="A437" s="24">
        <v>45464</v>
      </c>
      <c r="B437" s="9" t="s">
        <v>55</v>
      </c>
      <c r="C437" s="9" t="s">
        <v>60</v>
      </c>
      <c r="D437" s="9" t="s">
        <v>61</v>
      </c>
      <c r="E437" s="5">
        <v>1000</v>
      </c>
      <c r="F437" s="5" t="b">
        <v>1</v>
      </c>
      <c r="G437" s="9" t="s">
        <v>34</v>
      </c>
      <c r="H437" s="9" t="s">
        <v>24</v>
      </c>
      <c r="I437" s="9" t="s">
        <v>42</v>
      </c>
      <c r="J437" s="9" t="s">
        <v>26</v>
      </c>
      <c r="K437" s="5">
        <v>2</v>
      </c>
      <c r="L437" s="9" t="s">
        <v>49</v>
      </c>
      <c r="M437" s="9" t="s">
        <v>28</v>
      </c>
      <c r="N437" s="5" t="b">
        <v>1</v>
      </c>
      <c r="O437" s="5">
        <v>2</v>
      </c>
      <c r="P437" s="9" t="s">
        <v>29</v>
      </c>
      <c r="Q437" s="5">
        <v>1</v>
      </c>
      <c r="R437" s="5">
        <v>3</v>
      </c>
      <c r="S437" s="5">
        <v>3373</v>
      </c>
      <c r="T437" s="10" t="s">
        <v>30</v>
      </c>
      <c r="U437" t="str">
        <f>IF(OR(E437&lt;'Q1'!$E$13,E437&gt;'Q1'!$E$14),"Outliers","Not an Outliers")</f>
        <v>Not an Outliers</v>
      </c>
      <c r="V437" t="str">
        <f t="shared" si="6"/>
        <v>Weekday</v>
      </c>
    </row>
    <row r="438" spans="1:22" x14ac:dyDescent="0.3">
      <c r="A438" s="23">
        <v>45464</v>
      </c>
      <c r="B438" s="7" t="s">
        <v>20</v>
      </c>
      <c r="C438" s="7" t="s">
        <v>56</v>
      </c>
      <c r="D438" s="7" t="s">
        <v>53</v>
      </c>
      <c r="E438" s="4">
        <v>2666</v>
      </c>
      <c r="F438" s="4" t="b">
        <v>0</v>
      </c>
      <c r="G438" s="7" t="s">
        <v>34</v>
      </c>
      <c r="H438" s="7" t="s">
        <v>70</v>
      </c>
      <c r="I438" s="7" t="s">
        <v>25</v>
      </c>
      <c r="J438" s="7" t="s">
        <v>48</v>
      </c>
      <c r="K438" s="4">
        <v>2</v>
      </c>
      <c r="L438" s="7" t="s">
        <v>36</v>
      </c>
      <c r="M438" s="7" t="s">
        <v>66</v>
      </c>
      <c r="N438" s="4" t="b">
        <v>1</v>
      </c>
      <c r="O438" s="4">
        <v>71</v>
      </c>
      <c r="P438" s="7" t="s">
        <v>29</v>
      </c>
      <c r="Q438" s="4">
        <v>10</v>
      </c>
      <c r="R438" s="4">
        <v>2</v>
      </c>
      <c r="S438" s="4">
        <v>2660</v>
      </c>
      <c r="T438" s="8" t="s">
        <v>38</v>
      </c>
      <c r="U438" t="str">
        <f>IF(OR(E438&lt;'Q1'!$E$13,E438&gt;'Q1'!$E$14),"Outliers","Not an Outliers")</f>
        <v>Not an Outliers</v>
      </c>
      <c r="V438" t="str">
        <f t="shared" si="6"/>
        <v>Weekday</v>
      </c>
    </row>
    <row r="439" spans="1:22" x14ac:dyDescent="0.3">
      <c r="A439" s="24">
        <v>45465</v>
      </c>
      <c r="B439" s="9" t="s">
        <v>52</v>
      </c>
      <c r="C439" s="9" t="s">
        <v>60</v>
      </c>
      <c r="D439" s="9" t="s">
        <v>46</v>
      </c>
      <c r="E439" s="5">
        <v>1080</v>
      </c>
      <c r="F439" s="5" t="b">
        <v>1</v>
      </c>
      <c r="G439" s="9" t="s">
        <v>64</v>
      </c>
      <c r="H439" s="9" t="s">
        <v>41</v>
      </c>
      <c r="I439" s="9" t="s">
        <v>25</v>
      </c>
      <c r="J439" s="9" t="s">
        <v>43</v>
      </c>
      <c r="K439" s="5">
        <v>2</v>
      </c>
      <c r="L439" s="9" t="s">
        <v>36</v>
      </c>
      <c r="M439" s="9" t="s">
        <v>58</v>
      </c>
      <c r="N439" s="5" t="b">
        <v>0</v>
      </c>
      <c r="O439" s="5">
        <v>67</v>
      </c>
      <c r="P439" s="9" t="s">
        <v>50</v>
      </c>
      <c r="Q439" s="5">
        <v>9</v>
      </c>
      <c r="R439" s="5">
        <v>1</v>
      </c>
      <c r="S439" s="5">
        <v>4568</v>
      </c>
      <c r="T439" s="10" t="s">
        <v>30</v>
      </c>
      <c r="U439" t="str">
        <f>IF(OR(E439&lt;'Q1'!$E$13,E439&gt;'Q1'!$E$14),"Outliers","Not an Outliers")</f>
        <v>Not an Outliers</v>
      </c>
      <c r="V439" t="str">
        <f t="shared" si="6"/>
        <v>Weekend</v>
      </c>
    </row>
    <row r="440" spans="1:22" x14ac:dyDescent="0.3">
      <c r="A440" s="23">
        <v>45466</v>
      </c>
      <c r="B440" s="7" t="s">
        <v>20</v>
      </c>
      <c r="C440" s="7" t="s">
        <v>45</v>
      </c>
      <c r="D440" s="7" t="s">
        <v>33</v>
      </c>
      <c r="E440" s="4">
        <v>2045</v>
      </c>
      <c r="F440" s="4" t="b">
        <v>1</v>
      </c>
      <c r="G440" s="7" t="s">
        <v>64</v>
      </c>
      <c r="H440" s="7" t="s">
        <v>35</v>
      </c>
      <c r="I440" s="7" t="s">
        <v>59</v>
      </c>
      <c r="J440" s="7" t="s">
        <v>48</v>
      </c>
      <c r="K440" s="4">
        <v>3</v>
      </c>
      <c r="L440" s="7" t="s">
        <v>36</v>
      </c>
      <c r="M440" s="7" t="s">
        <v>28</v>
      </c>
      <c r="N440" s="4" t="b">
        <v>0</v>
      </c>
      <c r="O440" s="4">
        <v>79</v>
      </c>
      <c r="P440" s="7" t="s">
        <v>29</v>
      </c>
      <c r="Q440" s="4">
        <v>4</v>
      </c>
      <c r="R440" s="4">
        <v>3</v>
      </c>
      <c r="S440" s="4">
        <v>4151</v>
      </c>
      <c r="T440" s="8" t="s">
        <v>38</v>
      </c>
      <c r="U440" t="str">
        <f>IF(OR(E440&lt;'Q1'!$E$13,E440&gt;'Q1'!$E$14),"Outliers","Not an Outliers")</f>
        <v>Not an Outliers</v>
      </c>
      <c r="V440" t="str">
        <f t="shared" si="6"/>
        <v>Weekend</v>
      </c>
    </row>
    <row r="441" spans="1:22" x14ac:dyDescent="0.3">
      <c r="A441" s="24">
        <v>45466</v>
      </c>
      <c r="B441" s="9" t="s">
        <v>72</v>
      </c>
      <c r="C441" s="9" t="s">
        <v>32</v>
      </c>
      <c r="D441" s="9" t="s">
        <v>53</v>
      </c>
      <c r="E441" s="5">
        <v>5383</v>
      </c>
      <c r="F441" s="5" t="b">
        <v>1</v>
      </c>
      <c r="G441" s="9" t="s">
        <v>64</v>
      </c>
      <c r="H441" s="9" t="s">
        <v>24</v>
      </c>
      <c r="I441" s="9" t="s">
        <v>59</v>
      </c>
      <c r="J441" s="9" t="s">
        <v>43</v>
      </c>
      <c r="K441" s="5">
        <v>2</v>
      </c>
      <c r="L441" s="9" t="s">
        <v>27</v>
      </c>
      <c r="M441" s="9" t="s">
        <v>58</v>
      </c>
      <c r="N441" s="5" t="b">
        <v>0</v>
      </c>
      <c r="O441" s="5">
        <v>21</v>
      </c>
      <c r="P441" s="9" t="s">
        <v>29</v>
      </c>
      <c r="Q441" s="5">
        <v>3</v>
      </c>
      <c r="R441" s="5">
        <v>1</v>
      </c>
      <c r="S441" s="5">
        <v>3774</v>
      </c>
      <c r="T441" s="10" t="s">
        <v>51</v>
      </c>
      <c r="U441" t="str">
        <f>IF(OR(E441&lt;'Q1'!$E$13,E441&gt;'Q1'!$E$14),"Outliers","Not an Outliers")</f>
        <v>Not an Outliers</v>
      </c>
      <c r="V441" t="str">
        <f t="shared" si="6"/>
        <v>Weekend</v>
      </c>
    </row>
    <row r="442" spans="1:22" x14ac:dyDescent="0.3">
      <c r="A442" s="23">
        <v>45466</v>
      </c>
      <c r="B442" s="7" t="s">
        <v>77</v>
      </c>
      <c r="C442" s="7" t="s">
        <v>60</v>
      </c>
      <c r="D442" s="7" t="s">
        <v>22</v>
      </c>
      <c r="E442" s="4">
        <v>9615</v>
      </c>
      <c r="F442" s="4" t="b">
        <v>0</v>
      </c>
      <c r="G442" s="7" t="s">
        <v>23</v>
      </c>
      <c r="H442" s="7" t="s">
        <v>24</v>
      </c>
      <c r="I442" s="7" t="s">
        <v>59</v>
      </c>
      <c r="J442" s="7" t="s">
        <v>48</v>
      </c>
      <c r="K442" s="4">
        <v>4</v>
      </c>
      <c r="L442" s="7" t="s">
        <v>49</v>
      </c>
      <c r="M442" s="7" t="s">
        <v>28</v>
      </c>
      <c r="N442" s="4" t="b">
        <v>0</v>
      </c>
      <c r="O442" s="4">
        <v>47</v>
      </c>
      <c r="P442" s="7" t="s">
        <v>67</v>
      </c>
      <c r="Q442" s="4">
        <v>2</v>
      </c>
      <c r="R442" s="4">
        <v>1</v>
      </c>
      <c r="S442" s="4">
        <v>1705</v>
      </c>
      <c r="T442" s="8" t="s">
        <v>51</v>
      </c>
      <c r="U442" t="str">
        <f>IF(OR(E442&lt;'Q1'!$E$13,E442&gt;'Q1'!$E$14),"Outliers","Not an Outliers")</f>
        <v>Not an Outliers</v>
      </c>
      <c r="V442" t="str">
        <f t="shared" si="6"/>
        <v>Weekend</v>
      </c>
    </row>
    <row r="443" spans="1:22" x14ac:dyDescent="0.3">
      <c r="A443" s="24">
        <v>45466</v>
      </c>
      <c r="B443" s="9" t="s">
        <v>69</v>
      </c>
      <c r="C443" s="9" t="s">
        <v>60</v>
      </c>
      <c r="D443" s="9" t="s">
        <v>46</v>
      </c>
      <c r="E443" s="5">
        <v>3748</v>
      </c>
      <c r="F443" s="5" t="b">
        <v>1</v>
      </c>
      <c r="G443" s="9" t="s">
        <v>34</v>
      </c>
      <c r="H443" s="9" t="s">
        <v>24</v>
      </c>
      <c r="I443" s="9" t="s">
        <v>47</v>
      </c>
      <c r="J443" s="9" t="s">
        <v>48</v>
      </c>
      <c r="K443" s="5">
        <v>2</v>
      </c>
      <c r="L443" s="9" t="s">
        <v>49</v>
      </c>
      <c r="M443" s="9" t="s">
        <v>66</v>
      </c>
      <c r="N443" s="5" t="b">
        <v>0</v>
      </c>
      <c r="O443" s="5">
        <v>81</v>
      </c>
      <c r="P443" s="9" t="s">
        <v>37</v>
      </c>
      <c r="Q443" s="5">
        <v>3</v>
      </c>
      <c r="R443" s="5">
        <v>2</v>
      </c>
      <c r="S443" s="5">
        <v>3807</v>
      </c>
      <c r="T443" s="10" t="s">
        <v>51</v>
      </c>
      <c r="U443" t="str">
        <f>IF(OR(E443&lt;'Q1'!$E$13,E443&gt;'Q1'!$E$14),"Outliers","Not an Outliers")</f>
        <v>Not an Outliers</v>
      </c>
      <c r="V443" t="str">
        <f t="shared" si="6"/>
        <v>Weekend</v>
      </c>
    </row>
    <row r="444" spans="1:22" x14ac:dyDescent="0.3">
      <c r="A444" s="23">
        <v>45467</v>
      </c>
      <c r="B444" s="7" t="s">
        <v>39</v>
      </c>
      <c r="C444" s="7" t="s">
        <v>21</v>
      </c>
      <c r="D444" s="7" t="s">
        <v>53</v>
      </c>
      <c r="E444" s="4">
        <v>3508</v>
      </c>
      <c r="F444" s="4" t="b">
        <v>0</v>
      </c>
      <c r="G444" s="7" t="s">
        <v>40</v>
      </c>
      <c r="H444" s="7" t="s">
        <v>41</v>
      </c>
      <c r="I444" s="7" t="s">
        <v>59</v>
      </c>
      <c r="J444" s="7" t="s">
        <v>43</v>
      </c>
      <c r="K444" s="4">
        <v>3</v>
      </c>
      <c r="L444" s="7" t="s">
        <v>49</v>
      </c>
      <c r="M444" s="7" t="s">
        <v>58</v>
      </c>
      <c r="N444" s="4" t="b">
        <v>0</v>
      </c>
      <c r="O444" s="4">
        <v>30</v>
      </c>
      <c r="P444" s="7" t="s">
        <v>50</v>
      </c>
      <c r="Q444" s="4">
        <v>7</v>
      </c>
      <c r="R444" s="4">
        <v>1</v>
      </c>
      <c r="S444" s="4">
        <v>4045</v>
      </c>
      <c r="T444" s="8" t="s">
        <v>38</v>
      </c>
      <c r="U444" t="str">
        <f>IF(OR(E444&lt;'Q1'!$E$13,E444&gt;'Q1'!$E$14),"Outliers","Not an Outliers")</f>
        <v>Not an Outliers</v>
      </c>
      <c r="V444" t="str">
        <f t="shared" si="6"/>
        <v>Weekday</v>
      </c>
    </row>
    <row r="445" spans="1:22" x14ac:dyDescent="0.3">
      <c r="A445" s="24">
        <v>45467</v>
      </c>
      <c r="B445" s="9" t="s">
        <v>55</v>
      </c>
      <c r="C445" s="9" t="s">
        <v>32</v>
      </c>
      <c r="D445" s="9" t="s">
        <v>33</v>
      </c>
      <c r="E445" s="5">
        <v>3014</v>
      </c>
      <c r="F445" s="5" t="b">
        <v>0</v>
      </c>
      <c r="G445" s="9" t="s">
        <v>64</v>
      </c>
      <c r="H445" s="9" t="s">
        <v>24</v>
      </c>
      <c r="I445" s="9" t="s">
        <v>59</v>
      </c>
      <c r="J445" s="9" t="s">
        <v>26</v>
      </c>
      <c r="K445" s="5">
        <v>0</v>
      </c>
      <c r="L445" s="9" t="s">
        <v>36</v>
      </c>
      <c r="M445" s="9" t="s">
        <v>73</v>
      </c>
      <c r="N445" s="5" t="b">
        <v>0</v>
      </c>
      <c r="O445" s="5">
        <v>61</v>
      </c>
      <c r="P445" s="9" t="s">
        <v>37</v>
      </c>
      <c r="Q445" s="5">
        <v>10</v>
      </c>
      <c r="R445" s="5">
        <v>3</v>
      </c>
      <c r="S445" s="5">
        <v>4917</v>
      </c>
      <c r="T445" s="10" t="s">
        <v>30</v>
      </c>
      <c r="U445" t="str">
        <f>IF(OR(E445&lt;'Q1'!$E$13,E445&gt;'Q1'!$E$14),"Outliers","Not an Outliers")</f>
        <v>Not an Outliers</v>
      </c>
      <c r="V445" t="str">
        <f t="shared" si="6"/>
        <v>Weekday</v>
      </c>
    </row>
    <row r="446" spans="1:22" x14ac:dyDescent="0.3">
      <c r="A446" s="23">
        <v>45467</v>
      </c>
      <c r="B446" s="7" t="s">
        <v>62</v>
      </c>
      <c r="C446" s="7" t="s">
        <v>45</v>
      </c>
      <c r="D446" s="7" t="s">
        <v>57</v>
      </c>
      <c r="E446" s="4">
        <v>1000</v>
      </c>
      <c r="F446" s="4" t="b">
        <v>1</v>
      </c>
      <c r="G446" s="7" t="s">
        <v>23</v>
      </c>
      <c r="H446" s="7" t="s">
        <v>70</v>
      </c>
      <c r="I446" s="7" t="s">
        <v>47</v>
      </c>
      <c r="J446" s="7" t="s">
        <v>26</v>
      </c>
      <c r="K446" s="4">
        <v>3</v>
      </c>
      <c r="L446" s="7" t="s">
        <v>27</v>
      </c>
      <c r="M446" s="7" t="s">
        <v>73</v>
      </c>
      <c r="N446" s="4" t="b">
        <v>1</v>
      </c>
      <c r="O446" s="4">
        <v>50</v>
      </c>
      <c r="P446" s="7" t="s">
        <v>29</v>
      </c>
      <c r="Q446" s="4">
        <v>2</v>
      </c>
      <c r="R446" s="4">
        <v>1</v>
      </c>
      <c r="S446" s="4">
        <v>2122</v>
      </c>
      <c r="T446" s="8" t="s">
        <v>38</v>
      </c>
      <c r="U446" t="str">
        <f>IF(OR(E446&lt;'Q1'!$E$13,E446&gt;'Q1'!$E$14),"Outliers","Not an Outliers")</f>
        <v>Not an Outliers</v>
      </c>
      <c r="V446" t="str">
        <f t="shared" si="6"/>
        <v>Weekday</v>
      </c>
    </row>
    <row r="447" spans="1:22" x14ac:dyDescent="0.3">
      <c r="A447" s="24">
        <v>45467</v>
      </c>
      <c r="B447" s="9" t="s">
        <v>72</v>
      </c>
      <c r="C447" s="9" t="s">
        <v>60</v>
      </c>
      <c r="D447" s="9" t="s">
        <v>61</v>
      </c>
      <c r="E447" s="5">
        <v>1000</v>
      </c>
      <c r="F447" s="5" t="b">
        <v>0</v>
      </c>
      <c r="G447" s="9" t="s">
        <v>65</v>
      </c>
      <c r="H447" s="9" t="s">
        <v>70</v>
      </c>
      <c r="I447" s="9" t="s">
        <v>25</v>
      </c>
      <c r="J447" s="9" t="s">
        <v>54</v>
      </c>
      <c r="K447" s="5">
        <v>2</v>
      </c>
      <c r="L447" s="9" t="s">
        <v>27</v>
      </c>
      <c r="M447" s="9" t="s">
        <v>73</v>
      </c>
      <c r="N447" s="5" t="b">
        <v>1</v>
      </c>
      <c r="O447" s="5">
        <v>54</v>
      </c>
      <c r="P447" s="9" t="s">
        <v>67</v>
      </c>
      <c r="Q447" s="5">
        <v>7</v>
      </c>
      <c r="R447" s="5">
        <v>3</v>
      </c>
      <c r="S447" s="5">
        <v>2655</v>
      </c>
      <c r="T447" s="10" t="s">
        <v>38</v>
      </c>
      <c r="U447" t="str">
        <f>IF(OR(E447&lt;'Q1'!$E$13,E447&gt;'Q1'!$E$14),"Outliers","Not an Outliers")</f>
        <v>Not an Outliers</v>
      </c>
      <c r="V447" t="str">
        <f t="shared" si="6"/>
        <v>Weekday</v>
      </c>
    </row>
    <row r="448" spans="1:22" x14ac:dyDescent="0.3">
      <c r="A448" s="23">
        <v>45467</v>
      </c>
      <c r="B448" s="7" t="s">
        <v>75</v>
      </c>
      <c r="C448" s="7" t="s">
        <v>56</v>
      </c>
      <c r="D448" s="7" t="s">
        <v>53</v>
      </c>
      <c r="E448" s="4">
        <v>2252</v>
      </c>
      <c r="F448" s="4" t="b">
        <v>0</v>
      </c>
      <c r="G448" s="7" t="s">
        <v>23</v>
      </c>
      <c r="H448" s="7" t="s">
        <v>35</v>
      </c>
      <c r="I448" s="7" t="s">
        <v>47</v>
      </c>
      <c r="J448" s="7" t="s">
        <v>48</v>
      </c>
      <c r="K448" s="4">
        <v>1</v>
      </c>
      <c r="L448" s="7" t="s">
        <v>36</v>
      </c>
      <c r="M448" s="7" t="s">
        <v>58</v>
      </c>
      <c r="N448" s="4" t="b">
        <v>1</v>
      </c>
      <c r="O448" s="4">
        <v>61</v>
      </c>
      <c r="P448" s="7" t="s">
        <v>50</v>
      </c>
      <c r="Q448" s="4">
        <v>9</v>
      </c>
      <c r="R448" s="4">
        <v>2</v>
      </c>
      <c r="S448" s="4">
        <v>4808</v>
      </c>
      <c r="T448" s="8" t="s">
        <v>51</v>
      </c>
      <c r="U448" t="str">
        <f>IF(OR(E448&lt;'Q1'!$E$13,E448&gt;'Q1'!$E$14),"Outliers","Not an Outliers")</f>
        <v>Not an Outliers</v>
      </c>
      <c r="V448" t="str">
        <f t="shared" si="6"/>
        <v>Weekday</v>
      </c>
    </row>
    <row r="449" spans="1:22" x14ac:dyDescent="0.3">
      <c r="A449" s="24">
        <v>45468</v>
      </c>
      <c r="B449" s="9" t="s">
        <v>55</v>
      </c>
      <c r="C449" s="9" t="s">
        <v>32</v>
      </c>
      <c r="D449" s="9" t="s">
        <v>53</v>
      </c>
      <c r="E449" s="5">
        <v>3268</v>
      </c>
      <c r="F449" s="5" t="b">
        <v>1</v>
      </c>
      <c r="G449" s="9" t="s">
        <v>34</v>
      </c>
      <c r="H449" s="9" t="s">
        <v>70</v>
      </c>
      <c r="I449" s="9" t="s">
        <v>59</v>
      </c>
      <c r="J449" s="9" t="s">
        <v>26</v>
      </c>
      <c r="K449" s="5">
        <v>0</v>
      </c>
      <c r="L449" s="9" t="s">
        <v>49</v>
      </c>
      <c r="M449" s="9" t="s">
        <v>28</v>
      </c>
      <c r="N449" s="5" t="b">
        <v>0</v>
      </c>
      <c r="O449" s="5">
        <v>112</v>
      </c>
      <c r="P449" s="9" t="s">
        <v>50</v>
      </c>
      <c r="Q449" s="5">
        <v>4</v>
      </c>
      <c r="R449" s="5">
        <v>1</v>
      </c>
      <c r="S449" s="5">
        <v>1985</v>
      </c>
      <c r="T449" s="10" t="s">
        <v>30</v>
      </c>
      <c r="U449" t="str">
        <f>IF(OR(E449&lt;'Q1'!$E$13,E449&gt;'Q1'!$E$14),"Outliers","Not an Outliers")</f>
        <v>Not an Outliers</v>
      </c>
      <c r="V449" t="str">
        <f t="shared" si="6"/>
        <v>Weekday</v>
      </c>
    </row>
    <row r="450" spans="1:22" x14ac:dyDescent="0.3">
      <c r="A450" s="23">
        <v>45468</v>
      </c>
      <c r="B450" s="7" t="s">
        <v>55</v>
      </c>
      <c r="C450" s="7" t="s">
        <v>21</v>
      </c>
      <c r="D450" s="7" t="s">
        <v>53</v>
      </c>
      <c r="E450" s="4">
        <v>2255</v>
      </c>
      <c r="F450" s="4" t="b">
        <v>1</v>
      </c>
      <c r="G450" s="7" t="s">
        <v>64</v>
      </c>
      <c r="H450" s="7" t="s">
        <v>41</v>
      </c>
      <c r="I450" s="7" t="s">
        <v>59</v>
      </c>
      <c r="J450" s="7" t="s">
        <v>43</v>
      </c>
      <c r="K450" s="4">
        <v>0</v>
      </c>
      <c r="L450" s="7" t="s">
        <v>27</v>
      </c>
      <c r="M450" s="7" t="s">
        <v>58</v>
      </c>
      <c r="N450" s="4" t="b">
        <v>1</v>
      </c>
      <c r="O450" s="4">
        <v>52</v>
      </c>
      <c r="P450" s="7" t="s">
        <v>29</v>
      </c>
      <c r="Q450" s="4">
        <v>9</v>
      </c>
      <c r="R450" s="4">
        <v>2</v>
      </c>
      <c r="S450" s="4">
        <v>1429</v>
      </c>
      <c r="T450" s="8" t="s">
        <v>30</v>
      </c>
      <c r="U450" t="str">
        <f>IF(OR(E450&lt;'Q1'!$E$13,E450&gt;'Q1'!$E$14),"Outliers","Not an Outliers")</f>
        <v>Not an Outliers</v>
      </c>
      <c r="V450" t="str">
        <f t="shared" si="6"/>
        <v>Weekday</v>
      </c>
    </row>
    <row r="451" spans="1:22" x14ac:dyDescent="0.3">
      <c r="A451" s="24">
        <v>45468</v>
      </c>
      <c r="B451" s="9" t="s">
        <v>77</v>
      </c>
      <c r="C451" s="9" t="s">
        <v>21</v>
      </c>
      <c r="D451" s="9" t="s">
        <v>33</v>
      </c>
      <c r="E451" s="5">
        <v>2158</v>
      </c>
      <c r="F451" s="5" t="b">
        <v>0</v>
      </c>
      <c r="G451" s="9" t="s">
        <v>23</v>
      </c>
      <c r="H451" s="9" t="s">
        <v>35</v>
      </c>
      <c r="I451" s="9" t="s">
        <v>25</v>
      </c>
      <c r="J451" s="9" t="s">
        <v>48</v>
      </c>
      <c r="K451" s="5">
        <v>5</v>
      </c>
      <c r="L451" s="9" t="s">
        <v>36</v>
      </c>
      <c r="M451" s="9" t="s">
        <v>73</v>
      </c>
      <c r="N451" s="5" t="b">
        <v>0</v>
      </c>
      <c r="O451" s="5">
        <v>13</v>
      </c>
      <c r="P451" s="9" t="s">
        <v>63</v>
      </c>
      <c r="Q451" s="5">
        <v>6</v>
      </c>
      <c r="R451" s="5">
        <v>3</v>
      </c>
      <c r="S451" s="5">
        <v>3122</v>
      </c>
      <c r="T451" s="10" t="s">
        <v>51</v>
      </c>
      <c r="U451" t="str">
        <f>IF(OR(E451&lt;'Q1'!$E$13,E451&gt;'Q1'!$E$14),"Outliers","Not an Outliers")</f>
        <v>Not an Outliers</v>
      </c>
      <c r="V451" t="str">
        <f t="shared" ref="V451:V514" si="7">IF(WEEKDAY(A451,2)&gt;5,"Weekend","Weekday")</f>
        <v>Weekday</v>
      </c>
    </row>
    <row r="452" spans="1:22" x14ac:dyDescent="0.3">
      <c r="A452" s="23">
        <v>45468</v>
      </c>
      <c r="B452" s="7" t="s">
        <v>62</v>
      </c>
      <c r="C452" s="7" t="s">
        <v>60</v>
      </c>
      <c r="D452" s="7" t="s">
        <v>33</v>
      </c>
      <c r="E452" s="4">
        <v>3001</v>
      </c>
      <c r="F452" s="4" t="b">
        <v>0</v>
      </c>
      <c r="G452" s="7" t="s">
        <v>23</v>
      </c>
      <c r="H452" s="7" t="s">
        <v>70</v>
      </c>
      <c r="I452" s="7" t="s">
        <v>42</v>
      </c>
      <c r="J452" s="7" t="s">
        <v>26</v>
      </c>
      <c r="K452" s="4">
        <v>1</v>
      </c>
      <c r="L452" s="7" t="s">
        <v>27</v>
      </c>
      <c r="M452" s="7" t="s">
        <v>66</v>
      </c>
      <c r="N452" s="4" t="b">
        <v>1</v>
      </c>
      <c r="O452" s="4">
        <v>64</v>
      </c>
      <c r="P452" s="7" t="s">
        <v>50</v>
      </c>
      <c r="Q452" s="4">
        <v>5</v>
      </c>
      <c r="R452" s="4">
        <v>2</v>
      </c>
      <c r="S452" s="4">
        <v>1249</v>
      </c>
      <c r="T452" s="8" t="s">
        <v>38</v>
      </c>
      <c r="U452" t="str">
        <f>IF(OR(E452&lt;'Q1'!$E$13,E452&gt;'Q1'!$E$14),"Outliers","Not an Outliers")</f>
        <v>Not an Outliers</v>
      </c>
      <c r="V452" t="str">
        <f t="shared" si="7"/>
        <v>Weekday</v>
      </c>
    </row>
    <row r="453" spans="1:22" x14ac:dyDescent="0.3">
      <c r="A453" s="24">
        <v>45469</v>
      </c>
      <c r="B453" s="9" t="s">
        <v>20</v>
      </c>
      <c r="C453" s="9" t="s">
        <v>32</v>
      </c>
      <c r="D453" s="9" t="s">
        <v>46</v>
      </c>
      <c r="E453" s="5">
        <v>1325</v>
      </c>
      <c r="F453" s="5" t="b">
        <v>0</v>
      </c>
      <c r="G453" s="9" t="s">
        <v>23</v>
      </c>
      <c r="H453" s="9" t="s">
        <v>70</v>
      </c>
      <c r="I453" s="9" t="s">
        <v>42</v>
      </c>
      <c r="J453" s="9" t="s">
        <v>26</v>
      </c>
      <c r="K453" s="5">
        <v>5</v>
      </c>
      <c r="L453" s="9" t="s">
        <v>27</v>
      </c>
      <c r="M453" s="9" t="s">
        <v>58</v>
      </c>
      <c r="N453" s="5" t="b">
        <v>0</v>
      </c>
      <c r="O453" s="5">
        <v>114</v>
      </c>
      <c r="P453" s="9" t="s">
        <v>63</v>
      </c>
      <c r="Q453" s="5">
        <v>10</v>
      </c>
      <c r="R453" s="5">
        <v>2</v>
      </c>
      <c r="S453" s="5">
        <v>721</v>
      </c>
      <c r="T453" s="10" t="s">
        <v>30</v>
      </c>
      <c r="U453" t="str">
        <f>IF(OR(E453&lt;'Q1'!$E$13,E453&gt;'Q1'!$E$14),"Outliers","Not an Outliers")</f>
        <v>Not an Outliers</v>
      </c>
      <c r="V453" t="str">
        <f t="shared" si="7"/>
        <v>Weekday</v>
      </c>
    </row>
    <row r="454" spans="1:22" x14ac:dyDescent="0.3">
      <c r="A454" s="23">
        <v>45469</v>
      </c>
      <c r="B454" s="7" t="s">
        <v>39</v>
      </c>
      <c r="C454" s="7" t="s">
        <v>21</v>
      </c>
      <c r="D454" s="7" t="s">
        <v>33</v>
      </c>
      <c r="E454" s="4">
        <v>3725</v>
      </c>
      <c r="F454" s="4" t="b">
        <v>0</v>
      </c>
      <c r="G454" s="7" t="s">
        <v>65</v>
      </c>
      <c r="H454" s="7" t="s">
        <v>35</v>
      </c>
      <c r="I454" s="7" t="s">
        <v>47</v>
      </c>
      <c r="J454" s="7" t="s">
        <v>26</v>
      </c>
      <c r="K454" s="4">
        <v>1</v>
      </c>
      <c r="L454" s="7" t="s">
        <v>27</v>
      </c>
      <c r="M454" s="7" t="s">
        <v>28</v>
      </c>
      <c r="N454" s="4" t="b">
        <v>0</v>
      </c>
      <c r="O454" s="4">
        <v>79</v>
      </c>
      <c r="P454" s="7" t="s">
        <v>29</v>
      </c>
      <c r="Q454" s="4">
        <v>9</v>
      </c>
      <c r="R454" s="4">
        <v>2</v>
      </c>
      <c r="S454" s="4">
        <v>870</v>
      </c>
      <c r="T454" s="8" t="s">
        <v>38</v>
      </c>
      <c r="U454" t="str">
        <f>IF(OR(E454&lt;'Q1'!$E$13,E454&gt;'Q1'!$E$14),"Outliers","Not an Outliers")</f>
        <v>Not an Outliers</v>
      </c>
      <c r="V454" t="str">
        <f t="shared" si="7"/>
        <v>Weekday</v>
      </c>
    </row>
    <row r="455" spans="1:22" x14ac:dyDescent="0.3">
      <c r="A455" s="24">
        <v>45469</v>
      </c>
      <c r="B455" s="9" t="s">
        <v>77</v>
      </c>
      <c r="C455" s="9" t="s">
        <v>45</v>
      </c>
      <c r="D455" s="9" t="s">
        <v>57</v>
      </c>
      <c r="E455" s="5">
        <v>1000</v>
      </c>
      <c r="F455" s="5" t="b">
        <v>0</v>
      </c>
      <c r="G455" s="9" t="s">
        <v>23</v>
      </c>
      <c r="H455" s="9" t="s">
        <v>70</v>
      </c>
      <c r="I455" s="9" t="s">
        <v>47</v>
      </c>
      <c r="J455" s="9" t="s">
        <v>26</v>
      </c>
      <c r="K455" s="5">
        <v>0</v>
      </c>
      <c r="L455" s="9" t="s">
        <v>36</v>
      </c>
      <c r="M455" s="9" t="s">
        <v>73</v>
      </c>
      <c r="N455" s="5" t="b">
        <v>0</v>
      </c>
      <c r="O455" s="5">
        <v>54</v>
      </c>
      <c r="P455" s="9" t="s">
        <v>37</v>
      </c>
      <c r="Q455" s="5">
        <v>6</v>
      </c>
      <c r="R455" s="5">
        <v>1</v>
      </c>
      <c r="S455" s="5">
        <v>3748</v>
      </c>
      <c r="T455" s="10" t="s">
        <v>51</v>
      </c>
      <c r="U455" t="str">
        <f>IF(OR(E455&lt;'Q1'!$E$13,E455&gt;'Q1'!$E$14),"Outliers","Not an Outliers")</f>
        <v>Not an Outliers</v>
      </c>
      <c r="V455" t="str">
        <f t="shared" si="7"/>
        <v>Weekday</v>
      </c>
    </row>
    <row r="456" spans="1:22" x14ac:dyDescent="0.3">
      <c r="A456" s="23">
        <v>45469</v>
      </c>
      <c r="B456" s="7" t="s">
        <v>52</v>
      </c>
      <c r="C456" s="7" t="s">
        <v>60</v>
      </c>
      <c r="D456" s="7" t="s">
        <v>33</v>
      </c>
      <c r="E456" s="4">
        <v>2874</v>
      </c>
      <c r="F456" s="4" t="b">
        <v>0</v>
      </c>
      <c r="G456" s="7" t="s">
        <v>65</v>
      </c>
      <c r="H456" s="7" t="s">
        <v>35</v>
      </c>
      <c r="I456" s="7" t="s">
        <v>25</v>
      </c>
      <c r="J456" s="7" t="s">
        <v>54</v>
      </c>
      <c r="K456" s="4">
        <v>0</v>
      </c>
      <c r="L456" s="7" t="s">
        <v>49</v>
      </c>
      <c r="M456" s="7" t="s">
        <v>28</v>
      </c>
      <c r="N456" s="4" t="b">
        <v>0</v>
      </c>
      <c r="O456" s="4">
        <v>7</v>
      </c>
      <c r="P456" s="7" t="s">
        <v>29</v>
      </c>
      <c r="Q456" s="4">
        <v>6</v>
      </c>
      <c r="R456" s="4">
        <v>1</v>
      </c>
      <c r="S456" s="4">
        <v>3394</v>
      </c>
      <c r="T456" s="8" t="s">
        <v>30</v>
      </c>
      <c r="U456" t="str">
        <f>IF(OR(E456&lt;'Q1'!$E$13,E456&gt;'Q1'!$E$14),"Outliers","Not an Outliers")</f>
        <v>Not an Outliers</v>
      </c>
      <c r="V456" t="str">
        <f t="shared" si="7"/>
        <v>Weekday</v>
      </c>
    </row>
    <row r="457" spans="1:22" x14ac:dyDescent="0.3">
      <c r="A457" s="24">
        <v>45469</v>
      </c>
      <c r="B457" s="9" t="s">
        <v>31</v>
      </c>
      <c r="C457" s="9" t="s">
        <v>32</v>
      </c>
      <c r="D457" s="9" t="s">
        <v>46</v>
      </c>
      <c r="E457" s="5">
        <v>1593</v>
      </c>
      <c r="F457" s="5" t="b">
        <v>1</v>
      </c>
      <c r="G457" s="9" t="s">
        <v>64</v>
      </c>
      <c r="H457" s="9" t="s">
        <v>35</v>
      </c>
      <c r="I457" s="9" t="s">
        <v>25</v>
      </c>
      <c r="J457" s="9" t="s">
        <v>26</v>
      </c>
      <c r="K457" s="5">
        <v>3</v>
      </c>
      <c r="L457" s="9" t="s">
        <v>36</v>
      </c>
      <c r="M457" s="9" t="s">
        <v>28</v>
      </c>
      <c r="N457" s="5" t="b">
        <v>0</v>
      </c>
      <c r="O457" s="5">
        <v>71</v>
      </c>
      <c r="P457" s="9" t="s">
        <v>37</v>
      </c>
      <c r="Q457" s="5">
        <v>6</v>
      </c>
      <c r="R457" s="5">
        <v>1</v>
      </c>
      <c r="S457" s="5">
        <v>1376</v>
      </c>
      <c r="T457" s="10" t="s">
        <v>38</v>
      </c>
      <c r="U457" t="str">
        <f>IF(OR(E457&lt;'Q1'!$E$13,E457&gt;'Q1'!$E$14),"Outliers","Not an Outliers")</f>
        <v>Not an Outliers</v>
      </c>
      <c r="V457" t="str">
        <f t="shared" si="7"/>
        <v>Weekday</v>
      </c>
    </row>
    <row r="458" spans="1:22" x14ac:dyDescent="0.3">
      <c r="A458" s="23">
        <v>45470</v>
      </c>
      <c r="B458" s="7" t="s">
        <v>44</v>
      </c>
      <c r="C458" s="7" t="s">
        <v>32</v>
      </c>
      <c r="D458" s="7" t="s">
        <v>57</v>
      </c>
      <c r="E458" s="4">
        <v>1000</v>
      </c>
      <c r="F458" s="4" t="b">
        <v>0</v>
      </c>
      <c r="G458" s="7" t="s">
        <v>40</v>
      </c>
      <c r="H458" s="7" t="s">
        <v>41</v>
      </c>
      <c r="I458" s="7" t="s">
        <v>47</v>
      </c>
      <c r="J458" s="7" t="s">
        <v>43</v>
      </c>
      <c r="K458" s="4">
        <v>2</v>
      </c>
      <c r="L458" s="7" t="s">
        <v>49</v>
      </c>
      <c r="M458" s="7" t="s">
        <v>66</v>
      </c>
      <c r="N458" s="4" t="b">
        <v>0</v>
      </c>
      <c r="O458" s="4">
        <v>119</v>
      </c>
      <c r="P458" s="7" t="s">
        <v>67</v>
      </c>
      <c r="Q458" s="4">
        <v>9</v>
      </c>
      <c r="R458" s="4">
        <v>1</v>
      </c>
      <c r="S458" s="4">
        <v>763</v>
      </c>
      <c r="T458" s="8" t="s">
        <v>38</v>
      </c>
      <c r="U458" t="str">
        <f>IF(OR(E458&lt;'Q1'!$E$13,E458&gt;'Q1'!$E$14),"Outliers","Not an Outliers")</f>
        <v>Not an Outliers</v>
      </c>
      <c r="V458" t="str">
        <f t="shared" si="7"/>
        <v>Weekday</v>
      </c>
    </row>
    <row r="459" spans="1:22" x14ac:dyDescent="0.3">
      <c r="A459" s="24">
        <v>45470</v>
      </c>
      <c r="B459" s="9" t="s">
        <v>39</v>
      </c>
      <c r="C459" s="9" t="s">
        <v>60</v>
      </c>
      <c r="D459" s="9" t="s">
        <v>61</v>
      </c>
      <c r="E459" s="5">
        <v>1000</v>
      </c>
      <c r="F459" s="5" t="b">
        <v>0</v>
      </c>
      <c r="G459" s="9" t="s">
        <v>65</v>
      </c>
      <c r="H459" s="9" t="s">
        <v>41</v>
      </c>
      <c r="I459" s="9" t="s">
        <v>47</v>
      </c>
      <c r="J459" s="9" t="s">
        <v>43</v>
      </c>
      <c r="K459" s="5">
        <v>0</v>
      </c>
      <c r="L459" s="9" t="s">
        <v>27</v>
      </c>
      <c r="M459" s="9" t="s">
        <v>73</v>
      </c>
      <c r="N459" s="5" t="b">
        <v>0</v>
      </c>
      <c r="O459" s="5">
        <v>4</v>
      </c>
      <c r="P459" s="9" t="s">
        <v>63</v>
      </c>
      <c r="Q459" s="5">
        <v>8</v>
      </c>
      <c r="R459" s="5">
        <v>3</v>
      </c>
      <c r="S459" s="5">
        <v>598</v>
      </c>
      <c r="T459" s="10" t="s">
        <v>38</v>
      </c>
      <c r="U459" t="str">
        <f>IF(OR(E459&lt;'Q1'!$E$13,E459&gt;'Q1'!$E$14),"Outliers","Not an Outliers")</f>
        <v>Not an Outliers</v>
      </c>
      <c r="V459" t="str">
        <f t="shared" si="7"/>
        <v>Weekday</v>
      </c>
    </row>
    <row r="460" spans="1:22" x14ac:dyDescent="0.3">
      <c r="A460" s="23">
        <v>45470</v>
      </c>
      <c r="B460" s="7" t="s">
        <v>74</v>
      </c>
      <c r="C460" s="7" t="s">
        <v>32</v>
      </c>
      <c r="D460" s="7" t="s">
        <v>22</v>
      </c>
      <c r="E460" s="4">
        <v>5282</v>
      </c>
      <c r="F460" s="4" t="b">
        <v>0</v>
      </c>
      <c r="G460" s="7" t="s">
        <v>65</v>
      </c>
      <c r="H460" s="7" t="s">
        <v>35</v>
      </c>
      <c r="I460" s="7" t="s">
        <v>42</v>
      </c>
      <c r="J460" s="7" t="s">
        <v>48</v>
      </c>
      <c r="K460" s="4">
        <v>1</v>
      </c>
      <c r="L460" s="7" t="s">
        <v>36</v>
      </c>
      <c r="M460" s="7" t="s">
        <v>73</v>
      </c>
      <c r="N460" s="4" t="b">
        <v>1</v>
      </c>
      <c r="O460" s="4">
        <v>24</v>
      </c>
      <c r="P460" s="7" t="s">
        <v>63</v>
      </c>
      <c r="Q460" s="4">
        <v>3</v>
      </c>
      <c r="R460" s="4">
        <v>3</v>
      </c>
      <c r="S460" s="4">
        <v>4391</v>
      </c>
      <c r="T460" s="8" t="s">
        <v>51</v>
      </c>
      <c r="U460" t="str">
        <f>IF(OR(E460&lt;'Q1'!$E$13,E460&gt;'Q1'!$E$14),"Outliers","Not an Outliers")</f>
        <v>Not an Outliers</v>
      </c>
      <c r="V460" t="str">
        <f t="shared" si="7"/>
        <v>Weekday</v>
      </c>
    </row>
    <row r="461" spans="1:22" x14ac:dyDescent="0.3">
      <c r="A461" s="24">
        <v>45470</v>
      </c>
      <c r="B461" s="9" t="s">
        <v>74</v>
      </c>
      <c r="C461" s="9" t="s">
        <v>56</v>
      </c>
      <c r="D461" s="9" t="s">
        <v>57</v>
      </c>
      <c r="E461" s="5">
        <v>1000</v>
      </c>
      <c r="F461" s="5" t="b">
        <v>0</v>
      </c>
      <c r="G461" s="9" t="s">
        <v>65</v>
      </c>
      <c r="H461" s="9" t="s">
        <v>70</v>
      </c>
      <c r="I461" s="9" t="s">
        <v>42</v>
      </c>
      <c r="J461" s="9" t="s">
        <v>26</v>
      </c>
      <c r="K461" s="5">
        <v>3</v>
      </c>
      <c r="L461" s="9" t="s">
        <v>36</v>
      </c>
      <c r="M461" s="9" t="s">
        <v>28</v>
      </c>
      <c r="N461" s="5" t="b">
        <v>1</v>
      </c>
      <c r="O461" s="5">
        <v>58</v>
      </c>
      <c r="P461" s="9" t="s">
        <v>29</v>
      </c>
      <c r="Q461" s="5">
        <v>1</v>
      </c>
      <c r="R461" s="5">
        <v>2</v>
      </c>
      <c r="S461" s="5">
        <v>3201</v>
      </c>
      <c r="T461" s="10" t="s">
        <v>30</v>
      </c>
      <c r="U461" t="str">
        <f>IF(OR(E461&lt;'Q1'!$E$13,E461&gt;'Q1'!$E$14),"Outliers","Not an Outliers")</f>
        <v>Not an Outliers</v>
      </c>
      <c r="V461" t="str">
        <f t="shared" si="7"/>
        <v>Weekday</v>
      </c>
    </row>
    <row r="462" spans="1:22" x14ac:dyDescent="0.3">
      <c r="A462" s="23">
        <v>45471</v>
      </c>
      <c r="B462" s="7" t="s">
        <v>75</v>
      </c>
      <c r="C462" s="7" t="s">
        <v>32</v>
      </c>
      <c r="D462" s="7" t="s">
        <v>57</v>
      </c>
      <c r="E462" s="4">
        <v>1000</v>
      </c>
      <c r="F462" s="4" t="b">
        <v>0</v>
      </c>
      <c r="G462" s="7" t="s">
        <v>40</v>
      </c>
      <c r="H462" s="7" t="s">
        <v>41</v>
      </c>
      <c r="I462" s="7" t="s">
        <v>25</v>
      </c>
      <c r="J462" s="7" t="s">
        <v>54</v>
      </c>
      <c r="K462" s="4">
        <v>2</v>
      </c>
      <c r="L462" s="7" t="s">
        <v>27</v>
      </c>
      <c r="M462" s="7" t="s">
        <v>73</v>
      </c>
      <c r="N462" s="4" t="b">
        <v>1</v>
      </c>
      <c r="O462" s="4">
        <v>24</v>
      </c>
      <c r="P462" s="7" t="s">
        <v>37</v>
      </c>
      <c r="Q462" s="4">
        <v>4</v>
      </c>
      <c r="R462" s="4">
        <v>3</v>
      </c>
      <c r="S462" s="4">
        <v>4220</v>
      </c>
      <c r="T462" s="8" t="s">
        <v>51</v>
      </c>
      <c r="U462" t="str">
        <f>IF(OR(E462&lt;'Q1'!$E$13,E462&gt;'Q1'!$E$14),"Outliers","Not an Outliers")</f>
        <v>Not an Outliers</v>
      </c>
      <c r="V462" t="str">
        <f t="shared" si="7"/>
        <v>Weekday</v>
      </c>
    </row>
    <row r="463" spans="1:22" x14ac:dyDescent="0.3">
      <c r="A463" s="24">
        <v>45471</v>
      </c>
      <c r="B463" s="9" t="s">
        <v>44</v>
      </c>
      <c r="C463" s="9" t="s">
        <v>60</v>
      </c>
      <c r="D463" s="9" t="s">
        <v>33</v>
      </c>
      <c r="E463" s="5">
        <v>2386</v>
      </c>
      <c r="F463" s="5" t="b">
        <v>1</v>
      </c>
      <c r="G463" s="9" t="s">
        <v>65</v>
      </c>
      <c r="H463" s="9" t="s">
        <v>35</v>
      </c>
      <c r="I463" s="9" t="s">
        <v>59</v>
      </c>
      <c r="J463" s="9" t="s">
        <v>26</v>
      </c>
      <c r="K463" s="5">
        <v>2</v>
      </c>
      <c r="L463" s="9" t="s">
        <v>49</v>
      </c>
      <c r="M463" s="9" t="s">
        <v>73</v>
      </c>
      <c r="N463" s="5" t="b">
        <v>0</v>
      </c>
      <c r="O463" s="5">
        <v>52</v>
      </c>
      <c r="P463" s="9" t="s">
        <v>63</v>
      </c>
      <c r="Q463" s="5">
        <v>9</v>
      </c>
      <c r="R463" s="5">
        <v>1</v>
      </c>
      <c r="S463" s="5">
        <v>1361</v>
      </c>
      <c r="T463" s="10" t="s">
        <v>30</v>
      </c>
      <c r="U463" t="str">
        <f>IF(OR(E463&lt;'Q1'!$E$13,E463&gt;'Q1'!$E$14),"Outliers","Not an Outliers")</f>
        <v>Not an Outliers</v>
      </c>
      <c r="V463" t="str">
        <f t="shared" si="7"/>
        <v>Weekday</v>
      </c>
    </row>
    <row r="464" spans="1:22" x14ac:dyDescent="0.3">
      <c r="A464" s="23">
        <v>45471</v>
      </c>
      <c r="B464" s="7" t="s">
        <v>71</v>
      </c>
      <c r="C464" s="7" t="s">
        <v>45</v>
      </c>
      <c r="D464" s="7" t="s">
        <v>46</v>
      </c>
      <c r="E464" s="4">
        <v>2062</v>
      </c>
      <c r="F464" s="4" t="b">
        <v>1</v>
      </c>
      <c r="G464" s="7" t="s">
        <v>65</v>
      </c>
      <c r="H464" s="7" t="s">
        <v>24</v>
      </c>
      <c r="I464" s="7" t="s">
        <v>25</v>
      </c>
      <c r="J464" s="7" t="s">
        <v>26</v>
      </c>
      <c r="K464" s="4">
        <v>5</v>
      </c>
      <c r="L464" s="7" t="s">
        <v>27</v>
      </c>
      <c r="M464" s="7" t="s">
        <v>58</v>
      </c>
      <c r="N464" s="4" t="b">
        <v>0</v>
      </c>
      <c r="O464" s="4">
        <v>113</v>
      </c>
      <c r="P464" s="7" t="s">
        <v>37</v>
      </c>
      <c r="Q464" s="4">
        <v>6</v>
      </c>
      <c r="R464" s="4">
        <v>3</v>
      </c>
      <c r="S464" s="4">
        <v>976</v>
      </c>
      <c r="T464" s="8" t="s">
        <v>51</v>
      </c>
      <c r="U464" t="str">
        <f>IF(OR(E464&lt;'Q1'!$E$13,E464&gt;'Q1'!$E$14),"Outliers","Not an Outliers")</f>
        <v>Not an Outliers</v>
      </c>
      <c r="V464" t="str">
        <f t="shared" si="7"/>
        <v>Weekday</v>
      </c>
    </row>
    <row r="465" spans="1:22" x14ac:dyDescent="0.3">
      <c r="A465" s="24">
        <v>45474</v>
      </c>
      <c r="B465" s="9" t="s">
        <v>44</v>
      </c>
      <c r="C465" s="9" t="s">
        <v>56</v>
      </c>
      <c r="D465" s="9" t="s">
        <v>46</v>
      </c>
      <c r="E465" s="5">
        <v>3787</v>
      </c>
      <c r="F465" s="5" t="b">
        <v>1</v>
      </c>
      <c r="G465" s="9" t="s">
        <v>23</v>
      </c>
      <c r="H465" s="9" t="s">
        <v>24</v>
      </c>
      <c r="I465" s="9" t="s">
        <v>47</v>
      </c>
      <c r="J465" s="9" t="s">
        <v>26</v>
      </c>
      <c r="K465" s="5">
        <v>4</v>
      </c>
      <c r="L465" s="9" t="s">
        <v>49</v>
      </c>
      <c r="M465" s="9" t="s">
        <v>58</v>
      </c>
      <c r="N465" s="5" t="b">
        <v>1</v>
      </c>
      <c r="O465" s="5">
        <v>24</v>
      </c>
      <c r="P465" s="9" t="s">
        <v>37</v>
      </c>
      <c r="Q465" s="5">
        <v>3</v>
      </c>
      <c r="R465" s="5">
        <v>2</v>
      </c>
      <c r="S465" s="5">
        <v>3284</v>
      </c>
      <c r="T465" s="10" t="s">
        <v>30</v>
      </c>
      <c r="U465" t="str">
        <f>IF(OR(E465&lt;'Q1'!$E$13,E465&gt;'Q1'!$E$14),"Outliers","Not an Outliers")</f>
        <v>Not an Outliers</v>
      </c>
      <c r="V465" t="str">
        <f t="shared" si="7"/>
        <v>Weekday</v>
      </c>
    </row>
    <row r="466" spans="1:22" x14ac:dyDescent="0.3">
      <c r="A466" s="23">
        <v>45474</v>
      </c>
      <c r="B466" s="7" t="s">
        <v>62</v>
      </c>
      <c r="C466" s="7" t="s">
        <v>45</v>
      </c>
      <c r="D466" s="7" t="s">
        <v>57</v>
      </c>
      <c r="E466" s="4">
        <v>1000</v>
      </c>
      <c r="F466" s="4" t="b">
        <v>1</v>
      </c>
      <c r="G466" s="7" t="s">
        <v>64</v>
      </c>
      <c r="H466" s="7" t="s">
        <v>70</v>
      </c>
      <c r="I466" s="7" t="s">
        <v>25</v>
      </c>
      <c r="J466" s="7" t="s">
        <v>54</v>
      </c>
      <c r="K466" s="4">
        <v>2</v>
      </c>
      <c r="L466" s="7" t="s">
        <v>27</v>
      </c>
      <c r="M466" s="7" t="s">
        <v>73</v>
      </c>
      <c r="N466" s="4" t="b">
        <v>0</v>
      </c>
      <c r="O466" s="4">
        <v>76</v>
      </c>
      <c r="P466" s="7" t="s">
        <v>50</v>
      </c>
      <c r="Q466" s="4">
        <v>1</v>
      </c>
      <c r="R466" s="4">
        <v>1</v>
      </c>
      <c r="S466" s="4">
        <v>3443</v>
      </c>
      <c r="T466" s="8" t="s">
        <v>30</v>
      </c>
      <c r="U466" t="str">
        <f>IF(OR(E466&lt;'Q1'!$E$13,E466&gt;'Q1'!$E$14),"Outliers","Not an Outliers")</f>
        <v>Not an Outliers</v>
      </c>
      <c r="V466" t="str">
        <f t="shared" si="7"/>
        <v>Weekday</v>
      </c>
    </row>
    <row r="467" spans="1:22" x14ac:dyDescent="0.3">
      <c r="A467" s="24">
        <v>45474</v>
      </c>
      <c r="B467" s="9" t="s">
        <v>52</v>
      </c>
      <c r="C467" s="9" t="s">
        <v>21</v>
      </c>
      <c r="D467" s="9" t="s">
        <v>22</v>
      </c>
      <c r="E467" s="5">
        <v>7471</v>
      </c>
      <c r="F467" s="5" t="b">
        <v>0</v>
      </c>
      <c r="G467" s="9" t="s">
        <v>23</v>
      </c>
      <c r="H467" s="9" t="s">
        <v>35</v>
      </c>
      <c r="I467" s="9" t="s">
        <v>47</v>
      </c>
      <c r="J467" s="9" t="s">
        <v>48</v>
      </c>
      <c r="K467" s="5">
        <v>4</v>
      </c>
      <c r="L467" s="9" t="s">
        <v>27</v>
      </c>
      <c r="M467" s="9" t="s">
        <v>58</v>
      </c>
      <c r="N467" s="5" t="b">
        <v>1</v>
      </c>
      <c r="O467" s="5">
        <v>56</v>
      </c>
      <c r="P467" s="9" t="s">
        <v>37</v>
      </c>
      <c r="Q467" s="5">
        <v>9</v>
      </c>
      <c r="R467" s="5">
        <v>1</v>
      </c>
      <c r="S467" s="5">
        <v>3439</v>
      </c>
      <c r="T467" s="10" t="s">
        <v>38</v>
      </c>
      <c r="U467" t="str">
        <f>IF(OR(E467&lt;'Q1'!$E$13,E467&gt;'Q1'!$E$14),"Outliers","Not an Outliers")</f>
        <v>Not an Outliers</v>
      </c>
      <c r="V467" t="str">
        <f t="shared" si="7"/>
        <v>Weekday</v>
      </c>
    </row>
    <row r="468" spans="1:22" x14ac:dyDescent="0.3">
      <c r="A468" s="23">
        <v>45475</v>
      </c>
      <c r="B468" s="7" t="s">
        <v>76</v>
      </c>
      <c r="C468" s="7" t="s">
        <v>21</v>
      </c>
      <c r="D468" s="7" t="s">
        <v>57</v>
      </c>
      <c r="E468" s="4">
        <v>1000</v>
      </c>
      <c r="F468" s="4" t="b">
        <v>0</v>
      </c>
      <c r="G468" s="7" t="s">
        <v>23</v>
      </c>
      <c r="H468" s="7" t="s">
        <v>41</v>
      </c>
      <c r="I468" s="7" t="s">
        <v>42</v>
      </c>
      <c r="J468" s="7" t="s">
        <v>48</v>
      </c>
      <c r="K468" s="4">
        <v>0</v>
      </c>
      <c r="L468" s="7" t="s">
        <v>36</v>
      </c>
      <c r="M468" s="7" t="s">
        <v>58</v>
      </c>
      <c r="N468" s="4" t="b">
        <v>1</v>
      </c>
      <c r="O468" s="4">
        <v>77</v>
      </c>
      <c r="P468" s="7" t="s">
        <v>29</v>
      </c>
      <c r="Q468" s="4">
        <v>5</v>
      </c>
      <c r="R468" s="4">
        <v>2</v>
      </c>
      <c r="S468" s="4">
        <v>2011</v>
      </c>
      <c r="T468" s="8" t="s">
        <v>30</v>
      </c>
      <c r="U468" t="str">
        <f>IF(OR(E468&lt;'Q1'!$E$13,E468&gt;'Q1'!$E$14),"Outliers","Not an Outliers")</f>
        <v>Not an Outliers</v>
      </c>
      <c r="V468" t="str">
        <f t="shared" si="7"/>
        <v>Weekday</v>
      </c>
    </row>
    <row r="469" spans="1:22" x14ac:dyDescent="0.3">
      <c r="A469" s="24">
        <v>45475</v>
      </c>
      <c r="B469" s="9" t="s">
        <v>44</v>
      </c>
      <c r="C469" s="9" t="s">
        <v>32</v>
      </c>
      <c r="D469" s="9" t="s">
        <v>57</v>
      </c>
      <c r="E469" s="5">
        <v>1000</v>
      </c>
      <c r="F469" s="5" t="b">
        <v>0</v>
      </c>
      <c r="G469" s="9" t="s">
        <v>40</v>
      </c>
      <c r="H469" s="9" t="s">
        <v>70</v>
      </c>
      <c r="I469" s="9" t="s">
        <v>25</v>
      </c>
      <c r="J469" s="9" t="s">
        <v>43</v>
      </c>
      <c r="K469" s="5">
        <v>2</v>
      </c>
      <c r="L469" s="9" t="s">
        <v>36</v>
      </c>
      <c r="M469" s="9" t="s">
        <v>73</v>
      </c>
      <c r="N469" s="5" t="b">
        <v>1</v>
      </c>
      <c r="O469" s="5">
        <v>24</v>
      </c>
      <c r="P469" s="9" t="s">
        <v>29</v>
      </c>
      <c r="Q469" s="5">
        <v>4</v>
      </c>
      <c r="R469" s="5">
        <v>3</v>
      </c>
      <c r="S469" s="5">
        <v>4062</v>
      </c>
      <c r="T469" s="10" t="s">
        <v>51</v>
      </c>
      <c r="U469" t="str">
        <f>IF(OR(E469&lt;'Q1'!$E$13,E469&gt;'Q1'!$E$14),"Outliers","Not an Outliers")</f>
        <v>Not an Outliers</v>
      </c>
      <c r="V469" t="str">
        <f t="shared" si="7"/>
        <v>Weekday</v>
      </c>
    </row>
    <row r="470" spans="1:22" x14ac:dyDescent="0.3">
      <c r="A470" s="23">
        <v>45475</v>
      </c>
      <c r="B470" s="7" t="s">
        <v>72</v>
      </c>
      <c r="C470" s="7" t="s">
        <v>60</v>
      </c>
      <c r="D470" s="7" t="s">
        <v>46</v>
      </c>
      <c r="E470" s="4">
        <v>4403</v>
      </c>
      <c r="F470" s="4" t="b">
        <v>1</v>
      </c>
      <c r="G470" s="7" t="s">
        <v>23</v>
      </c>
      <c r="H470" s="7" t="s">
        <v>41</v>
      </c>
      <c r="I470" s="7" t="s">
        <v>59</v>
      </c>
      <c r="J470" s="7" t="s">
        <v>54</v>
      </c>
      <c r="K470" s="4">
        <v>3</v>
      </c>
      <c r="L470" s="7" t="s">
        <v>36</v>
      </c>
      <c r="M470" s="7" t="s">
        <v>66</v>
      </c>
      <c r="N470" s="4" t="b">
        <v>1</v>
      </c>
      <c r="O470" s="4">
        <v>52</v>
      </c>
      <c r="P470" s="7" t="s">
        <v>67</v>
      </c>
      <c r="Q470" s="4">
        <v>9</v>
      </c>
      <c r="R470" s="4">
        <v>3</v>
      </c>
      <c r="S470" s="4">
        <v>1006</v>
      </c>
      <c r="T470" s="8" t="s">
        <v>38</v>
      </c>
      <c r="U470" t="str">
        <f>IF(OR(E470&lt;'Q1'!$E$13,E470&gt;'Q1'!$E$14),"Outliers","Not an Outliers")</f>
        <v>Not an Outliers</v>
      </c>
      <c r="V470" t="str">
        <f t="shared" si="7"/>
        <v>Weekday</v>
      </c>
    </row>
    <row r="471" spans="1:22" x14ac:dyDescent="0.3">
      <c r="A471" s="24">
        <v>45476</v>
      </c>
      <c r="B471" s="9" t="s">
        <v>68</v>
      </c>
      <c r="C471" s="9" t="s">
        <v>21</v>
      </c>
      <c r="D471" s="9" t="s">
        <v>57</v>
      </c>
      <c r="E471" s="5">
        <v>1000</v>
      </c>
      <c r="F471" s="5" t="b">
        <v>0</v>
      </c>
      <c r="G471" s="9" t="s">
        <v>23</v>
      </c>
      <c r="H471" s="9" t="s">
        <v>35</v>
      </c>
      <c r="I471" s="9" t="s">
        <v>42</v>
      </c>
      <c r="J471" s="9" t="s">
        <v>43</v>
      </c>
      <c r="K471" s="5">
        <v>0</v>
      </c>
      <c r="L471" s="9" t="s">
        <v>36</v>
      </c>
      <c r="M471" s="9" t="s">
        <v>73</v>
      </c>
      <c r="N471" s="5" t="b">
        <v>1</v>
      </c>
      <c r="O471" s="5">
        <v>16</v>
      </c>
      <c r="P471" s="9" t="s">
        <v>67</v>
      </c>
      <c r="Q471" s="5">
        <v>2</v>
      </c>
      <c r="R471" s="5">
        <v>2</v>
      </c>
      <c r="S471" s="5">
        <v>1347</v>
      </c>
      <c r="T471" s="10" t="s">
        <v>51</v>
      </c>
      <c r="U471" t="str">
        <f>IF(OR(E471&lt;'Q1'!$E$13,E471&gt;'Q1'!$E$14),"Outliers","Not an Outliers")</f>
        <v>Not an Outliers</v>
      </c>
      <c r="V471" t="str">
        <f t="shared" si="7"/>
        <v>Weekday</v>
      </c>
    </row>
    <row r="472" spans="1:22" x14ac:dyDescent="0.3">
      <c r="A472" s="23">
        <v>45476</v>
      </c>
      <c r="B472" s="7" t="s">
        <v>20</v>
      </c>
      <c r="C472" s="7" t="s">
        <v>60</v>
      </c>
      <c r="D472" s="7" t="s">
        <v>22</v>
      </c>
      <c r="E472" s="4">
        <v>5856</v>
      </c>
      <c r="F472" s="4" t="b">
        <v>0</v>
      </c>
      <c r="G472" s="7" t="s">
        <v>40</v>
      </c>
      <c r="H472" s="7" t="s">
        <v>24</v>
      </c>
      <c r="I472" s="7" t="s">
        <v>47</v>
      </c>
      <c r="J472" s="7" t="s">
        <v>26</v>
      </c>
      <c r="K472" s="4">
        <v>2</v>
      </c>
      <c r="L472" s="7" t="s">
        <v>36</v>
      </c>
      <c r="M472" s="7" t="s">
        <v>66</v>
      </c>
      <c r="N472" s="4" t="b">
        <v>0</v>
      </c>
      <c r="O472" s="4">
        <v>17</v>
      </c>
      <c r="P472" s="7" t="s">
        <v>37</v>
      </c>
      <c r="Q472" s="4">
        <v>4</v>
      </c>
      <c r="R472" s="4">
        <v>2</v>
      </c>
      <c r="S472" s="4">
        <v>1748</v>
      </c>
      <c r="T472" s="8" t="s">
        <v>30</v>
      </c>
      <c r="U472" t="str">
        <f>IF(OR(E472&lt;'Q1'!$E$13,E472&gt;'Q1'!$E$14),"Outliers","Not an Outliers")</f>
        <v>Not an Outliers</v>
      </c>
      <c r="V472" t="str">
        <f t="shared" si="7"/>
        <v>Weekday</v>
      </c>
    </row>
    <row r="473" spans="1:22" x14ac:dyDescent="0.3">
      <c r="A473" s="24">
        <v>45477</v>
      </c>
      <c r="B473" s="9" t="s">
        <v>55</v>
      </c>
      <c r="C473" s="9" t="s">
        <v>56</v>
      </c>
      <c r="D473" s="9" t="s">
        <v>22</v>
      </c>
      <c r="E473" s="5">
        <v>9452</v>
      </c>
      <c r="F473" s="5" t="b">
        <v>0</v>
      </c>
      <c r="G473" s="9" t="s">
        <v>40</v>
      </c>
      <c r="H473" s="9" t="s">
        <v>24</v>
      </c>
      <c r="I473" s="9" t="s">
        <v>25</v>
      </c>
      <c r="J473" s="9" t="s">
        <v>26</v>
      </c>
      <c r="K473" s="5">
        <v>5</v>
      </c>
      <c r="L473" s="9" t="s">
        <v>27</v>
      </c>
      <c r="M473" s="9" t="s">
        <v>66</v>
      </c>
      <c r="N473" s="5" t="b">
        <v>0</v>
      </c>
      <c r="O473" s="5">
        <v>41</v>
      </c>
      <c r="P473" s="9" t="s">
        <v>37</v>
      </c>
      <c r="Q473" s="5">
        <v>6</v>
      </c>
      <c r="R473" s="5">
        <v>2</v>
      </c>
      <c r="S473" s="5">
        <v>4316</v>
      </c>
      <c r="T473" s="10" t="s">
        <v>51</v>
      </c>
      <c r="U473" t="str">
        <f>IF(OR(E473&lt;'Q1'!$E$13,E473&gt;'Q1'!$E$14),"Outliers","Not an Outliers")</f>
        <v>Not an Outliers</v>
      </c>
      <c r="V473" t="str">
        <f t="shared" si="7"/>
        <v>Weekday</v>
      </c>
    </row>
    <row r="474" spans="1:22" x14ac:dyDescent="0.3">
      <c r="A474" s="23">
        <v>45477</v>
      </c>
      <c r="B474" s="7" t="s">
        <v>44</v>
      </c>
      <c r="C474" s="7" t="s">
        <v>45</v>
      </c>
      <c r="D474" s="7" t="s">
        <v>46</v>
      </c>
      <c r="E474" s="4">
        <v>1885</v>
      </c>
      <c r="F474" s="4" t="b">
        <v>0</v>
      </c>
      <c r="G474" s="7" t="s">
        <v>40</v>
      </c>
      <c r="H474" s="7" t="s">
        <v>41</v>
      </c>
      <c r="I474" s="7" t="s">
        <v>59</v>
      </c>
      <c r="J474" s="7" t="s">
        <v>43</v>
      </c>
      <c r="K474" s="4">
        <v>1</v>
      </c>
      <c r="L474" s="7" t="s">
        <v>27</v>
      </c>
      <c r="M474" s="7" t="s">
        <v>28</v>
      </c>
      <c r="N474" s="4" t="b">
        <v>0</v>
      </c>
      <c r="O474" s="4">
        <v>57</v>
      </c>
      <c r="P474" s="7" t="s">
        <v>63</v>
      </c>
      <c r="Q474" s="4">
        <v>2</v>
      </c>
      <c r="R474" s="4">
        <v>3</v>
      </c>
      <c r="S474" s="4">
        <v>2752</v>
      </c>
      <c r="T474" s="8" t="s">
        <v>51</v>
      </c>
      <c r="U474" t="str">
        <f>IF(OR(E474&lt;'Q1'!$E$13,E474&gt;'Q1'!$E$14),"Outliers","Not an Outliers")</f>
        <v>Not an Outliers</v>
      </c>
      <c r="V474" t="str">
        <f t="shared" si="7"/>
        <v>Weekday</v>
      </c>
    </row>
    <row r="475" spans="1:22" x14ac:dyDescent="0.3">
      <c r="A475" s="24">
        <v>45477</v>
      </c>
      <c r="B475" s="9" t="s">
        <v>39</v>
      </c>
      <c r="C475" s="9" t="s">
        <v>32</v>
      </c>
      <c r="D475" s="9" t="s">
        <v>53</v>
      </c>
      <c r="E475" s="5">
        <v>3584</v>
      </c>
      <c r="F475" s="5" t="b">
        <v>0</v>
      </c>
      <c r="G475" s="9" t="s">
        <v>64</v>
      </c>
      <c r="H475" s="9" t="s">
        <v>24</v>
      </c>
      <c r="I475" s="9" t="s">
        <v>47</v>
      </c>
      <c r="J475" s="9" t="s">
        <v>54</v>
      </c>
      <c r="K475" s="5">
        <v>4</v>
      </c>
      <c r="L475" s="9" t="s">
        <v>36</v>
      </c>
      <c r="M475" s="9" t="s">
        <v>73</v>
      </c>
      <c r="N475" s="5" t="b">
        <v>0</v>
      </c>
      <c r="O475" s="5">
        <v>104</v>
      </c>
      <c r="P475" s="9" t="s">
        <v>37</v>
      </c>
      <c r="Q475" s="5">
        <v>10</v>
      </c>
      <c r="R475" s="5">
        <v>1</v>
      </c>
      <c r="S475" s="5">
        <v>838</v>
      </c>
      <c r="T475" s="10" t="s">
        <v>51</v>
      </c>
      <c r="U475" t="str">
        <f>IF(OR(E475&lt;'Q1'!$E$13,E475&gt;'Q1'!$E$14),"Outliers","Not an Outliers")</f>
        <v>Not an Outliers</v>
      </c>
      <c r="V475" t="str">
        <f t="shared" si="7"/>
        <v>Weekday</v>
      </c>
    </row>
    <row r="476" spans="1:22" x14ac:dyDescent="0.3">
      <c r="A476" s="23">
        <v>45478</v>
      </c>
      <c r="B476" s="7" t="s">
        <v>52</v>
      </c>
      <c r="C476" s="7" t="s">
        <v>56</v>
      </c>
      <c r="D476" s="7" t="s">
        <v>57</v>
      </c>
      <c r="E476" s="4">
        <v>1000</v>
      </c>
      <c r="F476" s="4" t="b">
        <v>0</v>
      </c>
      <c r="G476" s="7" t="s">
        <v>64</v>
      </c>
      <c r="H476" s="7" t="s">
        <v>24</v>
      </c>
      <c r="I476" s="7" t="s">
        <v>42</v>
      </c>
      <c r="J476" s="7" t="s">
        <v>26</v>
      </c>
      <c r="K476" s="4">
        <v>2</v>
      </c>
      <c r="L476" s="7" t="s">
        <v>27</v>
      </c>
      <c r="M476" s="7" t="s">
        <v>66</v>
      </c>
      <c r="N476" s="4" t="b">
        <v>1</v>
      </c>
      <c r="O476" s="4">
        <v>70</v>
      </c>
      <c r="P476" s="7" t="s">
        <v>67</v>
      </c>
      <c r="Q476" s="4">
        <v>10</v>
      </c>
      <c r="R476" s="4">
        <v>1</v>
      </c>
      <c r="S476" s="4">
        <v>3087</v>
      </c>
      <c r="T476" s="8" t="s">
        <v>38</v>
      </c>
      <c r="U476" t="str">
        <f>IF(OR(E476&lt;'Q1'!$E$13,E476&gt;'Q1'!$E$14),"Outliers","Not an Outliers")</f>
        <v>Not an Outliers</v>
      </c>
      <c r="V476" t="str">
        <f t="shared" si="7"/>
        <v>Weekday</v>
      </c>
    </row>
    <row r="477" spans="1:22" x14ac:dyDescent="0.3">
      <c r="A477" s="24">
        <v>45479</v>
      </c>
      <c r="B477" s="9" t="s">
        <v>52</v>
      </c>
      <c r="C477" s="9" t="s">
        <v>56</v>
      </c>
      <c r="D477" s="9" t="s">
        <v>33</v>
      </c>
      <c r="E477" s="5">
        <v>3725</v>
      </c>
      <c r="F477" s="5" t="b">
        <v>1</v>
      </c>
      <c r="G477" s="9" t="s">
        <v>64</v>
      </c>
      <c r="H477" s="9" t="s">
        <v>24</v>
      </c>
      <c r="I477" s="9" t="s">
        <v>42</v>
      </c>
      <c r="J477" s="9" t="s">
        <v>54</v>
      </c>
      <c r="K477" s="5">
        <v>1</v>
      </c>
      <c r="L477" s="9" t="s">
        <v>49</v>
      </c>
      <c r="M477" s="9" t="s">
        <v>28</v>
      </c>
      <c r="N477" s="5" t="b">
        <v>0</v>
      </c>
      <c r="O477" s="5">
        <v>31</v>
      </c>
      <c r="P477" s="9" t="s">
        <v>29</v>
      </c>
      <c r="Q477" s="5">
        <v>7</v>
      </c>
      <c r="R477" s="5">
        <v>1</v>
      </c>
      <c r="S477" s="5">
        <v>1819</v>
      </c>
      <c r="T477" s="10" t="s">
        <v>30</v>
      </c>
      <c r="U477" t="str">
        <f>IF(OR(E477&lt;'Q1'!$E$13,E477&gt;'Q1'!$E$14),"Outliers","Not an Outliers")</f>
        <v>Not an Outliers</v>
      </c>
      <c r="V477" t="str">
        <f t="shared" si="7"/>
        <v>Weekend</v>
      </c>
    </row>
    <row r="478" spans="1:22" x14ac:dyDescent="0.3">
      <c r="A478" s="23">
        <v>45479</v>
      </c>
      <c r="B478" s="7" t="s">
        <v>44</v>
      </c>
      <c r="C478" s="7" t="s">
        <v>21</v>
      </c>
      <c r="D478" s="7" t="s">
        <v>46</v>
      </c>
      <c r="E478" s="4">
        <v>4076</v>
      </c>
      <c r="F478" s="4" t="b">
        <v>0</v>
      </c>
      <c r="G478" s="7" t="s">
        <v>34</v>
      </c>
      <c r="H478" s="7" t="s">
        <v>70</v>
      </c>
      <c r="I478" s="7" t="s">
        <v>42</v>
      </c>
      <c r="J478" s="7" t="s">
        <v>54</v>
      </c>
      <c r="K478" s="4">
        <v>1</v>
      </c>
      <c r="L478" s="7" t="s">
        <v>27</v>
      </c>
      <c r="M478" s="7" t="s">
        <v>66</v>
      </c>
      <c r="N478" s="4" t="b">
        <v>0</v>
      </c>
      <c r="O478" s="4">
        <v>5</v>
      </c>
      <c r="P478" s="7" t="s">
        <v>29</v>
      </c>
      <c r="Q478" s="4">
        <v>8</v>
      </c>
      <c r="R478" s="4">
        <v>2</v>
      </c>
      <c r="S478" s="4">
        <v>4100</v>
      </c>
      <c r="T478" s="8" t="s">
        <v>51</v>
      </c>
      <c r="U478" t="str">
        <f>IF(OR(E478&lt;'Q1'!$E$13,E478&gt;'Q1'!$E$14),"Outliers","Not an Outliers")</f>
        <v>Not an Outliers</v>
      </c>
      <c r="V478" t="str">
        <f t="shared" si="7"/>
        <v>Weekend</v>
      </c>
    </row>
    <row r="479" spans="1:22" x14ac:dyDescent="0.3">
      <c r="A479" s="24">
        <v>45479</v>
      </c>
      <c r="B479" s="9" t="s">
        <v>75</v>
      </c>
      <c r="C479" s="9" t="s">
        <v>45</v>
      </c>
      <c r="D479" s="9" t="s">
        <v>53</v>
      </c>
      <c r="E479" s="5">
        <v>4915</v>
      </c>
      <c r="F479" s="5" t="b">
        <v>0</v>
      </c>
      <c r="G479" s="9" t="s">
        <v>34</v>
      </c>
      <c r="H479" s="9" t="s">
        <v>41</v>
      </c>
      <c r="I479" s="9" t="s">
        <v>47</v>
      </c>
      <c r="J479" s="9" t="s">
        <v>54</v>
      </c>
      <c r="K479" s="5">
        <v>3</v>
      </c>
      <c r="L479" s="9" t="s">
        <v>27</v>
      </c>
      <c r="M479" s="9" t="s">
        <v>66</v>
      </c>
      <c r="N479" s="5" t="b">
        <v>0</v>
      </c>
      <c r="O479" s="5">
        <v>7</v>
      </c>
      <c r="P479" s="9" t="s">
        <v>63</v>
      </c>
      <c r="Q479" s="5">
        <v>1</v>
      </c>
      <c r="R479" s="5">
        <v>2</v>
      </c>
      <c r="S479" s="5">
        <v>3719</v>
      </c>
      <c r="T479" s="10" t="s">
        <v>51</v>
      </c>
      <c r="U479" t="str">
        <f>IF(OR(E479&lt;'Q1'!$E$13,E479&gt;'Q1'!$E$14),"Outliers","Not an Outliers")</f>
        <v>Not an Outliers</v>
      </c>
      <c r="V479" t="str">
        <f t="shared" si="7"/>
        <v>Weekend</v>
      </c>
    </row>
    <row r="480" spans="1:22" x14ac:dyDescent="0.3">
      <c r="A480" s="23">
        <v>45480</v>
      </c>
      <c r="B480" s="7" t="s">
        <v>77</v>
      </c>
      <c r="C480" s="7" t="s">
        <v>45</v>
      </c>
      <c r="D480" s="7" t="s">
        <v>53</v>
      </c>
      <c r="E480" s="4">
        <v>2274</v>
      </c>
      <c r="F480" s="4" t="b">
        <v>1</v>
      </c>
      <c r="G480" s="7" t="s">
        <v>23</v>
      </c>
      <c r="H480" s="7" t="s">
        <v>35</v>
      </c>
      <c r="I480" s="7" t="s">
        <v>25</v>
      </c>
      <c r="J480" s="7" t="s">
        <v>43</v>
      </c>
      <c r="K480" s="4">
        <v>3</v>
      </c>
      <c r="L480" s="7" t="s">
        <v>49</v>
      </c>
      <c r="M480" s="7" t="s">
        <v>58</v>
      </c>
      <c r="N480" s="4" t="b">
        <v>1</v>
      </c>
      <c r="O480" s="4">
        <v>36</v>
      </c>
      <c r="P480" s="7" t="s">
        <v>67</v>
      </c>
      <c r="Q480" s="4">
        <v>10</v>
      </c>
      <c r="R480" s="4">
        <v>3</v>
      </c>
      <c r="S480" s="4">
        <v>4605</v>
      </c>
      <c r="T480" s="8" t="s">
        <v>38</v>
      </c>
      <c r="U480" t="str">
        <f>IF(OR(E480&lt;'Q1'!$E$13,E480&gt;'Q1'!$E$14),"Outliers","Not an Outliers")</f>
        <v>Not an Outliers</v>
      </c>
      <c r="V480" t="str">
        <f t="shared" si="7"/>
        <v>Weekend</v>
      </c>
    </row>
    <row r="481" spans="1:22" x14ac:dyDescent="0.3">
      <c r="A481" s="24">
        <v>45480</v>
      </c>
      <c r="B481" s="9" t="s">
        <v>75</v>
      </c>
      <c r="C481" s="9" t="s">
        <v>21</v>
      </c>
      <c r="D481" s="9" t="s">
        <v>22</v>
      </c>
      <c r="E481" s="5">
        <v>6606</v>
      </c>
      <c r="F481" s="5" t="b">
        <v>0</v>
      </c>
      <c r="G481" s="9" t="s">
        <v>34</v>
      </c>
      <c r="H481" s="9" t="s">
        <v>70</v>
      </c>
      <c r="I481" s="9" t="s">
        <v>59</v>
      </c>
      <c r="J481" s="9" t="s">
        <v>54</v>
      </c>
      <c r="K481" s="5">
        <v>0</v>
      </c>
      <c r="L481" s="9" t="s">
        <v>27</v>
      </c>
      <c r="M481" s="9" t="s">
        <v>58</v>
      </c>
      <c r="N481" s="5" t="b">
        <v>0</v>
      </c>
      <c r="O481" s="5">
        <v>13</v>
      </c>
      <c r="P481" s="9" t="s">
        <v>67</v>
      </c>
      <c r="Q481" s="5">
        <v>10</v>
      </c>
      <c r="R481" s="5">
        <v>1</v>
      </c>
      <c r="S481" s="5">
        <v>764</v>
      </c>
      <c r="T481" s="10" t="s">
        <v>51</v>
      </c>
      <c r="U481" t="str">
        <f>IF(OR(E481&lt;'Q1'!$E$13,E481&gt;'Q1'!$E$14),"Outliers","Not an Outliers")</f>
        <v>Not an Outliers</v>
      </c>
      <c r="V481" t="str">
        <f t="shared" si="7"/>
        <v>Weekend</v>
      </c>
    </row>
    <row r="482" spans="1:22" x14ac:dyDescent="0.3">
      <c r="A482" s="23">
        <v>45480</v>
      </c>
      <c r="B482" s="7" t="s">
        <v>55</v>
      </c>
      <c r="C482" s="7" t="s">
        <v>32</v>
      </c>
      <c r="D482" s="7" t="s">
        <v>46</v>
      </c>
      <c r="E482" s="4">
        <v>4085</v>
      </c>
      <c r="F482" s="4" t="b">
        <v>1</v>
      </c>
      <c r="G482" s="7" t="s">
        <v>64</v>
      </c>
      <c r="H482" s="7" t="s">
        <v>24</v>
      </c>
      <c r="I482" s="7" t="s">
        <v>42</v>
      </c>
      <c r="J482" s="7" t="s">
        <v>54</v>
      </c>
      <c r="K482" s="4">
        <v>5</v>
      </c>
      <c r="L482" s="7" t="s">
        <v>27</v>
      </c>
      <c r="M482" s="7" t="s">
        <v>73</v>
      </c>
      <c r="N482" s="4" t="b">
        <v>1</v>
      </c>
      <c r="O482" s="4">
        <v>101</v>
      </c>
      <c r="P482" s="7" t="s">
        <v>67</v>
      </c>
      <c r="Q482" s="4">
        <v>2</v>
      </c>
      <c r="R482" s="4">
        <v>1</v>
      </c>
      <c r="S482" s="4">
        <v>830</v>
      </c>
      <c r="T482" s="8" t="s">
        <v>38</v>
      </c>
      <c r="U482" t="str">
        <f>IF(OR(E482&lt;'Q1'!$E$13,E482&gt;'Q1'!$E$14),"Outliers","Not an Outliers")</f>
        <v>Not an Outliers</v>
      </c>
      <c r="V482" t="str">
        <f t="shared" si="7"/>
        <v>Weekend</v>
      </c>
    </row>
    <row r="483" spans="1:22" x14ac:dyDescent="0.3">
      <c r="A483" s="24">
        <v>45481</v>
      </c>
      <c r="B483" s="9" t="s">
        <v>69</v>
      </c>
      <c r="C483" s="9" t="s">
        <v>21</v>
      </c>
      <c r="D483" s="9" t="s">
        <v>53</v>
      </c>
      <c r="E483" s="5">
        <v>5378</v>
      </c>
      <c r="F483" s="5" t="b">
        <v>0</v>
      </c>
      <c r="G483" s="9" t="s">
        <v>40</v>
      </c>
      <c r="H483" s="9" t="s">
        <v>41</v>
      </c>
      <c r="I483" s="9" t="s">
        <v>47</v>
      </c>
      <c r="J483" s="9" t="s">
        <v>54</v>
      </c>
      <c r="K483" s="5">
        <v>3</v>
      </c>
      <c r="L483" s="9" t="s">
        <v>36</v>
      </c>
      <c r="M483" s="9" t="s">
        <v>58</v>
      </c>
      <c r="N483" s="5" t="b">
        <v>1</v>
      </c>
      <c r="O483" s="5">
        <v>24</v>
      </c>
      <c r="P483" s="9" t="s">
        <v>50</v>
      </c>
      <c r="Q483" s="5">
        <v>4</v>
      </c>
      <c r="R483" s="5">
        <v>1</v>
      </c>
      <c r="S483" s="5">
        <v>3865</v>
      </c>
      <c r="T483" s="10" t="s">
        <v>38</v>
      </c>
      <c r="U483" t="str">
        <f>IF(OR(E483&lt;'Q1'!$E$13,E483&gt;'Q1'!$E$14),"Outliers","Not an Outliers")</f>
        <v>Not an Outliers</v>
      </c>
      <c r="V483" t="str">
        <f t="shared" si="7"/>
        <v>Weekday</v>
      </c>
    </row>
    <row r="484" spans="1:22" x14ac:dyDescent="0.3">
      <c r="A484" s="23">
        <v>45481</v>
      </c>
      <c r="B484" s="7" t="s">
        <v>75</v>
      </c>
      <c r="C484" s="7" t="s">
        <v>56</v>
      </c>
      <c r="D484" s="7" t="s">
        <v>57</v>
      </c>
      <c r="E484" s="4">
        <v>1000</v>
      </c>
      <c r="F484" s="4" t="b">
        <v>0</v>
      </c>
      <c r="G484" s="7" t="s">
        <v>34</v>
      </c>
      <c r="H484" s="7" t="s">
        <v>41</v>
      </c>
      <c r="I484" s="7" t="s">
        <v>59</v>
      </c>
      <c r="J484" s="7" t="s">
        <v>54</v>
      </c>
      <c r="K484" s="4">
        <v>4</v>
      </c>
      <c r="L484" s="7" t="s">
        <v>49</v>
      </c>
      <c r="M484" s="7" t="s">
        <v>73</v>
      </c>
      <c r="N484" s="4" t="b">
        <v>1</v>
      </c>
      <c r="O484" s="4">
        <v>42</v>
      </c>
      <c r="P484" s="7" t="s">
        <v>67</v>
      </c>
      <c r="Q484" s="4">
        <v>6</v>
      </c>
      <c r="R484" s="4">
        <v>3</v>
      </c>
      <c r="S484" s="4">
        <v>564</v>
      </c>
      <c r="T484" s="8" t="s">
        <v>38</v>
      </c>
      <c r="U484" t="str">
        <f>IF(OR(E484&lt;'Q1'!$E$13,E484&gt;'Q1'!$E$14),"Outliers","Not an Outliers")</f>
        <v>Not an Outliers</v>
      </c>
      <c r="V484" t="str">
        <f t="shared" si="7"/>
        <v>Weekday</v>
      </c>
    </row>
    <row r="485" spans="1:22" x14ac:dyDescent="0.3">
      <c r="A485" s="24">
        <v>45482</v>
      </c>
      <c r="B485" s="9" t="s">
        <v>44</v>
      </c>
      <c r="C485" s="9" t="s">
        <v>45</v>
      </c>
      <c r="D485" s="9" t="s">
        <v>53</v>
      </c>
      <c r="E485" s="5">
        <v>2722</v>
      </c>
      <c r="F485" s="5" t="b">
        <v>0</v>
      </c>
      <c r="G485" s="9" t="s">
        <v>40</v>
      </c>
      <c r="H485" s="9" t="s">
        <v>35</v>
      </c>
      <c r="I485" s="9" t="s">
        <v>47</v>
      </c>
      <c r="J485" s="9" t="s">
        <v>54</v>
      </c>
      <c r="K485" s="5">
        <v>2</v>
      </c>
      <c r="L485" s="9" t="s">
        <v>49</v>
      </c>
      <c r="M485" s="9" t="s">
        <v>66</v>
      </c>
      <c r="N485" s="5" t="b">
        <v>0</v>
      </c>
      <c r="O485" s="5">
        <v>18</v>
      </c>
      <c r="P485" s="9" t="s">
        <v>67</v>
      </c>
      <c r="Q485" s="5">
        <v>5</v>
      </c>
      <c r="R485" s="5">
        <v>1</v>
      </c>
      <c r="S485" s="5">
        <v>2004</v>
      </c>
      <c r="T485" s="10" t="s">
        <v>30</v>
      </c>
      <c r="U485" t="str">
        <f>IF(OR(E485&lt;'Q1'!$E$13,E485&gt;'Q1'!$E$14),"Outliers","Not an Outliers")</f>
        <v>Not an Outliers</v>
      </c>
      <c r="V485" t="str">
        <f t="shared" si="7"/>
        <v>Weekday</v>
      </c>
    </row>
    <row r="486" spans="1:22" x14ac:dyDescent="0.3">
      <c r="A486" s="23">
        <v>45482</v>
      </c>
      <c r="B486" s="7" t="s">
        <v>39</v>
      </c>
      <c r="C486" s="7" t="s">
        <v>32</v>
      </c>
      <c r="D486" s="7" t="s">
        <v>57</v>
      </c>
      <c r="E486" s="4">
        <v>1000</v>
      </c>
      <c r="F486" s="4" t="b">
        <v>0</v>
      </c>
      <c r="G486" s="7" t="s">
        <v>64</v>
      </c>
      <c r="H486" s="7" t="s">
        <v>70</v>
      </c>
      <c r="I486" s="7" t="s">
        <v>42</v>
      </c>
      <c r="J486" s="7" t="s">
        <v>54</v>
      </c>
      <c r="K486" s="4">
        <v>0</v>
      </c>
      <c r="L486" s="7" t="s">
        <v>49</v>
      </c>
      <c r="M486" s="7" t="s">
        <v>66</v>
      </c>
      <c r="N486" s="4" t="b">
        <v>0</v>
      </c>
      <c r="O486" s="4">
        <v>105</v>
      </c>
      <c r="P486" s="7" t="s">
        <v>63</v>
      </c>
      <c r="Q486" s="4">
        <v>4</v>
      </c>
      <c r="R486" s="4">
        <v>2</v>
      </c>
      <c r="S486" s="4">
        <v>1557</v>
      </c>
      <c r="T486" s="8" t="s">
        <v>30</v>
      </c>
      <c r="U486" t="str">
        <f>IF(OR(E486&lt;'Q1'!$E$13,E486&gt;'Q1'!$E$14),"Outliers","Not an Outliers")</f>
        <v>Not an Outliers</v>
      </c>
      <c r="V486" t="str">
        <f t="shared" si="7"/>
        <v>Weekday</v>
      </c>
    </row>
    <row r="487" spans="1:22" x14ac:dyDescent="0.3">
      <c r="A487" s="24">
        <v>45482</v>
      </c>
      <c r="B487" s="9" t="s">
        <v>74</v>
      </c>
      <c r="C487" s="9" t="s">
        <v>32</v>
      </c>
      <c r="D487" s="9" t="s">
        <v>22</v>
      </c>
      <c r="E487" s="5">
        <v>9345</v>
      </c>
      <c r="F487" s="5" t="b">
        <v>1</v>
      </c>
      <c r="G487" s="9" t="s">
        <v>65</v>
      </c>
      <c r="H487" s="9" t="s">
        <v>24</v>
      </c>
      <c r="I487" s="9" t="s">
        <v>47</v>
      </c>
      <c r="J487" s="9" t="s">
        <v>54</v>
      </c>
      <c r="K487" s="5">
        <v>4</v>
      </c>
      <c r="L487" s="9" t="s">
        <v>49</v>
      </c>
      <c r="M487" s="9" t="s">
        <v>73</v>
      </c>
      <c r="N487" s="5" t="b">
        <v>0</v>
      </c>
      <c r="O487" s="5">
        <v>18</v>
      </c>
      <c r="P487" s="9" t="s">
        <v>63</v>
      </c>
      <c r="Q487" s="5">
        <v>3</v>
      </c>
      <c r="R487" s="5">
        <v>3</v>
      </c>
      <c r="S487" s="5">
        <v>3125</v>
      </c>
      <c r="T487" s="10" t="s">
        <v>51</v>
      </c>
      <c r="U487" t="str">
        <f>IF(OR(E487&lt;'Q1'!$E$13,E487&gt;'Q1'!$E$14),"Outliers","Not an Outliers")</f>
        <v>Not an Outliers</v>
      </c>
      <c r="V487" t="str">
        <f t="shared" si="7"/>
        <v>Weekday</v>
      </c>
    </row>
    <row r="488" spans="1:22" x14ac:dyDescent="0.3">
      <c r="A488" s="23">
        <v>45483</v>
      </c>
      <c r="B488" s="7" t="s">
        <v>39</v>
      </c>
      <c r="C488" s="7" t="s">
        <v>45</v>
      </c>
      <c r="D488" s="7" t="s">
        <v>22</v>
      </c>
      <c r="E488" s="4">
        <v>5562</v>
      </c>
      <c r="F488" s="4" t="b">
        <v>0</v>
      </c>
      <c r="G488" s="7" t="s">
        <v>64</v>
      </c>
      <c r="H488" s="7" t="s">
        <v>35</v>
      </c>
      <c r="I488" s="7" t="s">
        <v>59</v>
      </c>
      <c r="J488" s="7" t="s">
        <v>26</v>
      </c>
      <c r="K488" s="4">
        <v>4</v>
      </c>
      <c r="L488" s="7" t="s">
        <v>36</v>
      </c>
      <c r="M488" s="7" t="s">
        <v>66</v>
      </c>
      <c r="N488" s="4" t="b">
        <v>0</v>
      </c>
      <c r="O488" s="4">
        <v>77</v>
      </c>
      <c r="P488" s="7" t="s">
        <v>37</v>
      </c>
      <c r="Q488" s="4">
        <v>2</v>
      </c>
      <c r="R488" s="4">
        <v>1</v>
      </c>
      <c r="S488" s="4">
        <v>2046</v>
      </c>
      <c r="T488" s="8" t="s">
        <v>38</v>
      </c>
      <c r="U488" t="str">
        <f>IF(OR(E488&lt;'Q1'!$E$13,E488&gt;'Q1'!$E$14),"Outliers","Not an Outliers")</f>
        <v>Not an Outliers</v>
      </c>
      <c r="V488" t="str">
        <f t="shared" si="7"/>
        <v>Weekday</v>
      </c>
    </row>
    <row r="489" spans="1:22" x14ac:dyDescent="0.3">
      <c r="A489" s="24">
        <v>45483</v>
      </c>
      <c r="B489" s="9" t="s">
        <v>52</v>
      </c>
      <c r="C489" s="9" t="s">
        <v>21</v>
      </c>
      <c r="D489" s="9" t="s">
        <v>22</v>
      </c>
      <c r="E489" s="5">
        <v>9264</v>
      </c>
      <c r="F489" s="5" t="b">
        <v>1</v>
      </c>
      <c r="G489" s="9" t="s">
        <v>34</v>
      </c>
      <c r="H489" s="9" t="s">
        <v>24</v>
      </c>
      <c r="I489" s="9" t="s">
        <v>47</v>
      </c>
      <c r="J489" s="9" t="s">
        <v>26</v>
      </c>
      <c r="K489" s="5">
        <v>5</v>
      </c>
      <c r="L489" s="9" t="s">
        <v>49</v>
      </c>
      <c r="M489" s="9" t="s">
        <v>73</v>
      </c>
      <c r="N489" s="5" t="b">
        <v>0</v>
      </c>
      <c r="O489" s="5">
        <v>111</v>
      </c>
      <c r="P489" s="9" t="s">
        <v>29</v>
      </c>
      <c r="Q489" s="5">
        <v>3</v>
      </c>
      <c r="R489" s="5">
        <v>1</v>
      </c>
      <c r="S489" s="5">
        <v>1740</v>
      </c>
      <c r="T489" s="10" t="s">
        <v>51</v>
      </c>
      <c r="U489" t="str">
        <f>IF(OR(E489&lt;'Q1'!$E$13,E489&gt;'Q1'!$E$14),"Outliers","Not an Outliers")</f>
        <v>Not an Outliers</v>
      </c>
      <c r="V489" t="str">
        <f t="shared" si="7"/>
        <v>Weekday</v>
      </c>
    </row>
    <row r="490" spans="1:22" x14ac:dyDescent="0.3">
      <c r="A490" s="23">
        <v>45483</v>
      </c>
      <c r="B490" s="7" t="s">
        <v>76</v>
      </c>
      <c r="C490" s="7" t="s">
        <v>32</v>
      </c>
      <c r="D490" s="7" t="s">
        <v>22</v>
      </c>
      <c r="E490" s="4">
        <v>9857</v>
      </c>
      <c r="F490" s="4" t="b">
        <v>0</v>
      </c>
      <c r="G490" s="7" t="s">
        <v>23</v>
      </c>
      <c r="H490" s="7" t="s">
        <v>35</v>
      </c>
      <c r="I490" s="7" t="s">
        <v>25</v>
      </c>
      <c r="J490" s="7" t="s">
        <v>48</v>
      </c>
      <c r="K490" s="4">
        <v>5</v>
      </c>
      <c r="L490" s="7" t="s">
        <v>36</v>
      </c>
      <c r="M490" s="7" t="s">
        <v>66</v>
      </c>
      <c r="N490" s="4" t="b">
        <v>1</v>
      </c>
      <c r="O490" s="4">
        <v>83</v>
      </c>
      <c r="P490" s="7" t="s">
        <v>29</v>
      </c>
      <c r="Q490" s="4">
        <v>10</v>
      </c>
      <c r="R490" s="4">
        <v>2</v>
      </c>
      <c r="S490" s="4">
        <v>977</v>
      </c>
      <c r="T490" s="8" t="s">
        <v>51</v>
      </c>
      <c r="U490" t="str">
        <f>IF(OR(E490&lt;'Q1'!$E$13,E490&gt;'Q1'!$E$14),"Outliers","Not an Outliers")</f>
        <v>Not an Outliers</v>
      </c>
      <c r="V490" t="str">
        <f t="shared" si="7"/>
        <v>Weekday</v>
      </c>
    </row>
    <row r="491" spans="1:22" x14ac:dyDescent="0.3">
      <c r="A491" s="24">
        <v>45484</v>
      </c>
      <c r="B491" s="9" t="s">
        <v>44</v>
      </c>
      <c r="C491" s="9" t="s">
        <v>60</v>
      </c>
      <c r="D491" s="9" t="s">
        <v>61</v>
      </c>
      <c r="E491" s="5">
        <v>1000</v>
      </c>
      <c r="F491" s="5" t="b">
        <v>1</v>
      </c>
      <c r="G491" s="9" t="s">
        <v>40</v>
      </c>
      <c r="H491" s="9" t="s">
        <v>41</v>
      </c>
      <c r="I491" s="9" t="s">
        <v>59</v>
      </c>
      <c r="J491" s="9" t="s">
        <v>48</v>
      </c>
      <c r="K491" s="5">
        <v>1</v>
      </c>
      <c r="L491" s="9" t="s">
        <v>49</v>
      </c>
      <c r="M491" s="9" t="s">
        <v>28</v>
      </c>
      <c r="N491" s="5" t="b">
        <v>0</v>
      </c>
      <c r="O491" s="5">
        <v>31</v>
      </c>
      <c r="P491" s="9" t="s">
        <v>37</v>
      </c>
      <c r="Q491" s="5">
        <v>2</v>
      </c>
      <c r="R491" s="5">
        <v>2</v>
      </c>
      <c r="S491" s="5">
        <v>2737</v>
      </c>
      <c r="T491" s="10" t="s">
        <v>38</v>
      </c>
      <c r="U491" t="str">
        <f>IF(OR(E491&lt;'Q1'!$E$13,E491&gt;'Q1'!$E$14),"Outliers","Not an Outliers")</f>
        <v>Not an Outliers</v>
      </c>
      <c r="V491" t="str">
        <f t="shared" si="7"/>
        <v>Weekday</v>
      </c>
    </row>
    <row r="492" spans="1:22" x14ac:dyDescent="0.3">
      <c r="A492" s="23">
        <v>45484</v>
      </c>
      <c r="B492" s="7" t="s">
        <v>77</v>
      </c>
      <c r="C492" s="7" t="s">
        <v>32</v>
      </c>
      <c r="D492" s="7" t="s">
        <v>57</v>
      </c>
      <c r="E492" s="4">
        <v>1000</v>
      </c>
      <c r="F492" s="4" t="b">
        <v>1</v>
      </c>
      <c r="G492" s="7" t="s">
        <v>23</v>
      </c>
      <c r="H492" s="7" t="s">
        <v>70</v>
      </c>
      <c r="I492" s="7" t="s">
        <v>42</v>
      </c>
      <c r="J492" s="7" t="s">
        <v>26</v>
      </c>
      <c r="K492" s="4">
        <v>5</v>
      </c>
      <c r="L492" s="7" t="s">
        <v>27</v>
      </c>
      <c r="M492" s="7" t="s">
        <v>73</v>
      </c>
      <c r="N492" s="4" t="b">
        <v>1</v>
      </c>
      <c r="O492" s="4">
        <v>71</v>
      </c>
      <c r="P492" s="7" t="s">
        <v>63</v>
      </c>
      <c r="Q492" s="4">
        <v>2</v>
      </c>
      <c r="R492" s="4">
        <v>1</v>
      </c>
      <c r="S492" s="4">
        <v>637</v>
      </c>
      <c r="T492" s="8" t="s">
        <v>30</v>
      </c>
      <c r="U492" t="str">
        <f>IF(OR(E492&lt;'Q1'!$E$13,E492&gt;'Q1'!$E$14),"Outliers","Not an Outliers")</f>
        <v>Not an Outliers</v>
      </c>
      <c r="V492" t="str">
        <f t="shared" si="7"/>
        <v>Weekday</v>
      </c>
    </row>
    <row r="493" spans="1:22" x14ac:dyDescent="0.3">
      <c r="A493" s="24">
        <v>45484</v>
      </c>
      <c r="B493" s="9" t="s">
        <v>75</v>
      </c>
      <c r="C493" s="9" t="s">
        <v>32</v>
      </c>
      <c r="D493" s="9" t="s">
        <v>57</v>
      </c>
      <c r="E493" s="5">
        <v>1000</v>
      </c>
      <c r="F493" s="5" t="b">
        <v>0</v>
      </c>
      <c r="G493" s="9" t="s">
        <v>65</v>
      </c>
      <c r="H493" s="9" t="s">
        <v>41</v>
      </c>
      <c r="I493" s="9" t="s">
        <v>47</v>
      </c>
      <c r="J493" s="9" t="s">
        <v>54</v>
      </c>
      <c r="K493" s="5">
        <v>1</v>
      </c>
      <c r="L493" s="9" t="s">
        <v>36</v>
      </c>
      <c r="M493" s="9" t="s">
        <v>73</v>
      </c>
      <c r="N493" s="5" t="b">
        <v>1</v>
      </c>
      <c r="O493" s="5">
        <v>116</v>
      </c>
      <c r="P493" s="9" t="s">
        <v>37</v>
      </c>
      <c r="Q493" s="5">
        <v>6</v>
      </c>
      <c r="R493" s="5">
        <v>3</v>
      </c>
      <c r="S493" s="5">
        <v>3416</v>
      </c>
      <c r="T493" s="10" t="s">
        <v>30</v>
      </c>
      <c r="U493" t="str">
        <f>IF(OR(E493&lt;'Q1'!$E$13,E493&gt;'Q1'!$E$14),"Outliers","Not an Outliers")</f>
        <v>Not an Outliers</v>
      </c>
      <c r="V493" t="str">
        <f t="shared" si="7"/>
        <v>Weekday</v>
      </c>
    </row>
    <row r="494" spans="1:22" x14ac:dyDescent="0.3">
      <c r="A494" s="23">
        <v>45484</v>
      </c>
      <c r="B494" s="7" t="s">
        <v>31</v>
      </c>
      <c r="C494" s="7" t="s">
        <v>32</v>
      </c>
      <c r="D494" s="7" t="s">
        <v>46</v>
      </c>
      <c r="E494" s="4">
        <v>1471</v>
      </c>
      <c r="F494" s="4" t="b">
        <v>0</v>
      </c>
      <c r="G494" s="7" t="s">
        <v>64</v>
      </c>
      <c r="H494" s="7" t="s">
        <v>41</v>
      </c>
      <c r="I494" s="7" t="s">
        <v>47</v>
      </c>
      <c r="J494" s="7" t="s">
        <v>54</v>
      </c>
      <c r="K494" s="4">
        <v>3</v>
      </c>
      <c r="L494" s="7" t="s">
        <v>49</v>
      </c>
      <c r="M494" s="7" t="s">
        <v>66</v>
      </c>
      <c r="N494" s="4" t="b">
        <v>0</v>
      </c>
      <c r="O494" s="4">
        <v>5</v>
      </c>
      <c r="P494" s="7" t="s">
        <v>37</v>
      </c>
      <c r="Q494" s="4">
        <v>3</v>
      </c>
      <c r="R494" s="4">
        <v>1</v>
      </c>
      <c r="S494" s="4">
        <v>876</v>
      </c>
      <c r="T494" s="8" t="s">
        <v>30</v>
      </c>
      <c r="U494" t="str">
        <f>IF(OR(E494&lt;'Q1'!$E$13,E494&gt;'Q1'!$E$14),"Outliers","Not an Outliers")</f>
        <v>Not an Outliers</v>
      </c>
      <c r="V494" t="str">
        <f t="shared" si="7"/>
        <v>Weekday</v>
      </c>
    </row>
    <row r="495" spans="1:22" x14ac:dyDescent="0.3">
      <c r="A495" s="24">
        <v>45485</v>
      </c>
      <c r="B495" s="9" t="s">
        <v>68</v>
      </c>
      <c r="C495" s="9" t="s">
        <v>32</v>
      </c>
      <c r="D495" s="9" t="s">
        <v>46</v>
      </c>
      <c r="E495" s="5">
        <v>3483</v>
      </c>
      <c r="F495" s="5" t="b">
        <v>1</v>
      </c>
      <c r="G495" s="9" t="s">
        <v>64</v>
      </c>
      <c r="H495" s="9" t="s">
        <v>24</v>
      </c>
      <c r="I495" s="9" t="s">
        <v>42</v>
      </c>
      <c r="J495" s="9" t="s">
        <v>43</v>
      </c>
      <c r="K495" s="5">
        <v>4</v>
      </c>
      <c r="L495" s="9" t="s">
        <v>36</v>
      </c>
      <c r="M495" s="9" t="s">
        <v>28</v>
      </c>
      <c r="N495" s="5" t="b">
        <v>0</v>
      </c>
      <c r="O495" s="5">
        <v>7</v>
      </c>
      <c r="P495" s="9" t="s">
        <v>37</v>
      </c>
      <c r="Q495" s="5">
        <v>1</v>
      </c>
      <c r="R495" s="5">
        <v>2</v>
      </c>
      <c r="S495" s="5">
        <v>716</v>
      </c>
      <c r="T495" s="10" t="s">
        <v>38</v>
      </c>
      <c r="U495" t="str">
        <f>IF(OR(E495&lt;'Q1'!$E$13,E495&gt;'Q1'!$E$14),"Outliers","Not an Outliers")</f>
        <v>Not an Outliers</v>
      </c>
      <c r="V495" t="str">
        <f t="shared" si="7"/>
        <v>Weekday</v>
      </c>
    </row>
    <row r="496" spans="1:22" x14ac:dyDescent="0.3">
      <c r="A496" s="23">
        <v>45486</v>
      </c>
      <c r="B496" s="7" t="s">
        <v>77</v>
      </c>
      <c r="C496" s="7" t="s">
        <v>45</v>
      </c>
      <c r="D496" s="7" t="s">
        <v>33</v>
      </c>
      <c r="E496" s="4">
        <v>3910</v>
      </c>
      <c r="F496" s="4" t="b">
        <v>1</v>
      </c>
      <c r="G496" s="7" t="s">
        <v>34</v>
      </c>
      <c r="H496" s="7" t="s">
        <v>35</v>
      </c>
      <c r="I496" s="7" t="s">
        <v>42</v>
      </c>
      <c r="J496" s="7" t="s">
        <v>48</v>
      </c>
      <c r="K496" s="4">
        <v>2</v>
      </c>
      <c r="L496" s="7" t="s">
        <v>49</v>
      </c>
      <c r="M496" s="7" t="s">
        <v>28</v>
      </c>
      <c r="N496" s="4" t="b">
        <v>1</v>
      </c>
      <c r="O496" s="4">
        <v>27</v>
      </c>
      <c r="P496" s="7" t="s">
        <v>67</v>
      </c>
      <c r="Q496" s="4">
        <v>2</v>
      </c>
      <c r="R496" s="4">
        <v>2</v>
      </c>
      <c r="S496" s="4">
        <v>4390</v>
      </c>
      <c r="T496" s="8" t="s">
        <v>30</v>
      </c>
      <c r="U496" t="str">
        <f>IF(OR(E496&lt;'Q1'!$E$13,E496&gt;'Q1'!$E$14),"Outliers","Not an Outliers")</f>
        <v>Not an Outliers</v>
      </c>
      <c r="V496" t="str">
        <f t="shared" si="7"/>
        <v>Weekend</v>
      </c>
    </row>
    <row r="497" spans="1:22" x14ac:dyDescent="0.3">
      <c r="A497" s="24">
        <v>45486</v>
      </c>
      <c r="B497" s="9" t="s">
        <v>75</v>
      </c>
      <c r="C497" s="9" t="s">
        <v>21</v>
      </c>
      <c r="D497" s="9" t="s">
        <v>57</v>
      </c>
      <c r="E497" s="5">
        <v>1000</v>
      </c>
      <c r="F497" s="5" t="b">
        <v>0</v>
      </c>
      <c r="G497" s="9" t="s">
        <v>34</v>
      </c>
      <c r="H497" s="9" t="s">
        <v>35</v>
      </c>
      <c r="I497" s="9" t="s">
        <v>42</v>
      </c>
      <c r="J497" s="9" t="s">
        <v>48</v>
      </c>
      <c r="K497" s="5">
        <v>5</v>
      </c>
      <c r="L497" s="9" t="s">
        <v>49</v>
      </c>
      <c r="M497" s="9" t="s">
        <v>66</v>
      </c>
      <c r="N497" s="5" t="b">
        <v>1</v>
      </c>
      <c r="O497" s="5">
        <v>71</v>
      </c>
      <c r="P497" s="9" t="s">
        <v>50</v>
      </c>
      <c r="Q497" s="5">
        <v>1</v>
      </c>
      <c r="R497" s="5">
        <v>3</v>
      </c>
      <c r="S497" s="5">
        <v>4511</v>
      </c>
      <c r="T497" s="10" t="s">
        <v>30</v>
      </c>
      <c r="U497" t="str">
        <f>IF(OR(E497&lt;'Q1'!$E$13,E497&gt;'Q1'!$E$14),"Outliers","Not an Outliers")</f>
        <v>Not an Outliers</v>
      </c>
      <c r="V497" t="str">
        <f t="shared" si="7"/>
        <v>Weekend</v>
      </c>
    </row>
    <row r="498" spans="1:22" x14ac:dyDescent="0.3">
      <c r="A498" s="23">
        <v>45486</v>
      </c>
      <c r="B498" s="7" t="s">
        <v>74</v>
      </c>
      <c r="C498" s="7" t="s">
        <v>56</v>
      </c>
      <c r="D498" s="7" t="s">
        <v>53</v>
      </c>
      <c r="E498" s="4">
        <v>4627</v>
      </c>
      <c r="F498" s="4" t="b">
        <v>0</v>
      </c>
      <c r="G498" s="7" t="s">
        <v>65</v>
      </c>
      <c r="H498" s="7" t="s">
        <v>70</v>
      </c>
      <c r="I498" s="7" t="s">
        <v>59</v>
      </c>
      <c r="J498" s="7" t="s">
        <v>48</v>
      </c>
      <c r="K498" s="4">
        <v>5</v>
      </c>
      <c r="L498" s="7" t="s">
        <v>27</v>
      </c>
      <c r="M498" s="7" t="s">
        <v>58</v>
      </c>
      <c r="N498" s="4" t="b">
        <v>1</v>
      </c>
      <c r="O498" s="4">
        <v>29</v>
      </c>
      <c r="P498" s="7" t="s">
        <v>37</v>
      </c>
      <c r="Q498" s="4">
        <v>5</v>
      </c>
      <c r="R498" s="4">
        <v>2</v>
      </c>
      <c r="S498" s="4">
        <v>3367</v>
      </c>
      <c r="T498" s="8" t="s">
        <v>38</v>
      </c>
      <c r="U498" t="str">
        <f>IF(OR(E498&lt;'Q1'!$E$13,E498&gt;'Q1'!$E$14),"Outliers","Not an Outliers")</f>
        <v>Not an Outliers</v>
      </c>
      <c r="V498" t="str">
        <f t="shared" si="7"/>
        <v>Weekend</v>
      </c>
    </row>
    <row r="499" spans="1:22" x14ac:dyDescent="0.3">
      <c r="A499" s="24">
        <v>45487</v>
      </c>
      <c r="B499" s="9" t="s">
        <v>39</v>
      </c>
      <c r="C499" s="9" t="s">
        <v>45</v>
      </c>
      <c r="D499" s="9" t="s">
        <v>22</v>
      </c>
      <c r="E499" s="5">
        <v>9744</v>
      </c>
      <c r="F499" s="5" t="b">
        <v>0</v>
      </c>
      <c r="G499" s="9" t="s">
        <v>23</v>
      </c>
      <c r="H499" s="9" t="s">
        <v>24</v>
      </c>
      <c r="I499" s="9" t="s">
        <v>59</v>
      </c>
      <c r="J499" s="9" t="s">
        <v>48</v>
      </c>
      <c r="K499" s="5">
        <v>5</v>
      </c>
      <c r="L499" s="9" t="s">
        <v>36</v>
      </c>
      <c r="M499" s="9" t="s">
        <v>66</v>
      </c>
      <c r="N499" s="5" t="b">
        <v>0</v>
      </c>
      <c r="O499" s="5">
        <v>115</v>
      </c>
      <c r="P499" s="9" t="s">
        <v>67</v>
      </c>
      <c r="Q499" s="5">
        <v>9</v>
      </c>
      <c r="R499" s="5">
        <v>1</v>
      </c>
      <c r="S499" s="5">
        <v>2739</v>
      </c>
      <c r="T499" s="10" t="s">
        <v>30</v>
      </c>
      <c r="U499" t="str">
        <f>IF(OR(E499&lt;'Q1'!$E$13,E499&gt;'Q1'!$E$14),"Outliers","Not an Outliers")</f>
        <v>Not an Outliers</v>
      </c>
      <c r="V499" t="str">
        <f t="shared" si="7"/>
        <v>Weekend</v>
      </c>
    </row>
    <row r="500" spans="1:22" x14ac:dyDescent="0.3">
      <c r="A500" s="23">
        <v>45488</v>
      </c>
      <c r="B500" s="7" t="s">
        <v>39</v>
      </c>
      <c r="C500" s="7" t="s">
        <v>60</v>
      </c>
      <c r="D500" s="7" t="s">
        <v>22</v>
      </c>
      <c r="E500" s="4">
        <v>9051</v>
      </c>
      <c r="F500" s="4" t="b">
        <v>0</v>
      </c>
      <c r="G500" s="7" t="s">
        <v>34</v>
      </c>
      <c r="H500" s="7" t="s">
        <v>41</v>
      </c>
      <c r="I500" s="7" t="s">
        <v>47</v>
      </c>
      <c r="J500" s="7" t="s">
        <v>48</v>
      </c>
      <c r="K500" s="4">
        <v>2</v>
      </c>
      <c r="L500" s="7" t="s">
        <v>49</v>
      </c>
      <c r="M500" s="7" t="s">
        <v>73</v>
      </c>
      <c r="N500" s="4" t="b">
        <v>0</v>
      </c>
      <c r="O500" s="4">
        <v>55</v>
      </c>
      <c r="P500" s="7" t="s">
        <v>50</v>
      </c>
      <c r="Q500" s="4">
        <v>9</v>
      </c>
      <c r="R500" s="4">
        <v>2</v>
      </c>
      <c r="S500" s="4">
        <v>4410</v>
      </c>
      <c r="T500" s="8" t="s">
        <v>51</v>
      </c>
      <c r="U500" t="str">
        <f>IF(OR(E500&lt;'Q1'!$E$13,E500&gt;'Q1'!$E$14),"Outliers","Not an Outliers")</f>
        <v>Not an Outliers</v>
      </c>
      <c r="V500" t="str">
        <f t="shared" si="7"/>
        <v>Weekday</v>
      </c>
    </row>
    <row r="501" spans="1:22" x14ac:dyDescent="0.3">
      <c r="A501" s="24">
        <v>45488</v>
      </c>
      <c r="B501" s="9" t="s">
        <v>62</v>
      </c>
      <c r="C501" s="9" t="s">
        <v>21</v>
      </c>
      <c r="D501" s="9" t="s">
        <v>46</v>
      </c>
      <c r="E501" s="5">
        <v>1247</v>
      </c>
      <c r="F501" s="5" t="b">
        <v>0</v>
      </c>
      <c r="G501" s="9" t="s">
        <v>34</v>
      </c>
      <c r="H501" s="9" t="s">
        <v>41</v>
      </c>
      <c r="I501" s="9" t="s">
        <v>47</v>
      </c>
      <c r="J501" s="9" t="s">
        <v>43</v>
      </c>
      <c r="K501" s="5">
        <v>3</v>
      </c>
      <c r="L501" s="9" t="s">
        <v>27</v>
      </c>
      <c r="M501" s="9" t="s">
        <v>73</v>
      </c>
      <c r="N501" s="5" t="b">
        <v>1</v>
      </c>
      <c r="O501" s="5">
        <v>6</v>
      </c>
      <c r="P501" s="9" t="s">
        <v>67</v>
      </c>
      <c r="Q501" s="5">
        <v>4</v>
      </c>
      <c r="R501" s="5">
        <v>2</v>
      </c>
      <c r="S501" s="5">
        <v>2385</v>
      </c>
      <c r="T501" s="10" t="s">
        <v>38</v>
      </c>
      <c r="U501" t="str">
        <f>IF(OR(E501&lt;'Q1'!$E$13,E501&gt;'Q1'!$E$14),"Outliers","Not an Outliers")</f>
        <v>Not an Outliers</v>
      </c>
      <c r="V501" t="str">
        <f t="shared" si="7"/>
        <v>Weekday</v>
      </c>
    </row>
    <row r="502" spans="1:22" x14ac:dyDescent="0.3">
      <c r="A502" s="23">
        <v>45488</v>
      </c>
      <c r="B502" s="7" t="s">
        <v>52</v>
      </c>
      <c r="C502" s="7" t="s">
        <v>32</v>
      </c>
      <c r="D502" s="7" t="s">
        <v>57</v>
      </c>
      <c r="E502" s="4">
        <v>1000</v>
      </c>
      <c r="F502" s="4" t="b">
        <v>1</v>
      </c>
      <c r="G502" s="7" t="s">
        <v>65</v>
      </c>
      <c r="H502" s="7" t="s">
        <v>24</v>
      </c>
      <c r="I502" s="7" t="s">
        <v>47</v>
      </c>
      <c r="J502" s="7" t="s">
        <v>43</v>
      </c>
      <c r="K502" s="4">
        <v>0</v>
      </c>
      <c r="L502" s="7" t="s">
        <v>36</v>
      </c>
      <c r="M502" s="7" t="s">
        <v>28</v>
      </c>
      <c r="N502" s="4" t="b">
        <v>0</v>
      </c>
      <c r="O502" s="4">
        <v>79</v>
      </c>
      <c r="P502" s="7" t="s">
        <v>67</v>
      </c>
      <c r="Q502" s="4">
        <v>3</v>
      </c>
      <c r="R502" s="4">
        <v>3</v>
      </c>
      <c r="S502" s="4">
        <v>1436</v>
      </c>
      <c r="T502" s="8" t="s">
        <v>38</v>
      </c>
      <c r="U502" t="str">
        <f>IF(OR(E502&lt;'Q1'!$E$13,E502&gt;'Q1'!$E$14),"Outliers","Not an Outliers")</f>
        <v>Not an Outliers</v>
      </c>
      <c r="V502" t="str">
        <f t="shared" si="7"/>
        <v>Weekday</v>
      </c>
    </row>
    <row r="503" spans="1:22" x14ac:dyDescent="0.3">
      <c r="A503" s="24">
        <v>45489</v>
      </c>
      <c r="B503" s="9" t="s">
        <v>68</v>
      </c>
      <c r="C503" s="9" t="s">
        <v>45</v>
      </c>
      <c r="D503" s="9" t="s">
        <v>33</v>
      </c>
      <c r="E503" s="5">
        <v>2307</v>
      </c>
      <c r="F503" s="5" t="b">
        <v>1</v>
      </c>
      <c r="G503" s="9" t="s">
        <v>40</v>
      </c>
      <c r="H503" s="9" t="s">
        <v>24</v>
      </c>
      <c r="I503" s="9" t="s">
        <v>59</v>
      </c>
      <c r="J503" s="9" t="s">
        <v>43</v>
      </c>
      <c r="K503" s="5">
        <v>1</v>
      </c>
      <c r="L503" s="9" t="s">
        <v>36</v>
      </c>
      <c r="M503" s="9" t="s">
        <v>66</v>
      </c>
      <c r="N503" s="5" t="b">
        <v>1</v>
      </c>
      <c r="O503" s="5">
        <v>75</v>
      </c>
      <c r="P503" s="9" t="s">
        <v>67</v>
      </c>
      <c r="Q503" s="5">
        <v>5</v>
      </c>
      <c r="R503" s="5">
        <v>1</v>
      </c>
      <c r="S503" s="5">
        <v>2446</v>
      </c>
      <c r="T503" s="10" t="s">
        <v>30</v>
      </c>
      <c r="U503" t="str">
        <f>IF(OR(E503&lt;'Q1'!$E$13,E503&gt;'Q1'!$E$14),"Outliers","Not an Outliers")</f>
        <v>Not an Outliers</v>
      </c>
      <c r="V503" t="str">
        <f t="shared" si="7"/>
        <v>Weekday</v>
      </c>
    </row>
    <row r="504" spans="1:22" x14ac:dyDescent="0.3">
      <c r="A504" s="23">
        <v>45489</v>
      </c>
      <c r="B504" s="7" t="s">
        <v>20</v>
      </c>
      <c r="C504" s="7" t="s">
        <v>56</v>
      </c>
      <c r="D504" s="7" t="s">
        <v>33</v>
      </c>
      <c r="E504" s="4">
        <v>1583</v>
      </c>
      <c r="F504" s="4" t="b">
        <v>1</v>
      </c>
      <c r="G504" s="7" t="s">
        <v>40</v>
      </c>
      <c r="H504" s="7" t="s">
        <v>70</v>
      </c>
      <c r="I504" s="7" t="s">
        <v>25</v>
      </c>
      <c r="J504" s="7" t="s">
        <v>43</v>
      </c>
      <c r="K504" s="4">
        <v>22</v>
      </c>
      <c r="L504" s="7" t="s">
        <v>49</v>
      </c>
      <c r="M504" s="7" t="s">
        <v>66</v>
      </c>
      <c r="N504" s="4" t="b">
        <v>0</v>
      </c>
      <c r="O504" s="4">
        <v>39</v>
      </c>
      <c r="P504" s="7" t="s">
        <v>67</v>
      </c>
      <c r="Q504" s="4">
        <v>7</v>
      </c>
      <c r="R504" s="4">
        <v>3</v>
      </c>
      <c r="S504" s="4">
        <v>908</v>
      </c>
      <c r="T504" s="8" t="s">
        <v>38</v>
      </c>
      <c r="U504" t="str">
        <f>IF(OR(E504&lt;'Q1'!$E$13,E504&gt;'Q1'!$E$14),"Outliers","Not an Outliers")</f>
        <v>Not an Outliers</v>
      </c>
      <c r="V504" t="str">
        <f t="shared" si="7"/>
        <v>Weekday</v>
      </c>
    </row>
    <row r="505" spans="1:22" x14ac:dyDescent="0.3">
      <c r="A505" s="24">
        <v>45490</v>
      </c>
      <c r="B505" s="9" t="s">
        <v>74</v>
      </c>
      <c r="C505" s="9" t="s">
        <v>45</v>
      </c>
      <c r="D505" s="9" t="s">
        <v>22</v>
      </c>
      <c r="E505" s="5">
        <v>6948</v>
      </c>
      <c r="F505" s="5" t="b">
        <v>0</v>
      </c>
      <c r="G505" s="9" t="s">
        <v>65</v>
      </c>
      <c r="H505" s="9" t="s">
        <v>24</v>
      </c>
      <c r="I505" s="9" t="s">
        <v>25</v>
      </c>
      <c r="J505" s="9" t="s">
        <v>26</v>
      </c>
      <c r="K505" s="5">
        <v>1</v>
      </c>
      <c r="L505" s="9" t="s">
        <v>27</v>
      </c>
      <c r="M505" s="9" t="s">
        <v>73</v>
      </c>
      <c r="N505" s="5" t="b">
        <v>1</v>
      </c>
      <c r="O505" s="5">
        <v>22</v>
      </c>
      <c r="P505" s="9" t="s">
        <v>37</v>
      </c>
      <c r="Q505" s="5">
        <v>2</v>
      </c>
      <c r="R505" s="5">
        <v>1</v>
      </c>
      <c r="S505" s="5">
        <v>4062</v>
      </c>
      <c r="T505" s="10" t="s">
        <v>38</v>
      </c>
      <c r="U505" t="str">
        <f>IF(OR(E505&lt;'Q1'!$E$13,E505&gt;'Q1'!$E$14),"Outliers","Not an Outliers")</f>
        <v>Not an Outliers</v>
      </c>
      <c r="V505" t="str">
        <f t="shared" si="7"/>
        <v>Weekday</v>
      </c>
    </row>
    <row r="506" spans="1:22" x14ac:dyDescent="0.3">
      <c r="A506" s="23">
        <v>45490</v>
      </c>
      <c r="B506" s="7" t="s">
        <v>69</v>
      </c>
      <c r="C506" s="7" t="s">
        <v>60</v>
      </c>
      <c r="D506" s="7" t="s">
        <v>61</v>
      </c>
      <c r="E506" s="4">
        <v>1000</v>
      </c>
      <c r="F506" s="4" t="b">
        <v>0</v>
      </c>
      <c r="G506" s="7" t="s">
        <v>40</v>
      </c>
      <c r="H506" s="7" t="s">
        <v>35</v>
      </c>
      <c r="I506" s="7" t="s">
        <v>47</v>
      </c>
      <c r="J506" s="7" t="s">
        <v>54</v>
      </c>
      <c r="K506" s="4">
        <v>2</v>
      </c>
      <c r="L506" s="7" t="s">
        <v>49</v>
      </c>
      <c r="M506" s="7" t="s">
        <v>73</v>
      </c>
      <c r="N506" s="4" t="b">
        <v>1</v>
      </c>
      <c r="O506" s="4">
        <v>69</v>
      </c>
      <c r="P506" s="7" t="s">
        <v>50</v>
      </c>
      <c r="Q506" s="4">
        <v>7</v>
      </c>
      <c r="R506" s="4">
        <v>2</v>
      </c>
      <c r="S506" s="4">
        <v>1158</v>
      </c>
      <c r="T506" s="8" t="s">
        <v>38</v>
      </c>
      <c r="U506" t="str">
        <f>IF(OR(E506&lt;'Q1'!$E$13,E506&gt;'Q1'!$E$14),"Outliers","Not an Outliers")</f>
        <v>Not an Outliers</v>
      </c>
      <c r="V506" t="str">
        <f t="shared" si="7"/>
        <v>Weekday</v>
      </c>
    </row>
    <row r="507" spans="1:22" x14ac:dyDescent="0.3">
      <c r="A507" s="24">
        <v>45490</v>
      </c>
      <c r="B507" s="9" t="s">
        <v>44</v>
      </c>
      <c r="C507" s="9" t="s">
        <v>45</v>
      </c>
      <c r="D507" s="9" t="s">
        <v>33</v>
      </c>
      <c r="E507" s="5">
        <v>1591</v>
      </c>
      <c r="F507" s="5" t="b">
        <v>0</v>
      </c>
      <c r="G507" s="9" t="s">
        <v>64</v>
      </c>
      <c r="H507" s="9" t="s">
        <v>41</v>
      </c>
      <c r="I507" s="9" t="s">
        <v>59</v>
      </c>
      <c r="J507" s="9" t="s">
        <v>48</v>
      </c>
      <c r="K507" s="5">
        <v>0</v>
      </c>
      <c r="L507" s="9" t="s">
        <v>27</v>
      </c>
      <c r="M507" s="9" t="s">
        <v>28</v>
      </c>
      <c r="N507" s="5" t="b">
        <v>1</v>
      </c>
      <c r="O507" s="5">
        <v>9</v>
      </c>
      <c r="P507" s="9" t="s">
        <v>37</v>
      </c>
      <c r="Q507" s="5">
        <v>10</v>
      </c>
      <c r="R507" s="5">
        <v>3</v>
      </c>
      <c r="S507" s="5">
        <v>3282</v>
      </c>
      <c r="T507" s="10" t="s">
        <v>51</v>
      </c>
      <c r="U507" t="str">
        <f>IF(OR(E507&lt;'Q1'!$E$13,E507&gt;'Q1'!$E$14),"Outliers","Not an Outliers")</f>
        <v>Not an Outliers</v>
      </c>
      <c r="V507" t="str">
        <f t="shared" si="7"/>
        <v>Weekday</v>
      </c>
    </row>
    <row r="508" spans="1:22" x14ac:dyDescent="0.3">
      <c r="A508" s="23">
        <v>45491</v>
      </c>
      <c r="B508" s="7" t="s">
        <v>68</v>
      </c>
      <c r="C508" s="7" t="s">
        <v>32</v>
      </c>
      <c r="D508" s="7" t="s">
        <v>22</v>
      </c>
      <c r="E508" s="4">
        <v>9886</v>
      </c>
      <c r="F508" s="4" t="b">
        <v>0</v>
      </c>
      <c r="G508" s="7" t="s">
        <v>65</v>
      </c>
      <c r="H508" s="7" t="s">
        <v>24</v>
      </c>
      <c r="I508" s="7" t="s">
        <v>47</v>
      </c>
      <c r="J508" s="7" t="s">
        <v>26</v>
      </c>
      <c r="K508" s="4">
        <v>2</v>
      </c>
      <c r="L508" s="7" t="s">
        <v>49</v>
      </c>
      <c r="M508" s="7" t="s">
        <v>66</v>
      </c>
      <c r="N508" s="4" t="b">
        <v>0</v>
      </c>
      <c r="O508" s="4">
        <v>119</v>
      </c>
      <c r="P508" s="7" t="s">
        <v>67</v>
      </c>
      <c r="Q508" s="4">
        <v>1</v>
      </c>
      <c r="R508" s="4">
        <v>2</v>
      </c>
      <c r="S508" s="4">
        <v>3914</v>
      </c>
      <c r="T508" s="8" t="s">
        <v>30</v>
      </c>
      <c r="U508" t="str">
        <f>IF(OR(E508&lt;'Q1'!$E$13,E508&gt;'Q1'!$E$14),"Outliers","Not an Outliers")</f>
        <v>Not an Outliers</v>
      </c>
      <c r="V508" t="str">
        <f t="shared" si="7"/>
        <v>Weekday</v>
      </c>
    </row>
    <row r="509" spans="1:22" x14ac:dyDescent="0.3">
      <c r="A509" s="24">
        <v>45492</v>
      </c>
      <c r="B509" s="9" t="s">
        <v>20</v>
      </c>
      <c r="C509" s="9" t="s">
        <v>45</v>
      </c>
      <c r="D509" s="9" t="s">
        <v>22</v>
      </c>
      <c r="E509" s="5">
        <v>5701</v>
      </c>
      <c r="F509" s="5" t="b">
        <v>0</v>
      </c>
      <c r="G509" s="9" t="s">
        <v>64</v>
      </c>
      <c r="H509" s="9" t="s">
        <v>24</v>
      </c>
      <c r="I509" s="9" t="s">
        <v>59</v>
      </c>
      <c r="J509" s="9" t="s">
        <v>43</v>
      </c>
      <c r="K509" s="5">
        <v>1</v>
      </c>
      <c r="L509" s="9" t="s">
        <v>27</v>
      </c>
      <c r="M509" s="9" t="s">
        <v>58</v>
      </c>
      <c r="N509" s="5" t="b">
        <v>1</v>
      </c>
      <c r="O509" s="5">
        <v>83</v>
      </c>
      <c r="P509" s="9" t="s">
        <v>50</v>
      </c>
      <c r="Q509" s="5">
        <v>10</v>
      </c>
      <c r="R509" s="5">
        <v>1</v>
      </c>
      <c r="S509" s="5">
        <v>4799</v>
      </c>
      <c r="T509" s="10" t="s">
        <v>38</v>
      </c>
      <c r="U509" t="str">
        <f>IF(OR(E509&lt;'Q1'!$E$13,E509&gt;'Q1'!$E$14),"Outliers","Not an Outliers")</f>
        <v>Not an Outliers</v>
      </c>
      <c r="V509" t="str">
        <f t="shared" si="7"/>
        <v>Weekday</v>
      </c>
    </row>
    <row r="510" spans="1:22" x14ac:dyDescent="0.3">
      <c r="A510" s="23">
        <v>45492</v>
      </c>
      <c r="B510" s="7" t="s">
        <v>52</v>
      </c>
      <c r="C510" s="7" t="s">
        <v>56</v>
      </c>
      <c r="D510" s="7" t="s">
        <v>53</v>
      </c>
      <c r="E510" s="4">
        <v>7565</v>
      </c>
      <c r="F510" s="4" t="b">
        <v>0</v>
      </c>
      <c r="G510" s="7" t="s">
        <v>64</v>
      </c>
      <c r="H510" s="7" t="s">
        <v>35</v>
      </c>
      <c r="I510" s="7" t="s">
        <v>47</v>
      </c>
      <c r="J510" s="7" t="s">
        <v>54</v>
      </c>
      <c r="K510" s="4">
        <v>2</v>
      </c>
      <c r="L510" s="7" t="s">
        <v>27</v>
      </c>
      <c r="M510" s="7" t="s">
        <v>58</v>
      </c>
      <c r="N510" s="4" t="b">
        <v>0</v>
      </c>
      <c r="O510" s="4">
        <v>78</v>
      </c>
      <c r="P510" s="7" t="s">
        <v>50</v>
      </c>
      <c r="Q510" s="4">
        <v>9</v>
      </c>
      <c r="R510" s="4">
        <v>1</v>
      </c>
      <c r="S510" s="4">
        <v>1916</v>
      </c>
      <c r="T510" s="8" t="s">
        <v>30</v>
      </c>
      <c r="U510" t="str">
        <f>IF(OR(E510&lt;'Q1'!$E$13,E510&gt;'Q1'!$E$14),"Outliers","Not an Outliers")</f>
        <v>Not an Outliers</v>
      </c>
      <c r="V510" t="str">
        <f t="shared" si="7"/>
        <v>Weekday</v>
      </c>
    </row>
    <row r="511" spans="1:22" x14ac:dyDescent="0.3">
      <c r="A511" s="24">
        <v>45492</v>
      </c>
      <c r="B511" s="9" t="s">
        <v>69</v>
      </c>
      <c r="C511" s="9" t="s">
        <v>56</v>
      </c>
      <c r="D511" s="9" t="s">
        <v>57</v>
      </c>
      <c r="E511" s="5">
        <v>5000</v>
      </c>
      <c r="F511" s="5" t="b">
        <v>0</v>
      </c>
      <c r="G511" s="9" t="s">
        <v>65</v>
      </c>
      <c r="H511" s="9" t="s">
        <v>70</v>
      </c>
      <c r="I511" s="9" t="s">
        <v>59</v>
      </c>
      <c r="J511" s="9" t="s">
        <v>48</v>
      </c>
      <c r="K511" s="5">
        <v>3</v>
      </c>
      <c r="L511" s="9" t="s">
        <v>27</v>
      </c>
      <c r="M511" s="9" t="s">
        <v>66</v>
      </c>
      <c r="N511" s="5" t="b">
        <v>0</v>
      </c>
      <c r="O511" s="5">
        <v>55</v>
      </c>
      <c r="P511" s="9" t="s">
        <v>37</v>
      </c>
      <c r="Q511" s="5">
        <v>1</v>
      </c>
      <c r="R511" s="5">
        <v>3</v>
      </c>
      <c r="S511" s="5">
        <v>1040</v>
      </c>
      <c r="T511" s="10" t="s">
        <v>51</v>
      </c>
      <c r="U511" t="str">
        <f>IF(OR(E511&lt;'Q1'!$E$13,E511&gt;'Q1'!$E$14),"Outliers","Not an Outliers")</f>
        <v>Not an Outliers</v>
      </c>
      <c r="V511" t="str">
        <f t="shared" si="7"/>
        <v>Weekday</v>
      </c>
    </row>
    <row r="512" spans="1:22" x14ac:dyDescent="0.3">
      <c r="A512" s="23">
        <v>45492</v>
      </c>
      <c r="B512" s="7" t="s">
        <v>71</v>
      </c>
      <c r="C512" s="7" t="s">
        <v>56</v>
      </c>
      <c r="D512" s="7" t="s">
        <v>33</v>
      </c>
      <c r="E512" s="4">
        <v>3767</v>
      </c>
      <c r="F512" s="4" t="b">
        <v>0</v>
      </c>
      <c r="G512" s="7" t="s">
        <v>65</v>
      </c>
      <c r="H512" s="7" t="s">
        <v>41</v>
      </c>
      <c r="I512" s="7" t="s">
        <v>47</v>
      </c>
      <c r="J512" s="7" t="s">
        <v>26</v>
      </c>
      <c r="K512" s="4">
        <v>5</v>
      </c>
      <c r="L512" s="7" t="s">
        <v>27</v>
      </c>
      <c r="M512" s="7" t="s">
        <v>58</v>
      </c>
      <c r="N512" s="4" t="b">
        <v>0</v>
      </c>
      <c r="O512" s="4">
        <v>4</v>
      </c>
      <c r="P512" s="7" t="s">
        <v>67</v>
      </c>
      <c r="Q512" s="4">
        <v>6</v>
      </c>
      <c r="R512" s="4">
        <v>3</v>
      </c>
      <c r="S512" s="4">
        <v>2189</v>
      </c>
      <c r="T512" s="8" t="s">
        <v>38</v>
      </c>
      <c r="U512" t="str">
        <f>IF(OR(E512&lt;'Q1'!$E$13,E512&gt;'Q1'!$E$14),"Outliers","Not an Outliers")</f>
        <v>Not an Outliers</v>
      </c>
      <c r="V512" t="str">
        <f t="shared" si="7"/>
        <v>Weekday</v>
      </c>
    </row>
    <row r="513" spans="1:22" x14ac:dyDescent="0.3">
      <c r="A513" s="24">
        <v>45493</v>
      </c>
      <c r="B513" s="9" t="s">
        <v>62</v>
      </c>
      <c r="C513" s="9" t="s">
        <v>60</v>
      </c>
      <c r="D513" s="9" t="s">
        <v>53</v>
      </c>
      <c r="E513" s="5">
        <v>2068</v>
      </c>
      <c r="F513" s="5" t="b">
        <v>0</v>
      </c>
      <c r="G513" s="9" t="s">
        <v>23</v>
      </c>
      <c r="H513" s="9" t="s">
        <v>35</v>
      </c>
      <c r="I513" s="9" t="s">
        <v>42</v>
      </c>
      <c r="J513" s="9" t="s">
        <v>43</v>
      </c>
      <c r="K513" s="5">
        <v>2</v>
      </c>
      <c r="L513" s="9" t="s">
        <v>49</v>
      </c>
      <c r="M513" s="9" t="s">
        <v>28</v>
      </c>
      <c r="N513" s="5" t="b">
        <v>1</v>
      </c>
      <c r="O513" s="5">
        <v>30</v>
      </c>
      <c r="P513" s="9" t="s">
        <v>63</v>
      </c>
      <c r="Q513" s="5">
        <v>6</v>
      </c>
      <c r="R513" s="5">
        <v>2</v>
      </c>
      <c r="S513" s="5">
        <v>2121</v>
      </c>
      <c r="T513" s="10" t="s">
        <v>30</v>
      </c>
      <c r="U513" t="str">
        <f>IF(OR(E513&lt;'Q1'!$E$13,E513&gt;'Q1'!$E$14),"Outliers","Not an Outliers")</f>
        <v>Not an Outliers</v>
      </c>
      <c r="V513" t="str">
        <f t="shared" si="7"/>
        <v>Weekend</v>
      </c>
    </row>
    <row r="514" spans="1:22" x14ac:dyDescent="0.3">
      <c r="A514" s="23">
        <v>45493</v>
      </c>
      <c r="B514" s="7" t="s">
        <v>71</v>
      </c>
      <c r="C514" s="7" t="s">
        <v>21</v>
      </c>
      <c r="D514" s="7" t="s">
        <v>57</v>
      </c>
      <c r="E514" s="4">
        <v>1000</v>
      </c>
      <c r="F514" s="4" t="b">
        <v>0</v>
      </c>
      <c r="G514" s="7" t="s">
        <v>34</v>
      </c>
      <c r="H514" s="7" t="s">
        <v>70</v>
      </c>
      <c r="I514" s="7" t="s">
        <v>42</v>
      </c>
      <c r="J514" s="7" t="s">
        <v>26</v>
      </c>
      <c r="K514" s="4">
        <v>0</v>
      </c>
      <c r="L514" s="7" t="s">
        <v>36</v>
      </c>
      <c r="M514" s="7" t="s">
        <v>73</v>
      </c>
      <c r="N514" s="4" t="b">
        <v>1</v>
      </c>
      <c r="O514" s="4">
        <v>36</v>
      </c>
      <c r="P514" s="7" t="s">
        <v>67</v>
      </c>
      <c r="Q514" s="4">
        <v>1</v>
      </c>
      <c r="R514" s="4">
        <v>3</v>
      </c>
      <c r="S514" s="4">
        <v>681</v>
      </c>
      <c r="T514" s="8" t="s">
        <v>30</v>
      </c>
      <c r="U514" t="str">
        <f>IF(OR(E514&lt;'Q1'!$E$13,E514&gt;'Q1'!$E$14),"Outliers","Not an Outliers")</f>
        <v>Not an Outliers</v>
      </c>
      <c r="V514" t="str">
        <f t="shared" si="7"/>
        <v>Weekend</v>
      </c>
    </row>
    <row r="515" spans="1:22" x14ac:dyDescent="0.3">
      <c r="A515" s="24">
        <v>45493</v>
      </c>
      <c r="B515" s="9" t="s">
        <v>77</v>
      </c>
      <c r="C515" s="9" t="s">
        <v>21</v>
      </c>
      <c r="D515" s="9" t="s">
        <v>57</v>
      </c>
      <c r="E515" s="5">
        <v>1000</v>
      </c>
      <c r="F515" s="5" t="b">
        <v>0</v>
      </c>
      <c r="G515" s="9" t="s">
        <v>23</v>
      </c>
      <c r="H515" s="9" t="s">
        <v>35</v>
      </c>
      <c r="I515" s="9" t="s">
        <v>25</v>
      </c>
      <c r="J515" s="9" t="s">
        <v>26</v>
      </c>
      <c r="K515" s="5">
        <v>2</v>
      </c>
      <c r="L515" s="9" t="s">
        <v>27</v>
      </c>
      <c r="M515" s="9" t="s">
        <v>58</v>
      </c>
      <c r="N515" s="5" t="b">
        <v>0</v>
      </c>
      <c r="O515" s="5">
        <v>32</v>
      </c>
      <c r="P515" s="9" t="s">
        <v>37</v>
      </c>
      <c r="Q515" s="5">
        <v>3</v>
      </c>
      <c r="R515" s="5">
        <v>2</v>
      </c>
      <c r="S515" s="5">
        <v>4741</v>
      </c>
      <c r="T515" s="10" t="s">
        <v>30</v>
      </c>
      <c r="U515" t="str">
        <f>IF(OR(E515&lt;'Q1'!$E$13,E515&gt;'Q1'!$E$14),"Outliers","Not an Outliers")</f>
        <v>Not an Outliers</v>
      </c>
      <c r="V515" t="str">
        <f t="shared" ref="V515:V578" si="8">IF(WEEKDAY(A515,2)&gt;5,"Weekend","Weekday")</f>
        <v>Weekend</v>
      </c>
    </row>
    <row r="516" spans="1:22" x14ac:dyDescent="0.3">
      <c r="A516" s="23">
        <v>45493</v>
      </c>
      <c r="B516" s="7" t="s">
        <v>69</v>
      </c>
      <c r="C516" s="7" t="s">
        <v>32</v>
      </c>
      <c r="D516" s="7" t="s">
        <v>53</v>
      </c>
      <c r="E516" s="4">
        <v>5495</v>
      </c>
      <c r="F516" s="4" t="b">
        <v>0</v>
      </c>
      <c r="G516" s="7" t="s">
        <v>23</v>
      </c>
      <c r="H516" s="7" t="s">
        <v>70</v>
      </c>
      <c r="I516" s="7" t="s">
        <v>25</v>
      </c>
      <c r="J516" s="7" t="s">
        <v>43</v>
      </c>
      <c r="K516" s="4">
        <v>3</v>
      </c>
      <c r="L516" s="7" t="s">
        <v>27</v>
      </c>
      <c r="M516" s="7" t="s">
        <v>58</v>
      </c>
      <c r="N516" s="4" t="b">
        <v>1</v>
      </c>
      <c r="O516" s="4">
        <v>119</v>
      </c>
      <c r="P516" s="7" t="s">
        <v>50</v>
      </c>
      <c r="Q516" s="4">
        <v>2</v>
      </c>
      <c r="R516" s="4">
        <v>3</v>
      </c>
      <c r="S516" s="4">
        <v>4488</v>
      </c>
      <c r="T516" s="8" t="s">
        <v>51</v>
      </c>
      <c r="U516" t="str">
        <f>IF(OR(E516&lt;'Q1'!$E$13,E516&gt;'Q1'!$E$14),"Outliers","Not an Outliers")</f>
        <v>Not an Outliers</v>
      </c>
      <c r="V516" t="str">
        <f t="shared" si="8"/>
        <v>Weekend</v>
      </c>
    </row>
    <row r="517" spans="1:22" x14ac:dyDescent="0.3">
      <c r="A517" s="24">
        <v>45494</v>
      </c>
      <c r="B517" s="9" t="s">
        <v>20</v>
      </c>
      <c r="C517" s="9" t="s">
        <v>56</v>
      </c>
      <c r="D517" s="9" t="s">
        <v>33</v>
      </c>
      <c r="E517" s="5">
        <v>3892</v>
      </c>
      <c r="F517" s="5" t="b">
        <v>1</v>
      </c>
      <c r="G517" s="9" t="s">
        <v>23</v>
      </c>
      <c r="H517" s="9" t="s">
        <v>24</v>
      </c>
      <c r="I517" s="9" t="s">
        <v>25</v>
      </c>
      <c r="J517" s="9" t="s">
        <v>54</v>
      </c>
      <c r="K517" s="5">
        <v>4</v>
      </c>
      <c r="L517" s="9" t="s">
        <v>27</v>
      </c>
      <c r="M517" s="9" t="s">
        <v>58</v>
      </c>
      <c r="N517" s="5" t="b">
        <v>0</v>
      </c>
      <c r="O517" s="5">
        <v>22</v>
      </c>
      <c r="P517" s="9" t="s">
        <v>50</v>
      </c>
      <c r="Q517" s="5">
        <v>10</v>
      </c>
      <c r="R517" s="5">
        <v>2</v>
      </c>
      <c r="S517" s="5">
        <v>2373</v>
      </c>
      <c r="T517" s="10" t="s">
        <v>51</v>
      </c>
      <c r="U517" t="str">
        <f>IF(OR(E517&lt;'Q1'!$E$13,E517&gt;'Q1'!$E$14),"Outliers","Not an Outliers")</f>
        <v>Not an Outliers</v>
      </c>
      <c r="V517" t="str">
        <f t="shared" si="8"/>
        <v>Weekend</v>
      </c>
    </row>
    <row r="518" spans="1:22" x14ac:dyDescent="0.3">
      <c r="A518" s="23">
        <v>45494</v>
      </c>
      <c r="B518" s="7" t="s">
        <v>69</v>
      </c>
      <c r="C518" s="7" t="s">
        <v>60</v>
      </c>
      <c r="D518" s="7" t="s">
        <v>53</v>
      </c>
      <c r="E518" s="4">
        <v>2089</v>
      </c>
      <c r="F518" s="4" t="b">
        <v>1</v>
      </c>
      <c r="G518" s="7" t="s">
        <v>64</v>
      </c>
      <c r="H518" s="7" t="s">
        <v>41</v>
      </c>
      <c r="I518" s="7" t="s">
        <v>42</v>
      </c>
      <c r="J518" s="7" t="s">
        <v>48</v>
      </c>
      <c r="K518" s="4">
        <v>2</v>
      </c>
      <c r="L518" s="7" t="s">
        <v>27</v>
      </c>
      <c r="M518" s="7" t="s">
        <v>58</v>
      </c>
      <c r="N518" s="4" t="b">
        <v>1</v>
      </c>
      <c r="O518" s="4">
        <v>104</v>
      </c>
      <c r="P518" s="7" t="s">
        <v>63</v>
      </c>
      <c r="Q518" s="4">
        <v>3</v>
      </c>
      <c r="R518" s="4">
        <v>1</v>
      </c>
      <c r="S518" s="4">
        <v>3595</v>
      </c>
      <c r="T518" s="8" t="s">
        <v>38</v>
      </c>
      <c r="U518" t="str">
        <f>IF(OR(E518&lt;'Q1'!$E$13,E518&gt;'Q1'!$E$14),"Outliers","Not an Outliers")</f>
        <v>Not an Outliers</v>
      </c>
      <c r="V518" t="str">
        <f t="shared" si="8"/>
        <v>Weekend</v>
      </c>
    </row>
    <row r="519" spans="1:22" x14ac:dyDescent="0.3">
      <c r="A519" s="24">
        <v>45495</v>
      </c>
      <c r="B519" s="9" t="s">
        <v>77</v>
      </c>
      <c r="C519" s="9" t="s">
        <v>21</v>
      </c>
      <c r="D519" s="9" t="s">
        <v>57</v>
      </c>
      <c r="E519" s="5">
        <v>1000</v>
      </c>
      <c r="F519" s="5" t="b">
        <v>0</v>
      </c>
      <c r="G519" s="9" t="s">
        <v>64</v>
      </c>
      <c r="H519" s="9" t="s">
        <v>24</v>
      </c>
      <c r="I519" s="9" t="s">
        <v>59</v>
      </c>
      <c r="J519" s="9" t="s">
        <v>26</v>
      </c>
      <c r="K519" s="5">
        <v>1</v>
      </c>
      <c r="L519" s="9" t="s">
        <v>27</v>
      </c>
      <c r="M519" s="9" t="s">
        <v>28</v>
      </c>
      <c r="N519" s="5" t="b">
        <v>0</v>
      </c>
      <c r="O519" s="5">
        <v>32</v>
      </c>
      <c r="P519" s="9" t="s">
        <v>50</v>
      </c>
      <c r="Q519" s="5">
        <v>1</v>
      </c>
      <c r="R519" s="5">
        <v>3</v>
      </c>
      <c r="S519" s="5">
        <v>2661</v>
      </c>
      <c r="T519" s="10" t="s">
        <v>51</v>
      </c>
      <c r="U519" t="str">
        <f>IF(OR(E519&lt;'Q1'!$E$13,E519&gt;'Q1'!$E$14),"Outliers","Not an Outliers")</f>
        <v>Not an Outliers</v>
      </c>
      <c r="V519" t="str">
        <f t="shared" si="8"/>
        <v>Weekday</v>
      </c>
    </row>
    <row r="520" spans="1:22" x14ac:dyDescent="0.3">
      <c r="A520" s="23">
        <v>45495</v>
      </c>
      <c r="B520" s="7" t="s">
        <v>52</v>
      </c>
      <c r="C520" s="7" t="s">
        <v>56</v>
      </c>
      <c r="D520" s="7" t="s">
        <v>22</v>
      </c>
      <c r="E520" s="4">
        <v>9205</v>
      </c>
      <c r="F520" s="4" t="b">
        <v>0</v>
      </c>
      <c r="G520" s="7" t="s">
        <v>34</v>
      </c>
      <c r="H520" s="7" t="s">
        <v>35</v>
      </c>
      <c r="I520" s="7" t="s">
        <v>25</v>
      </c>
      <c r="J520" s="7" t="s">
        <v>54</v>
      </c>
      <c r="K520" s="4">
        <v>5</v>
      </c>
      <c r="L520" s="7" t="s">
        <v>36</v>
      </c>
      <c r="M520" s="7" t="s">
        <v>66</v>
      </c>
      <c r="N520" s="4" t="b">
        <v>0</v>
      </c>
      <c r="O520" s="4">
        <v>36</v>
      </c>
      <c r="P520" s="7" t="s">
        <v>63</v>
      </c>
      <c r="Q520" s="4">
        <v>1</v>
      </c>
      <c r="R520" s="4">
        <v>2</v>
      </c>
      <c r="S520" s="4">
        <v>3510</v>
      </c>
      <c r="T520" s="8" t="s">
        <v>30</v>
      </c>
      <c r="U520" t="str">
        <f>IF(OR(E520&lt;'Q1'!$E$13,E520&gt;'Q1'!$E$14),"Outliers","Not an Outliers")</f>
        <v>Not an Outliers</v>
      </c>
      <c r="V520" t="str">
        <f t="shared" si="8"/>
        <v>Weekday</v>
      </c>
    </row>
    <row r="521" spans="1:22" x14ac:dyDescent="0.3">
      <c r="A521" s="24">
        <v>45496</v>
      </c>
      <c r="B521" s="9" t="s">
        <v>44</v>
      </c>
      <c r="C521" s="9" t="s">
        <v>32</v>
      </c>
      <c r="D521" s="9" t="s">
        <v>57</v>
      </c>
      <c r="E521" s="5">
        <v>1000</v>
      </c>
      <c r="F521" s="5" t="b">
        <v>0</v>
      </c>
      <c r="G521" s="9" t="s">
        <v>40</v>
      </c>
      <c r="H521" s="9" t="s">
        <v>70</v>
      </c>
      <c r="I521" s="9" t="s">
        <v>25</v>
      </c>
      <c r="J521" s="9" t="s">
        <v>54</v>
      </c>
      <c r="K521" s="5">
        <v>4</v>
      </c>
      <c r="L521" s="9" t="s">
        <v>49</v>
      </c>
      <c r="M521" s="9" t="s">
        <v>58</v>
      </c>
      <c r="N521" s="5" t="b">
        <v>0</v>
      </c>
      <c r="O521" s="5">
        <v>25</v>
      </c>
      <c r="P521" s="9" t="s">
        <v>37</v>
      </c>
      <c r="Q521" s="5">
        <v>9</v>
      </c>
      <c r="R521" s="5">
        <v>3</v>
      </c>
      <c r="S521" s="5">
        <v>616</v>
      </c>
      <c r="T521" s="10" t="s">
        <v>38</v>
      </c>
      <c r="U521" t="str">
        <f>IF(OR(E521&lt;'Q1'!$E$13,E521&gt;'Q1'!$E$14),"Outliers","Not an Outliers")</f>
        <v>Not an Outliers</v>
      </c>
      <c r="V521" t="str">
        <f t="shared" si="8"/>
        <v>Weekday</v>
      </c>
    </row>
    <row r="522" spans="1:22" x14ac:dyDescent="0.3">
      <c r="A522" s="23">
        <v>45496</v>
      </c>
      <c r="B522" s="7" t="s">
        <v>20</v>
      </c>
      <c r="C522" s="7" t="s">
        <v>56</v>
      </c>
      <c r="D522" s="7" t="s">
        <v>53</v>
      </c>
      <c r="E522" s="4">
        <v>5304</v>
      </c>
      <c r="F522" s="4" t="b">
        <v>1</v>
      </c>
      <c r="G522" s="7" t="s">
        <v>40</v>
      </c>
      <c r="H522" s="7" t="s">
        <v>35</v>
      </c>
      <c r="I522" s="7" t="s">
        <v>25</v>
      </c>
      <c r="J522" s="7" t="s">
        <v>43</v>
      </c>
      <c r="K522" s="4">
        <v>4</v>
      </c>
      <c r="L522" s="7" t="s">
        <v>36</v>
      </c>
      <c r="M522" s="7" t="s">
        <v>66</v>
      </c>
      <c r="N522" s="4" t="b">
        <v>0</v>
      </c>
      <c r="O522" s="4">
        <v>62</v>
      </c>
      <c r="P522" s="7" t="s">
        <v>67</v>
      </c>
      <c r="Q522" s="4">
        <v>7</v>
      </c>
      <c r="R522" s="4">
        <v>3</v>
      </c>
      <c r="S522" s="4">
        <v>2916</v>
      </c>
      <c r="T522" s="8" t="s">
        <v>30</v>
      </c>
      <c r="U522" t="str">
        <f>IF(OR(E522&lt;'Q1'!$E$13,E522&gt;'Q1'!$E$14),"Outliers","Not an Outliers")</f>
        <v>Not an Outliers</v>
      </c>
      <c r="V522" t="str">
        <f t="shared" si="8"/>
        <v>Weekday</v>
      </c>
    </row>
    <row r="523" spans="1:22" x14ac:dyDescent="0.3">
      <c r="A523" s="24">
        <v>45497</v>
      </c>
      <c r="B523" s="9" t="s">
        <v>55</v>
      </c>
      <c r="C523" s="9" t="s">
        <v>56</v>
      </c>
      <c r="D523" s="9" t="s">
        <v>53</v>
      </c>
      <c r="E523" s="5">
        <v>3921</v>
      </c>
      <c r="F523" s="5" t="b">
        <v>1</v>
      </c>
      <c r="G523" s="9" t="s">
        <v>65</v>
      </c>
      <c r="H523" s="9" t="s">
        <v>70</v>
      </c>
      <c r="I523" s="9" t="s">
        <v>47</v>
      </c>
      <c r="J523" s="9" t="s">
        <v>43</v>
      </c>
      <c r="K523" s="5">
        <v>5</v>
      </c>
      <c r="L523" s="9" t="s">
        <v>36</v>
      </c>
      <c r="M523" s="9" t="s">
        <v>73</v>
      </c>
      <c r="N523" s="5" t="b">
        <v>0</v>
      </c>
      <c r="O523" s="5">
        <v>114</v>
      </c>
      <c r="P523" s="9" t="s">
        <v>63</v>
      </c>
      <c r="Q523" s="5">
        <v>9</v>
      </c>
      <c r="R523" s="5">
        <v>3</v>
      </c>
      <c r="S523" s="5">
        <v>1533</v>
      </c>
      <c r="T523" s="10" t="s">
        <v>38</v>
      </c>
      <c r="U523" t="str">
        <f>IF(OR(E523&lt;'Q1'!$E$13,E523&gt;'Q1'!$E$14),"Outliers","Not an Outliers")</f>
        <v>Not an Outliers</v>
      </c>
      <c r="V523" t="str">
        <f t="shared" si="8"/>
        <v>Weekday</v>
      </c>
    </row>
    <row r="524" spans="1:22" x14ac:dyDescent="0.3">
      <c r="A524" s="23">
        <v>45498</v>
      </c>
      <c r="B524" s="7" t="s">
        <v>76</v>
      </c>
      <c r="C524" s="7" t="s">
        <v>56</v>
      </c>
      <c r="D524" s="7" t="s">
        <v>57</v>
      </c>
      <c r="E524" s="4">
        <v>1000</v>
      </c>
      <c r="F524" s="4" t="b">
        <v>0</v>
      </c>
      <c r="G524" s="7" t="s">
        <v>65</v>
      </c>
      <c r="H524" s="7" t="s">
        <v>35</v>
      </c>
      <c r="I524" s="7" t="s">
        <v>42</v>
      </c>
      <c r="J524" s="7" t="s">
        <v>48</v>
      </c>
      <c r="K524" s="4">
        <v>0</v>
      </c>
      <c r="L524" s="7" t="s">
        <v>36</v>
      </c>
      <c r="M524" s="7" t="s">
        <v>66</v>
      </c>
      <c r="N524" s="4" t="b">
        <v>1</v>
      </c>
      <c r="O524" s="4">
        <v>91</v>
      </c>
      <c r="P524" s="7" t="s">
        <v>50</v>
      </c>
      <c r="Q524" s="4">
        <v>6</v>
      </c>
      <c r="R524" s="4">
        <v>3</v>
      </c>
      <c r="S524" s="4">
        <v>1397</v>
      </c>
      <c r="T524" s="8" t="s">
        <v>30</v>
      </c>
      <c r="U524" t="str">
        <f>IF(OR(E524&lt;'Q1'!$E$13,E524&gt;'Q1'!$E$14),"Outliers","Not an Outliers")</f>
        <v>Not an Outliers</v>
      </c>
      <c r="V524" t="str">
        <f t="shared" si="8"/>
        <v>Weekday</v>
      </c>
    </row>
    <row r="525" spans="1:22" x14ac:dyDescent="0.3">
      <c r="A525" s="24">
        <v>45498</v>
      </c>
      <c r="B525" s="9" t="s">
        <v>52</v>
      </c>
      <c r="C525" s="9" t="s">
        <v>60</v>
      </c>
      <c r="D525" s="9" t="s">
        <v>22</v>
      </c>
      <c r="E525" s="5">
        <v>6863</v>
      </c>
      <c r="F525" s="5" t="b">
        <v>1</v>
      </c>
      <c r="G525" s="9" t="s">
        <v>23</v>
      </c>
      <c r="H525" s="9" t="s">
        <v>70</v>
      </c>
      <c r="I525" s="9" t="s">
        <v>42</v>
      </c>
      <c r="J525" s="9" t="s">
        <v>26</v>
      </c>
      <c r="K525" s="5">
        <v>2</v>
      </c>
      <c r="L525" s="9" t="s">
        <v>36</v>
      </c>
      <c r="M525" s="9" t="s">
        <v>58</v>
      </c>
      <c r="N525" s="5" t="b">
        <v>0</v>
      </c>
      <c r="O525" s="5">
        <v>109</v>
      </c>
      <c r="P525" s="9" t="s">
        <v>63</v>
      </c>
      <c r="Q525" s="5">
        <v>3</v>
      </c>
      <c r="R525" s="5">
        <v>3</v>
      </c>
      <c r="S525" s="5">
        <v>1629</v>
      </c>
      <c r="T525" s="10" t="s">
        <v>38</v>
      </c>
      <c r="U525" t="str">
        <f>IF(OR(E525&lt;'Q1'!$E$13,E525&gt;'Q1'!$E$14),"Outliers","Not an Outliers")</f>
        <v>Not an Outliers</v>
      </c>
      <c r="V525" t="str">
        <f t="shared" si="8"/>
        <v>Weekday</v>
      </c>
    </row>
    <row r="526" spans="1:22" x14ac:dyDescent="0.3">
      <c r="A526" s="23">
        <v>45498</v>
      </c>
      <c r="B526" s="7" t="s">
        <v>76</v>
      </c>
      <c r="C526" s="7" t="s">
        <v>32</v>
      </c>
      <c r="D526" s="7" t="s">
        <v>22</v>
      </c>
      <c r="E526" s="4">
        <v>6027</v>
      </c>
      <c r="F526" s="4" t="b">
        <v>1</v>
      </c>
      <c r="G526" s="7" t="s">
        <v>23</v>
      </c>
      <c r="H526" s="7" t="s">
        <v>70</v>
      </c>
      <c r="I526" s="7" t="s">
        <v>47</v>
      </c>
      <c r="J526" s="7" t="s">
        <v>54</v>
      </c>
      <c r="K526" s="4">
        <v>4</v>
      </c>
      <c r="L526" s="7" t="s">
        <v>27</v>
      </c>
      <c r="M526" s="7" t="s">
        <v>58</v>
      </c>
      <c r="N526" s="4" t="b">
        <v>1</v>
      </c>
      <c r="O526" s="4">
        <v>73</v>
      </c>
      <c r="P526" s="7" t="s">
        <v>50</v>
      </c>
      <c r="Q526" s="4">
        <v>8</v>
      </c>
      <c r="R526" s="4">
        <v>1</v>
      </c>
      <c r="S526" s="4">
        <v>3117</v>
      </c>
      <c r="T526" s="8" t="s">
        <v>30</v>
      </c>
      <c r="U526" t="str">
        <f>IF(OR(E526&lt;'Q1'!$E$13,E526&gt;'Q1'!$E$14),"Outliers","Not an Outliers")</f>
        <v>Not an Outliers</v>
      </c>
      <c r="V526" t="str">
        <f t="shared" si="8"/>
        <v>Weekday</v>
      </c>
    </row>
    <row r="527" spans="1:22" x14ac:dyDescent="0.3">
      <c r="A527" s="24">
        <v>45499</v>
      </c>
      <c r="B527" s="9" t="s">
        <v>62</v>
      </c>
      <c r="C527" s="9" t="s">
        <v>56</v>
      </c>
      <c r="D527" s="9" t="s">
        <v>33</v>
      </c>
      <c r="E527" s="5">
        <v>3438</v>
      </c>
      <c r="F527" s="5" t="b">
        <v>1</v>
      </c>
      <c r="G527" s="9" t="s">
        <v>65</v>
      </c>
      <c r="H527" s="9" t="s">
        <v>41</v>
      </c>
      <c r="I527" s="9" t="s">
        <v>25</v>
      </c>
      <c r="J527" s="9" t="s">
        <v>54</v>
      </c>
      <c r="K527" s="5">
        <v>4</v>
      </c>
      <c r="L527" s="9" t="s">
        <v>36</v>
      </c>
      <c r="M527" s="9" t="s">
        <v>58</v>
      </c>
      <c r="N527" s="5" t="b">
        <v>1</v>
      </c>
      <c r="O527" s="5">
        <v>31</v>
      </c>
      <c r="P527" s="9" t="s">
        <v>37</v>
      </c>
      <c r="Q527" s="5">
        <v>9</v>
      </c>
      <c r="R527" s="5">
        <v>3</v>
      </c>
      <c r="S527" s="5">
        <v>3377</v>
      </c>
      <c r="T527" s="10" t="s">
        <v>30</v>
      </c>
      <c r="U527" t="str">
        <f>IF(OR(E527&lt;'Q1'!$E$13,E527&gt;'Q1'!$E$14),"Outliers","Not an Outliers")</f>
        <v>Not an Outliers</v>
      </c>
      <c r="V527" t="str">
        <f t="shared" si="8"/>
        <v>Weekday</v>
      </c>
    </row>
    <row r="528" spans="1:22" x14ac:dyDescent="0.3">
      <c r="A528" s="23">
        <v>45499</v>
      </c>
      <c r="B528" s="7" t="s">
        <v>44</v>
      </c>
      <c r="C528" s="7" t="s">
        <v>56</v>
      </c>
      <c r="D528" s="7" t="s">
        <v>57</v>
      </c>
      <c r="E528" s="4">
        <v>1000</v>
      </c>
      <c r="F528" s="4" t="b">
        <v>1</v>
      </c>
      <c r="G528" s="7" t="s">
        <v>40</v>
      </c>
      <c r="H528" s="7" t="s">
        <v>35</v>
      </c>
      <c r="I528" s="7" t="s">
        <v>42</v>
      </c>
      <c r="J528" s="7" t="s">
        <v>43</v>
      </c>
      <c r="K528" s="4">
        <v>21</v>
      </c>
      <c r="L528" s="7" t="s">
        <v>27</v>
      </c>
      <c r="M528" s="7" t="s">
        <v>66</v>
      </c>
      <c r="N528" s="4" t="b">
        <v>1</v>
      </c>
      <c r="O528" s="4">
        <v>97</v>
      </c>
      <c r="P528" s="7" t="s">
        <v>67</v>
      </c>
      <c r="Q528" s="4">
        <v>5</v>
      </c>
      <c r="R528" s="4">
        <v>2</v>
      </c>
      <c r="S528" s="4">
        <v>3572</v>
      </c>
      <c r="T528" s="8" t="s">
        <v>38</v>
      </c>
      <c r="U528" t="str">
        <f>IF(OR(E528&lt;'Q1'!$E$13,E528&gt;'Q1'!$E$14),"Outliers","Not an Outliers")</f>
        <v>Not an Outliers</v>
      </c>
      <c r="V528" t="str">
        <f t="shared" si="8"/>
        <v>Weekday</v>
      </c>
    </row>
    <row r="529" spans="1:22" x14ac:dyDescent="0.3">
      <c r="A529" s="24">
        <v>45499</v>
      </c>
      <c r="B529" s="9" t="s">
        <v>31</v>
      </c>
      <c r="C529" s="9" t="s">
        <v>60</v>
      </c>
      <c r="D529" s="9" t="s">
        <v>22</v>
      </c>
      <c r="E529" s="5">
        <v>8166</v>
      </c>
      <c r="F529" s="5" t="b">
        <v>0</v>
      </c>
      <c r="G529" s="9" t="s">
        <v>65</v>
      </c>
      <c r="H529" s="9" t="s">
        <v>35</v>
      </c>
      <c r="I529" s="9" t="s">
        <v>59</v>
      </c>
      <c r="J529" s="9" t="s">
        <v>48</v>
      </c>
      <c r="K529" s="5">
        <v>4</v>
      </c>
      <c r="L529" s="9" t="s">
        <v>27</v>
      </c>
      <c r="M529" s="9" t="s">
        <v>73</v>
      </c>
      <c r="N529" s="5" t="b">
        <v>1</v>
      </c>
      <c r="O529" s="5">
        <v>41</v>
      </c>
      <c r="P529" s="9" t="s">
        <v>37</v>
      </c>
      <c r="Q529" s="5">
        <v>7</v>
      </c>
      <c r="R529" s="5">
        <v>3</v>
      </c>
      <c r="S529" s="5">
        <v>1138</v>
      </c>
      <c r="T529" s="10" t="s">
        <v>38</v>
      </c>
      <c r="U529" t="str">
        <f>IF(OR(E529&lt;'Q1'!$E$13,E529&gt;'Q1'!$E$14),"Outliers","Not an Outliers")</f>
        <v>Not an Outliers</v>
      </c>
      <c r="V529" t="str">
        <f t="shared" si="8"/>
        <v>Weekday</v>
      </c>
    </row>
    <row r="530" spans="1:22" x14ac:dyDescent="0.3">
      <c r="A530" s="23">
        <v>45499</v>
      </c>
      <c r="B530" s="7" t="s">
        <v>75</v>
      </c>
      <c r="C530" s="7" t="s">
        <v>32</v>
      </c>
      <c r="D530" s="7" t="s">
        <v>57</v>
      </c>
      <c r="E530" s="4">
        <v>1000</v>
      </c>
      <c r="F530" s="4" t="b">
        <v>0</v>
      </c>
      <c r="G530" s="7" t="s">
        <v>65</v>
      </c>
      <c r="H530" s="7" t="s">
        <v>24</v>
      </c>
      <c r="I530" s="7" t="s">
        <v>25</v>
      </c>
      <c r="J530" s="7" t="s">
        <v>43</v>
      </c>
      <c r="K530" s="4">
        <v>2</v>
      </c>
      <c r="L530" s="7" t="s">
        <v>49</v>
      </c>
      <c r="M530" s="7" t="s">
        <v>58</v>
      </c>
      <c r="N530" s="4" t="b">
        <v>0</v>
      </c>
      <c r="O530" s="4">
        <v>93</v>
      </c>
      <c r="P530" s="7" t="s">
        <v>67</v>
      </c>
      <c r="Q530" s="4">
        <v>9</v>
      </c>
      <c r="R530" s="4">
        <v>3</v>
      </c>
      <c r="S530" s="4">
        <v>3630</v>
      </c>
      <c r="T530" s="8" t="s">
        <v>38</v>
      </c>
      <c r="U530" t="str">
        <f>IF(OR(E530&lt;'Q1'!$E$13,E530&gt;'Q1'!$E$14),"Outliers","Not an Outliers")</f>
        <v>Not an Outliers</v>
      </c>
      <c r="V530" t="str">
        <f t="shared" si="8"/>
        <v>Weekday</v>
      </c>
    </row>
    <row r="531" spans="1:22" x14ac:dyDescent="0.3">
      <c r="A531" s="24">
        <v>45500</v>
      </c>
      <c r="B531" s="9" t="s">
        <v>31</v>
      </c>
      <c r="C531" s="9" t="s">
        <v>45</v>
      </c>
      <c r="D531" s="9" t="s">
        <v>33</v>
      </c>
      <c r="E531" s="5">
        <v>3539</v>
      </c>
      <c r="F531" s="5" t="b">
        <v>0</v>
      </c>
      <c r="G531" s="9" t="s">
        <v>64</v>
      </c>
      <c r="H531" s="9" t="s">
        <v>70</v>
      </c>
      <c r="I531" s="9" t="s">
        <v>47</v>
      </c>
      <c r="J531" s="9" t="s">
        <v>26</v>
      </c>
      <c r="K531" s="5">
        <v>3</v>
      </c>
      <c r="L531" s="9" t="s">
        <v>49</v>
      </c>
      <c r="M531" s="9" t="s">
        <v>66</v>
      </c>
      <c r="N531" s="5" t="b">
        <v>0</v>
      </c>
      <c r="O531" s="5">
        <v>103</v>
      </c>
      <c r="P531" s="9" t="s">
        <v>29</v>
      </c>
      <c r="Q531" s="5">
        <v>1</v>
      </c>
      <c r="R531" s="5">
        <v>2</v>
      </c>
      <c r="S531" s="5">
        <v>3434</v>
      </c>
      <c r="T531" s="10" t="s">
        <v>38</v>
      </c>
      <c r="U531" t="str">
        <f>IF(OR(E531&lt;'Q1'!$E$13,E531&gt;'Q1'!$E$14),"Outliers","Not an Outliers")</f>
        <v>Not an Outliers</v>
      </c>
      <c r="V531" t="str">
        <f t="shared" si="8"/>
        <v>Weekend</v>
      </c>
    </row>
    <row r="532" spans="1:22" x14ac:dyDescent="0.3">
      <c r="A532" s="23">
        <v>45500</v>
      </c>
      <c r="B532" s="7" t="s">
        <v>76</v>
      </c>
      <c r="C532" s="7" t="s">
        <v>60</v>
      </c>
      <c r="D532" s="7" t="s">
        <v>22</v>
      </c>
      <c r="E532" s="4">
        <v>6927</v>
      </c>
      <c r="F532" s="4" t="b">
        <v>0</v>
      </c>
      <c r="G532" s="7" t="s">
        <v>40</v>
      </c>
      <c r="H532" s="7" t="s">
        <v>35</v>
      </c>
      <c r="I532" s="7" t="s">
        <v>59</v>
      </c>
      <c r="J532" s="7" t="s">
        <v>48</v>
      </c>
      <c r="K532" s="4">
        <v>1</v>
      </c>
      <c r="L532" s="7" t="s">
        <v>36</v>
      </c>
      <c r="M532" s="7" t="s">
        <v>58</v>
      </c>
      <c r="N532" s="4" t="b">
        <v>1</v>
      </c>
      <c r="O532" s="4">
        <v>89</v>
      </c>
      <c r="P532" s="7" t="s">
        <v>50</v>
      </c>
      <c r="Q532" s="4">
        <v>7</v>
      </c>
      <c r="R532" s="4">
        <v>2</v>
      </c>
      <c r="S532" s="4">
        <v>1492</v>
      </c>
      <c r="T532" s="8" t="s">
        <v>30</v>
      </c>
      <c r="U532" t="str">
        <f>IF(OR(E532&lt;'Q1'!$E$13,E532&gt;'Q1'!$E$14),"Outliers","Not an Outliers")</f>
        <v>Not an Outliers</v>
      </c>
      <c r="V532" t="str">
        <f t="shared" si="8"/>
        <v>Weekend</v>
      </c>
    </row>
    <row r="533" spans="1:22" x14ac:dyDescent="0.3">
      <c r="A533" s="24">
        <v>45501</v>
      </c>
      <c r="B533" s="9" t="s">
        <v>72</v>
      </c>
      <c r="C533" s="9" t="s">
        <v>45</v>
      </c>
      <c r="D533" s="9" t="s">
        <v>46</v>
      </c>
      <c r="E533" s="5">
        <v>1152</v>
      </c>
      <c r="F533" s="5" t="b">
        <v>0</v>
      </c>
      <c r="G533" s="9" t="s">
        <v>34</v>
      </c>
      <c r="H533" s="9" t="s">
        <v>24</v>
      </c>
      <c r="I533" s="9" t="s">
        <v>59</v>
      </c>
      <c r="J533" s="9" t="s">
        <v>26</v>
      </c>
      <c r="K533" s="5">
        <v>0</v>
      </c>
      <c r="L533" s="9" t="s">
        <v>49</v>
      </c>
      <c r="M533" s="9" t="s">
        <v>66</v>
      </c>
      <c r="N533" s="5" t="b">
        <v>1</v>
      </c>
      <c r="O533" s="5">
        <v>36</v>
      </c>
      <c r="P533" s="9" t="s">
        <v>67</v>
      </c>
      <c r="Q533" s="5">
        <v>4</v>
      </c>
      <c r="R533" s="5">
        <v>1</v>
      </c>
      <c r="S533" s="5">
        <v>1493</v>
      </c>
      <c r="T533" s="10" t="s">
        <v>38</v>
      </c>
      <c r="U533" t="str">
        <f>IF(OR(E533&lt;'Q1'!$E$13,E533&gt;'Q1'!$E$14),"Outliers","Not an Outliers")</f>
        <v>Not an Outliers</v>
      </c>
      <c r="V533" t="str">
        <f t="shared" si="8"/>
        <v>Weekend</v>
      </c>
    </row>
    <row r="534" spans="1:22" x14ac:dyDescent="0.3">
      <c r="A534" s="23">
        <v>45501</v>
      </c>
      <c r="B534" s="7" t="s">
        <v>62</v>
      </c>
      <c r="C534" s="7" t="s">
        <v>60</v>
      </c>
      <c r="D534" s="7" t="s">
        <v>46</v>
      </c>
      <c r="E534" s="4">
        <v>4901</v>
      </c>
      <c r="F534" s="4" t="b">
        <v>0</v>
      </c>
      <c r="G534" s="7" t="s">
        <v>40</v>
      </c>
      <c r="H534" s="7" t="s">
        <v>70</v>
      </c>
      <c r="I534" s="7" t="s">
        <v>42</v>
      </c>
      <c r="J534" s="7" t="s">
        <v>43</v>
      </c>
      <c r="K534" s="4">
        <v>3</v>
      </c>
      <c r="L534" s="7" t="s">
        <v>36</v>
      </c>
      <c r="M534" s="7" t="s">
        <v>73</v>
      </c>
      <c r="N534" s="4" t="b">
        <v>0</v>
      </c>
      <c r="O534" s="4">
        <v>115</v>
      </c>
      <c r="P534" s="7" t="s">
        <v>63</v>
      </c>
      <c r="Q534" s="4">
        <v>5</v>
      </c>
      <c r="R534" s="4">
        <v>3</v>
      </c>
      <c r="S534" s="4">
        <v>1724</v>
      </c>
      <c r="T534" s="8" t="s">
        <v>30</v>
      </c>
      <c r="U534" t="str">
        <f>IF(OR(E534&lt;'Q1'!$E$13,E534&gt;'Q1'!$E$14),"Outliers","Not an Outliers")</f>
        <v>Not an Outliers</v>
      </c>
      <c r="V534" t="str">
        <f t="shared" si="8"/>
        <v>Weekend</v>
      </c>
    </row>
    <row r="535" spans="1:22" x14ac:dyDescent="0.3">
      <c r="A535" s="24">
        <v>45505</v>
      </c>
      <c r="B535" s="9" t="s">
        <v>75</v>
      </c>
      <c r="C535" s="9" t="s">
        <v>56</v>
      </c>
      <c r="D535" s="9" t="s">
        <v>46</v>
      </c>
      <c r="E535" s="5">
        <v>3845</v>
      </c>
      <c r="F535" s="5" t="b">
        <v>1</v>
      </c>
      <c r="G535" s="9" t="s">
        <v>23</v>
      </c>
      <c r="H535" s="9" t="s">
        <v>41</v>
      </c>
      <c r="I535" s="9" t="s">
        <v>47</v>
      </c>
      <c r="J535" s="9" t="s">
        <v>43</v>
      </c>
      <c r="K535" s="5">
        <v>26</v>
      </c>
      <c r="L535" s="9" t="s">
        <v>49</v>
      </c>
      <c r="M535" s="9" t="s">
        <v>66</v>
      </c>
      <c r="N535" s="5" t="b">
        <v>1</v>
      </c>
      <c r="O535" s="5">
        <v>10</v>
      </c>
      <c r="P535" s="9" t="s">
        <v>37</v>
      </c>
      <c r="Q535" s="5">
        <v>5</v>
      </c>
      <c r="R535" s="5">
        <v>1</v>
      </c>
      <c r="S535" s="5">
        <v>3601</v>
      </c>
      <c r="T535" s="10" t="s">
        <v>30</v>
      </c>
      <c r="U535" t="str">
        <f>IF(OR(E535&lt;'Q1'!$E$13,E535&gt;'Q1'!$E$14),"Outliers","Not an Outliers")</f>
        <v>Not an Outliers</v>
      </c>
      <c r="V535" t="str">
        <f t="shared" si="8"/>
        <v>Weekday</v>
      </c>
    </row>
    <row r="536" spans="1:22" x14ac:dyDescent="0.3">
      <c r="A536" s="23">
        <v>45505</v>
      </c>
      <c r="B536" s="7" t="s">
        <v>31</v>
      </c>
      <c r="C536" s="7" t="s">
        <v>60</v>
      </c>
      <c r="D536" s="7" t="s">
        <v>53</v>
      </c>
      <c r="E536" s="4">
        <v>4363</v>
      </c>
      <c r="F536" s="4" t="b">
        <v>0</v>
      </c>
      <c r="G536" s="7" t="s">
        <v>40</v>
      </c>
      <c r="H536" s="7" t="s">
        <v>24</v>
      </c>
      <c r="I536" s="7" t="s">
        <v>59</v>
      </c>
      <c r="J536" s="7" t="s">
        <v>48</v>
      </c>
      <c r="K536" s="4">
        <v>1</v>
      </c>
      <c r="L536" s="7" t="s">
        <v>49</v>
      </c>
      <c r="M536" s="7" t="s">
        <v>66</v>
      </c>
      <c r="N536" s="4" t="b">
        <v>0</v>
      </c>
      <c r="O536" s="4">
        <v>110</v>
      </c>
      <c r="P536" s="7" t="s">
        <v>50</v>
      </c>
      <c r="Q536" s="4">
        <v>6</v>
      </c>
      <c r="R536" s="4">
        <v>2</v>
      </c>
      <c r="S536" s="4">
        <v>4624</v>
      </c>
      <c r="T536" s="8" t="s">
        <v>30</v>
      </c>
      <c r="U536" t="str">
        <f>IF(OR(E536&lt;'Q1'!$E$13,E536&gt;'Q1'!$E$14),"Outliers","Not an Outliers")</f>
        <v>Not an Outliers</v>
      </c>
      <c r="V536" t="str">
        <f t="shared" si="8"/>
        <v>Weekday</v>
      </c>
    </row>
    <row r="537" spans="1:22" x14ac:dyDescent="0.3">
      <c r="A537" s="24">
        <v>45505</v>
      </c>
      <c r="B537" s="9" t="s">
        <v>44</v>
      </c>
      <c r="C537" s="9" t="s">
        <v>21</v>
      </c>
      <c r="D537" s="9" t="s">
        <v>33</v>
      </c>
      <c r="E537" s="5">
        <v>2039</v>
      </c>
      <c r="F537" s="5" t="b">
        <v>1</v>
      </c>
      <c r="G537" s="9" t="s">
        <v>40</v>
      </c>
      <c r="H537" s="9" t="s">
        <v>41</v>
      </c>
      <c r="I537" s="9" t="s">
        <v>42</v>
      </c>
      <c r="J537" s="9" t="s">
        <v>48</v>
      </c>
      <c r="K537" s="5">
        <v>4</v>
      </c>
      <c r="L537" s="9" t="s">
        <v>27</v>
      </c>
      <c r="M537" s="9" t="s">
        <v>66</v>
      </c>
      <c r="N537" s="5" t="b">
        <v>1</v>
      </c>
      <c r="O537" s="5">
        <v>101</v>
      </c>
      <c r="P537" s="9" t="s">
        <v>29</v>
      </c>
      <c r="Q537" s="5">
        <v>6</v>
      </c>
      <c r="R537" s="5">
        <v>3</v>
      </c>
      <c r="S537" s="5">
        <v>4470</v>
      </c>
      <c r="T537" s="10" t="s">
        <v>38</v>
      </c>
      <c r="U537" t="str">
        <f>IF(OR(E537&lt;'Q1'!$E$13,E537&gt;'Q1'!$E$14),"Outliers","Not an Outliers")</f>
        <v>Not an Outliers</v>
      </c>
      <c r="V537" t="str">
        <f t="shared" si="8"/>
        <v>Weekday</v>
      </c>
    </row>
    <row r="538" spans="1:22" x14ac:dyDescent="0.3">
      <c r="A538" s="23">
        <v>45505</v>
      </c>
      <c r="B538" s="7" t="s">
        <v>77</v>
      </c>
      <c r="C538" s="7" t="s">
        <v>56</v>
      </c>
      <c r="D538" s="7" t="s">
        <v>22</v>
      </c>
      <c r="E538" s="4">
        <v>8494</v>
      </c>
      <c r="F538" s="4" t="b">
        <v>0</v>
      </c>
      <c r="G538" s="7" t="s">
        <v>23</v>
      </c>
      <c r="H538" s="7" t="s">
        <v>35</v>
      </c>
      <c r="I538" s="7" t="s">
        <v>25</v>
      </c>
      <c r="J538" s="7" t="s">
        <v>48</v>
      </c>
      <c r="K538" s="4">
        <v>3</v>
      </c>
      <c r="L538" s="7" t="s">
        <v>49</v>
      </c>
      <c r="M538" s="7" t="s">
        <v>28</v>
      </c>
      <c r="N538" s="4" t="b">
        <v>1</v>
      </c>
      <c r="O538" s="4">
        <v>22</v>
      </c>
      <c r="P538" s="7" t="s">
        <v>37</v>
      </c>
      <c r="Q538" s="4">
        <v>3</v>
      </c>
      <c r="R538" s="4">
        <v>1</v>
      </c>
      <c r="S538" s="4">
        <v>1196</v>
      </c>
      <c r="T538" s="8" t="s">
        <v>51</v>
      </c>
      <c r="U538" t="str">
        <f>IF(OR(E538&lt;'Q1'!$E$13,E538&gt;'Q1'!$E$14),"Outliers","Not an Outliers")</f>
        <v>Not an Outliers</v>
      </c>
      <c r="V538" t="str">
        <f t="shared" si="8"/>
        <v>Weekday</v>
      </c>
    </row>
    <row r="539" spans="1:22" x14ac:dyDescent="0.3">
      <c r="A539" s="24">
        <v>45506</v>
      </c>
      <c r="B539" s="9" t="s">
        <v>52</v>
      </c>
      <c r="C539" s="9" t="s">
        <v>45</v>
      </c>
      <c r="D539" s="9" t="s">
        <v>53</v>
      </c>
      <c r="E539" s="5">
        <v>2528</v>
      </c>
      <c r="F539" s="5" t="b">
        <v>1</v>
      </c>
      <c r="G539" s="9" t="s">
        <v>23</v>
      </c>
      <c r="H539" s="9" t="s">
        <v>24</v>
      </c>
      <c r="I539" s="9" t="s">
        <v>59</v>
      </c>
      <c r="J539" s="9" t="s">
        <v>43</v>
      </c>
      <c r="K539" s="5">
        <v>1</v>
      </c>
      <c r="L539" s="9" t="s">
        <v>27</v>
      </c>
      <c r="M539" s="9" t="s">
        <v>28</v>
      </c>
      <c r="N539" s="5" t="b">
        <v>0</v>
      </c>
      <c r="O539" s="5">
        <v>41</v>
      </c>
      <c r="P539" s="9" t="s">
        <v>50</v>
      </c>
      <c r="Q539" s="5">
        <v>2</v>
      </c>
      <c r="R539" s="5">
        <v>2</v>
      </c>
      <c r="S539" s="5">
        <v>3110</v>
      </c>
      <c r="T539" s="10" t="s">
        <v>30</v>
      </c>
      <c r="U539" t="str">
        <f>IF(OR(E539&lt;'Q1'!$E$13,E539&gt;'Q1'!$E$14),"Outliers","Not an Outliers")</f>
        <v>Not an Outliers</v>
      </c>
      <c r="V539" t="str">
        <f t="shared" si="8"/>
        <v>Weekday</v>
      </c>
    </row>
    <row r="540" spans="1:22" x14ac:dyDescent="0.3">
      <c r="A540" s="23">
        <v>45506</v>
      </c>
      <c r="B540" s="7" t="s">
        <v>69</v>
      </c>
      <c r="C540" s="7" t="s">
        <v>45</v>
      </c>
      <c r="D540" s="7" t="s">
        <v>33</v>
      </c>
      <c r="E540" s="4">
        <v>4119</v>
      </c>
      <c r="F540" s="4" t="b">
        <v>0</v>
      </c>
      <c r="G540" s="7" t="s">
        <v>34</v>
      </c>
      <c r="H540" s="7" t="s">
        <v>24</v>
      </c>
      <c r="I540" s="7" t="s">
        <v>25</v>
      </c>
      <c r="J540" s="7" t="s">
        <v>48</v>
      </c>
      <c r="K540" s="4">
        <v>0</v>
      </c>
      <c r="L540" s="7" t="s">
        <v>27</v>
      </c>
      <c r="M540" s="7" t="s">
        <v>66</v>
      </c>
      <c r="N540" s="4" t="b">
        <v>0</v>
      </c>
      <c r="O540" s="4">
        <v>29</v>
      </c>
      <c r="P540" s="7" t="s">
        <v>63</v>
      </c>
      <c r="Q540" s="4">
        <v>10</v>
      </c>
      <c r="R540" s="4">
        <v>1</v>
      </c>
      <c r="S540" s="4">
        <v>4067</v>
      </c>
      <c r="T540" s="8" t="s">
        <v>30</v>
      </c>
      <c r="U540" t="str">
        <f>IF(OR(E540&lt;'Q1'!$E$13,E540&gt;'Q1'!$E$14),"Outliers","Not an Outliers")</f>
        <v>Not an Outliers</v>
      </c>
      <c r="V540" t="str">
        <f t="shared" si="8"/>
        <v>Weekday</v>
      </c>
    </row>
    <row r="541" spans="1:22" x14ac:dyDescent="0.3">
      <c r="A541" s="24">
        <v>45506</v>
      </c>
      <c r="B541" s="9" t="s">
        <v>76</v>
      </c>
      <c r="C541" s="9" t="s">
        <v>56</v>
      </c>
      <c r="D541" s="9" t="s">
        <v>22</v>
      </c>
      <c r="E541" s="5">
        <v>9858</v>
      </c>
      <c r="F541" s="5" t="b">
        <v>0</v>
      </c>
      <c r="G541" s="9" t="s">
        <v>34</v>
      </c>
      <c r="H541" s="9" t="s">
        <v>70</v>
      </c>
      <c r="I541" s="9" t="s">
        <v>42</v>
      </c>
      <c r="J541" s="9" t="s">
        <v>48</v>
      </c>
      <c r="K541" s="5">
        <v>1</v>
      </c>
      <c r="L541" s="9" t="s">
        <v>36</v>
      </c>
      <c r="M541" s="9" t="s">
        <v>28</v>
      </c>
      <c r="N541" s="5" t="b">
        <v>1</v>
      </c>
      <c r="O541" s="5">
        <v>25</v>
      </c>
      <c r="P541" s="9" t="s">
        <v>67</v>
      </c>
      <c r="Q541" s="5">
        <v>2</v>
      </c>
      <c r="R541" s="5">
        <v>3</v>
      </c>
      <c r="S541" s="5">
        <v>3830</v>
      </c>
      <c r="T541" s="10" t="s">
        <v>51</v>
      </c>
      <c r="U541" t="str">
        <f>IF(OR(E541&lt;'Q1'!$E$13,E541&gt;'Q1'!$E$14),"Outliers","Not an Outliers")</f>
        <v>Not an Outliers</v>
      </c>
      <c r="V541" t="str">
        <f t="shared" si="8"/>
        <v>Weekday</v>
      </c>
    </row>
    <row r="542" spans="1:22" x14ac:dyDescent="0.3">
      <c r="A542" s="23">
        <v>45506</v>
      </c>
      <c r="B542" s="7" t="s">
        <v>68</v>
      </c>
      <c r="C542" s="7" t="s">
        <v>21</v>
      </c>
      <c r="D542" s="7" t="s">
        <v>22</v>
      </c>
      <c r="E542" s="4">
        <v>6023</v>
      </c>
      <c r="F542" s="4" t="b">
        <v>0</v>
      </c>
      <c r="G542" s="7" t="s">
        <v>23</v>
      </c>
      <c r="H542" s="7" t="s">
        <v>70</v>
      </c>
      <c r="I542" s="7" t="s">
        <v>59</v>
      </c>
      <c r="J542" s="7" t="s">
        <v>48</v>
      </c>
      <c r="K542" s="4">
        <v>5</v>
      </c>
      <c r="L542" s="7" t="s">
        <v>36</v>
      </c>
      <c r="M542" s="7" t="s">
        <v>73</v>
      </c>
      <c r="N542" s="4" t="b">
        <v>1</v>
      </c>
      <c r="O542" s="4">
        <v>85</v>
      </c>
      <c r="P542" s="7" t="s">
        <v>67</v>
      </c>
      <c r="Q542" s="4">
        <v>5</v>
      </c>
      <c r="R542" s="4">
        <v>3</v>
      </c>
      <c r="S542" s="4">
        <v>3433</v>
      </c>
      <c r="T542" s="8" t="s">
        <v>51</v>
      </c>
      <c r="U542" t="str">
        <f>IF(OR(E542&lt;'Q1'!$E$13,E542&gt;'Q1'!$E$14),"Outliers","Not an Outliers")</f>
        <v>Not an Outliers</v>
      </c>
      <c r="V542" t="str">
        <f t="shared" si="8"/>
        <v>Weekday</v>
      </c>
    </row>
    <row r="543" spans="1:22" x14ac:dyDescent="0.3">
      <c r="A543" s="24">
        <v>45506</v>
      </c>
      <c r="B543" s="9" t="s">
        <v>52</v>
      </c>
      <c r="C543" s="9" t="s">
        <v>60</v>
      </c>
      <c r="D543" s="9" t="s">
        <v>53</v>
      </c>
      <c r="E543" s="5">
        <v>4672</v>
      </c>
      <c r="F543" s="5" t="b">
        <v>0</v>
      </c>
      <c r="G543" s="9" t="s">
        <v>40</v>
      </c>
      <c r="H543" s="9" t="s">
        <v>24</v>
      </c>
      <c r="I543" s="9" t="s">
        <v>42</v>
      </c>
      <c r="J543" s="9" t="s">
        <v>48</v>
      </c>
      <c r="K543" s="5">
        <v>2</v>
      </c>
      <c r="L543" s="9" t="s">
        <v>27</v>
      </c>
      <c r="M543" s="9" t="s">
        <v>58</v>
      </c>
      <c r="N543" s="5" t="b">
        <v>1</v>
      </c>
      <c r="O543" s="5">
        <v>60</v>
      </c>
      <c r="P543" s="9" t="s">
        <v>37</v>
      </c>
      <c r="Q543" s="5">
        <v>8</v>
      </c>
      <c r="R543" s="5">
        <v>1</v>
      </c>
      <c r="S543" s="5">
        <v>4098</v>
      </c>
      <c r="T543" s="10" t="s">
        <v>30</v>
      </c>
      <c r="U543" t="str">
        <f>IF(OR(E543&lt;'Q1'!$E$13,E543&gt;'Q1'!$E$14),"Outliers","Not an Outliers")</f>
        <v>Not an Outliers</v>
      </c>
      <c r="V543" t="str">
        <f t="shared" si="8"/>
        <v>Weekday</v>
      </c>
    </row>
    <row r="544" spans="1:22" x14ac:dyDescent="0.3">
      <c r="A544" s="23">
        <v>45506</v>
      </c>
      <c r="B544" s="7" t="s">
        <v>31</v>
      </c>
      <c r="C544" s="7" t="s">
        <v>60</v>
      </c>
      <c r="D544" s="7" t="s">
        <v>61</v>
      </c>
      <c r="E544" s="4">
        <v>1000</v>
      </c>
      <c r="F544" s="4" t="b">
        <v>0</v>
      </c>
      <c r="G544" s="7" t="s">
        <v>40</v>
      </c>
      <c r="H544" s="7" t="s">
        <v>41</v>
      </c>
      <c r="I544" s="7" t="s">
        <v>42</v>
      </c>
      <c r="J544" s="7" t="s">
        <v>26</v>
      </c>
      <c r="K544" s="4">
        <v>1</v>
      </c>
      <c r="L544" s="7" t="s">
        <v>36</v>
      </c>
      <c r="M544" s="7" t="s">
        <v>66</v>
      </c>
      <c r="N544" s="4" t="b">
        <v>0</v>
      </c>
      <c r="O544" s="4">
        <v>26</v>
      </c>
      <c r="P544" s="7" t="s">
        <v>63</v>
      </c>
      <c r="Q544" s="4">
        <v>5</v>
      </c>
      <c r="R544" s="4">
        <v>2</v>
      </c>
      <c r="S544" s="4">
        <v>3343</v>
      </c>
      <c r="T544" s="8" t="s">
        <v>51</v>
      </c>
      <c r="U544" t="str">
        <f>IF(OR(E544&lt;'Q1'!$E$13,E544&gt;'Q1'!$E$14),"Outliers","Not an Outliers")</f>
        <v>Not an Outliers</v>
      </c>
      <c r="V544" t="str">
        <f t="shared" si="8"/>
        <v>Weekday</v>
      </c>
    </row>
    <row r="545" spans="1:22" x14ac:dyDescent="0.3">
      <c r="A545" s="24">
        <v>45506</v>
      </c>
      <c r="B545" s="9" t="s">
        <v>20</v>
      </c>
      <c r="C545" s="9" t="s">
        <v>21</v>
      </c>
      <c r="D545" s="9" t="s">
        <v>57</v>
      </c>
      <c r="E545" s="5">
        <v>1000</v>
      </c>
      <c r="F545" s="5" t="b">
        <v>0</v>
      </c>
      <c r="G545" s="9" t="s">
        <v>65</v>
      </c>
      <c r="H545" s="9" t="s">
        <v>70</v>
      </c>
      <c r="I545" s="9" t="s">
        <v>25</v>
      </c>
      <c r="J545" s="9" t="s">
        <v>43</v>
      </c>
      <c r="K545" s="5">
        <v>4</v>
      </c>
      <c r="L545" s="9" t="s">
        <v>36</v>
      </c>
      <c r="M545" s="9" t="s">
        <v>73</v>
      </c>
      <c r="N545" s="5" t="b">
        <v>1</v>
      </c>
      <c r="O545" s="5">
        <v>24</v>
      </c>
      <c r="P545" s="9" t="s">
        <v>37</v>
      </c>
      <c r="Q545" s="5">
        <v>4</v>
      </c>
      <c r="R545" s="5">
        <v>3</v>
      </c>
      <c r="S545" s="5">
        <v>4055</v>
      </c>
      <c r="T545" s="10" t="s">
        <v>51</v>
      </c>
      <c r="U545" t="str">
        <f>IF(OR(E545&lt;'Q1'!$E$13,E545&gt;'Q1'!$E$14),"Outliers","Not an Outliers")</f>
        <v>Not an Outliers</v>
      </c>
      <c r="V545" t="str">
        <f t="shared" si="8"/>
        <v>Weekday</v>
      </c>
    </row>
    <row r="546" spans="1:22" x14ac:dyDescent="0.3">
      <c r="A546" s="23">
        <v>45506</v>
      </c>
      <c r="B546" s="7" t="s">
        <v>68</v>
      </c>
      <c r="C546" s="7" t="s">
        <v>21</v>
      </c>
      <c r="D546" s="7" t="s">
        <v>33</v>
      </c>
      <c r="E546" s="4">
        <v>3052</v>
      </c>
      <c r="F546" s="4" t="b">
        <v>0</v>
      </c>
      <c r="G546" s="7" t="s">
        <v>34</v>
      </c>
      <c r="H546" s="7" t="s">
        <v>35</v>
      </c>
      <c r="I546" s="7" t="s">
        <v>59</v>
      </c>
      <c r="J546" s="7" t="s">
        <v>43</v>
      </c>
      <c r="K546" s="4">
        <v>5</v>
      </c>
      <c r="L546" s="7" t="s">
        <v>27</v>
      </c>
      <c r="M546" s="7" t="s">
        <v>73</v>
      </c>
      <c r="N546" s="4" t="b">
        <v>0</v>
      </c>
      <c r="O546" s="4">
        <v>16</v>
      </c>
      <c r="P546" s="7" t="s">
        <v>67</v>
      </c>
      <c r="Q546" s="4">
        <v>1</v>
      </c>
      <c r="R546" s="4">
        <v>3</v>
      </c>
      <c r="S546" s="4">
        <v>1825</v>
      </c>
      <c r="T546" s="8" t="s">
        <v>38</v>
      </c>
      <c r="U546" t="str">
        <f>IF(OR(E546&lt;'Q1'!$E$13,E546&gt;'Q1'!$E$14),"Outliers","Not an Outliers")</f>
        <v>Not an Outliers</v>
      </c>
      <c r="V546" t="str">
        <f t="shared" si="8"/>
        <v>Weekday</v>
      </c>
    </row>
    <row r="547" spans="1:22" x14ac:dyDescent="0.3">
      <c r="A547" s="24">
        <v>45507</v>
      </c>
      <c r="B547" s="9" t="s">
        <v>55</v>
      </c>
      <c r="C547" s="9" t="s">
        <v>32</v>
      </c>
      <c r="D547" s="9" t="s">
        <v>22</v>
      </c>
      <c r="E547" s="5">
        <v>9854</v>
      </c>
      <c r="F547" s="5" t="b">
        <v>0</v>
      </c>
      <c r="G547" s="9" t="s">
        <v>34</v>
      </c>
      <c r="H547" s="9" t="s">
        <v>24</v>
      </c>
      <c r="I547" s="9" t="s">
        <v>25</v>
      </c>
      <c r="J547" s="9" t="s">
        <v>48</v>
      </c>
      <c r="K547" s="5">
        <v>0</v>
      </c>
      <c r="L547" s="9" t="s">
        <v>27</v>
      </c>
      <c r="M547" s="9" t="s">
        <v>28</v>
      </c>
      <c r="N547" s="5" t="b">
        <v>1</v>
      </c>
      <c r="O547" s="5">
        <v>17</v>
      </c>
      <c r="P547" s="9" t="s">
        <v>50</v>
      </c>
      <c r="Q547" s="5">
        <v>2</v>
      </c>
      <c r="R547" s="5">
        <v>1</v>
      </c>
      <c r="S547" s="5">
        <v>3582</v>
      </c>
      <c r="T547" s="10" t="s">
        <v>30</v>
      </c>
      <c r="U547" t="str">
        <f>IF(OR(E547&lt;'Q1'!$E$13,E547&gt;'Q1'!$E$14),"Outliers","Not an Outliers")</f>
        <v>Not an Outliers</v>
      </c>
      <c r="V547" t="str">
        <f t="shared" si="8"/>
        <v>Weekend</v>
      </c>
    </row>
    <row r="548" spans="1:22" x14ac:dyDescent="0.3">
      <c r="A548" s="23">
        <v>45507</v>
      </c>
      <c r="B548" s="7" t="s">
        <v>77</v>
      </c>
      <c r="C548" s="7" t="s">
        <v>32</v>
      </c>
      <c r="D548" s="7" t="s">
        <v>57</v>
      </c>
      <c r="E548" s="4">
        <v>1000</v>
      </c>
      <c r="F548" s="4" t="b">
        <v>1</v>
      </c>
      <c r="G548" s="7" t="s">
        <v>40</v>
      </c>
      <c r="H548" s="7" t="s">
        <v>35</v>
      </c>
      <c r="I548" s="7" t="s">
        <v>25</v>
      </c>
      <c r="J548" s="7" t="s">
        <v>26</v>
      </c>
      <c r="K548" s="4">
        <v>3</v>
      </c>
      <c r="L548" s="7" t="s">
        <v>49</v>
      </c>
      <c r="M548" s="7" t="s">
        <v>58</v>
      </c>
      <c r="N548" s="4" t="b">
        <v>1</v>
      </c>
      <c r="O548" s="4">
        <v>37</v>
      </c>
      <c r="P548" s="7" t="s">
        <v>29</v>
      </c>
      <c r="Q548" s="4">
        <v>2</v>
      </c>
      <c r="R548" s="4">
        <v>3</v>
      </c>
      <c r="S548" s="4">
        <v>2648</v>
      </c>
      <c r="T548" s="8" t="s">
        <v>51</v>
      </c>
      <c r="U548" t="str">
        <f>IF(OR(E548&lt;'Q1'!$E$13,E548&gt;'Q1'!$E$14),"Outliers","Not an Outliers")</f>
        <v>Not an Outliers</v>
      </c>
      <c r="V548" t="str">
        <f t="shared" si="8"/>
        <v>Weekend</v>
      </c>
    </row>
    <row r="549" spans="1:22" x14ac:dyDescent="0.3">
      <c r="A549" s="24">
        <v>45508</v>
      </c>
      <c r="B549" s="9" t="s">
        <v>68</v>
      </c>
      <c r="C549" s="9" t="s">
        <v>32</v>
      </c>
      <c r="D549" s="9" t="s">
        <v>33</v>
      </c>
      <c r="E549" s="5">
        <v>4354</v>
      </c>
      <c r="F549" s="5" t="b">
        <v>1</v>
      </c>
      <c r="G549" s="9" t="s">
        <v>23</v>
      </c>
      <c r="H549" s="9" t="s">
        <v>35</v>
      </c>
      <c r="I549" s="9" t="s">
        <v>47</v>
      </c>
      <c r="J549" s="9" t="s">
        <v>48</v>
      </c>
      <c r="K549" s="5">
        <v>5</v>
      </c>
      <c r="L549" s="9" t="s">
        <v>49</v>
      </c>
      <c r="M549" s="9" t="s">
        <v>66</v>
      </c>
      <c r="N549" s="5" t="b">
        <v>0</v>
      </c>
      <c r="O549" s="5">
        <v>113</v>
      </c>
      <c r="P549" s="9" t="s">
        <v>50</v>
      </c>
      <c r="Q549" s="5">
        <v>8</v>
      </c>
      <c r="R549" s="5">
        <v>1</v>
      </c>
      <c r="S549" s="5">
        <v>897</v>
      </c>
      <c r="T549" s="10" t="s">
        <v>30</v>
      </c>
      <c r="U549" t="str">
        <f>IF(OR(E549&lt;'Q1'!$E$13,E549&gt;'Q1'!$E$14),"Outliers","Not an Outliers")</f>
        <v>Not an Outliers</v>
      </c>
      <c r="V549" t="str">
        <f t="shared" si="8"/>
        <v>Weekend</v>
      </c>
    </row>
    <row r="550" spans="1:22" x14ac:dyDescent="0.3">
      <c r="A550" s="23">
        <v>45508</v>
      </c>
      <c r="B550" s="7" t="s">
        <v>62</v>
      </c>
      <c r="C550" s="7" t="s">
        <v>56</v>
      </c>
      <c r="D550" s="7" t="s">
        <v>53</v>
      </c>
      <c r="E550" s="4">
        <v>7989</v>
      </c>
      <c r="F550" s="4" t="b">
        <v>0</v>
      </c>
      <c r="G550" s="7" t="s">
        <v>64</v>
      </c>
      <c r="H550" s="7" t="s">
        <v>24</v>
      </c>
      <c r="I550" s="7" t="s">
        <v>47</v>
      </c>
      <c r="J550" s="7" t="s">
        <v>54</v>
      </c>
      <c r="K550" s="4">
        <v>2</v>
      </c>
      <c r="L550" s="7" t="s">
        <v>49</v>
      </c>
      <c r="M550" s="7" t="s">
        <v>73</v>
      </c>
      <c r="N550" s="4" t="b">
        <v>1</v>
      </c>
      <c r="O550" s="4">
        <v>90</v>
      </c>
      <c r="P550" s="7" t="s">
        <v>50</v>
      </c>
      <c r="Q550" s="4">
        <v>3</v>
      </c>
      <c r="R550" s="4">
        <v>2</v>
      </c>
      <c r="S550" s="4">
        <v>3037</v>
      </c>
      <c r="T550" s="8" t="s">
        <v>38</v>
      </c>
      <c r="U550" t="str">
        <f>IF(OR(E550&lt;'Q1'!$E$13,E550&gt;'Q1'!$E$14),"Outliers","Not an Outliers")</f>
        <v>Not an Outliers</v>
      </c>
      <c r="V550" t="str">
        <f t="shared" si="8"/>
        <v>Weekend</v>
      </c>
    </row>
    <row r="551" spans="1:22" x14ac:dyDescent="0.3">
      <c r="A551" s="24">
        <v>45508</v>
      </c>
      <c r="B551" s="9" t="s">
        <v>31</v>
      </c>
      <c r="C551" s="9" t="s">
        <v>32</v>
      </c>
      <c r="D551" s="9" t="s">
        <v>53</v>
      </c>
      <c r="E551" s="5">
        <v>5524</v>
      </c>
      <c r="F551" s="5" t="b">
        <v>0</v>
      </c>
      <c r="G551" s="9" t="s">
        <v>34</v>
      </c>
      <c r="H551" s="9" t="s">
        <v>24</v>
      </c>
      <c r="I551" s="9" t="s">
        <v>47</v>
      </c>
      <c r="J551" s="9" t="s">
        <v>43</v>
      </c>
      <c r="K551" s="5">
        <v>0</v>
      </c>
      <c r="L551" s="9" t="s">
        <v>27</v>
      </c>
      <c r="M551" s="9" t="s">
        <v>73</v>
      </c>
      <c r="N551" s="5" t="b">
        <v>1</v>
      </c>
      <c r="O551" s="5">
        <v>114</v>
      </c>
      <c r="P551" s="9" t="s">
        <v>29</v>
      </c>
      <c r="Q551" s="5">
        <v>3</v>
      </c>
      <c r="R551" s="5">
        <v>1</v>
      </c>
      <c r="S551" s="5">
        <v>4571</v>
      </c>
      <c r="T551" s="10" t="s">
        <v>30</v>
      </c>
      <c r="U551" t="str">
        <f>IF(OR(E551&lt;'Q1'!$E$13,E551&gt;'Q1'!$E$14),"Outliers","Not an Outliers")</f>
        <v>Not an Outliers</v>
      </c>
      <c r="V551" t="str">
        <f t="shared" si="8"/>
        <v>Weekend</v>
      </c>
    </row>
    <row r="552" spans="1:22" x14ac:dyDescent="0.3">
      <c r="A552" s="23">
        <v>45509</v>
      </c>
      <c r="B552" s="7" t="s">
        <v>39</v>
      </c>
      <c r="C552" s="7" t="s">
        <v>21</v>
      </c>
      <c r="D552" s="7" t="s">
        <v>22</v>
      </c>
      <c r="E552" s="4">
        <v>8820</v>
      </c>
      <c r="F552" s="4" t="b">
        <v>0</v>
      </c>
      <c r="G552" s="7" t="s">
        <v>40</v>
      </c>
      <c r="H552" s="7" t="s">
        <v>41</v>
      </c>
      <c r="I552" s="7" t="s">
        <v>42</v>
      </c>
      <c r="J552" s="7" t="s">
        <v>43</v>
      </c>
      <c r="K552" s="4">
        <v>3</v>
      </c>
      <c r="L552" s="7" t="s">
        <v>27</v>
      </c>
      <c r="M552" s="7" t="s">
        <v>28</v>
      </c>
      <c r="N552" s="4" t="b">
        <v>0</v>
      </c>
      <c r="O552" s="4">
        <v>38</v>
      </c>
      <c r="P552" s="7" t="s">
        <v>29</v>
      </c>
      <c r="Q552" s="4">
        <v>7</v>
      </c>
      <c r="R552" s="4">
        <v>2</v>
      </c>
      <c r="S552" s="4">
        <v>4757</v>
      </c>
      <c r="T552" s="8" t="s">
        <v>30</v>
      </c>
      <c r="U552" t="str">
        <f>IF(OR(E552&lt;'Q1'!$E$13,E552&gt;'Q1'!$E$14),"Outliers","Not an Outliers")</f>
        <v>Not an Outliers</v>
      </c>
      <c r="V552" t="str">
        <f t="shared" si="8"/>
        <v>Weekday</v>
      </c>
    </row>
    <row r="553" spans="1:22" x14ac:dyDescent="0.3">
      <c r="A553" s="24">
        <v>45509</v>
      </c>
      <c r="B553" s="9" t="s">
        <v>55</v>
      </c>
      <c r="C553" s="9" t="s">
        <v>56</v>
      </c>
      <c r="D553" s="9" t="s">
        <v>53</v>
      </c>
      <c r="E553" s="5">
        <v>7289</v>
      </c>
      <c r="F553" s="5" t="b">
        <v>0</v>
      </c>
      <c r="G553" s="9" t="s">
        <v>34</v>
      </c>
      <c r="H553" s="9" t="s">
        <v>35</v>
      </c>
      <c r="I553" s="9" t="s">
        <v>42</v>
      </c>
      <c r="J553" s="9" t="s">
        <v>26</v>
      </c>
      <c r="K553" s="5">
        <v>1</v>
      </c>
      <c r="L553" s="9" t="s">
        <v>27</v>
      </c>
      <c r="M553" s="9" t="s">
        <v>28</v>
      </c>
      <c r="N553" s="5" t="b">
        <v>1</v>
      </c>
      <c r="O553" s="5">
        <v>99</v>
      </c>
      <c r="P553" s="9" t="s">
        <v>50</v>
      </c>
      <c r="Q553" s="5">
        <v>5</v>
      </c>
      <c r="R553" s="5">
        <v>2</v>
      </c>
      <c r="S553" s="5">
        <v>1789</v>
      </c>
      <c r="T553" s="10" t="s">
        <v>30</v>
      </c>
      <c r="U553" t="str">
        <f>IF(OR(E553&lt;'Q1'!$E$13,E553&gt;'Q1'!$E$14),"Outliers","Not an Outliers")</f>
        <v>Not an Outliers</v>
      </c>
      <c r="V553" t="str">
        <f t="shared" si="8"/>
        <v>Weekday</v>
      </c>
    </row>
    <row r="554" spans="1:22" x14ac:dyDescent="0.3">
      <c r="A554" s="23">
        <v>45509</v>
      </c>
      <c r="B554" s="7" t="s">
        <v>39</v>
      </c>
      <c r="C554" s="7" t="s">
        <v>45</v>
      </c>
      <c r="D554" s="7" t="s">
        <v>22</v>
      </c>
      <c r="E554" s="4">
        <v>5120</v>
      </c>
      <c r="F554" s="4" t="b">
        <v>0</v>
      </c>
      <c r="G554" s="7" t="s">
        <v>65</v>
      </c>
      <c r="H554" s="7" t="s">
        <v>41</v>
      </c>
      <c r="I554" s="7" t="s">
        <v>47</v>
      </c>
      <c r="J554" s="7" t="s">
        <v>43</v>
      </c>
      <c r="K554" s="4">
        <v>1</v>
      </c>
      <c r="L554" s="7" t="s">
        <v>49</v>
      </c>
      <c r="M554" s="7" t="s">
        <v>66</v>
      </c>
      <c r="N554" s="4" t="b">
        <v>1</v>
      </c>
      <c r="O554" s="4">
        <v>88</v>
      </c>
      <c r="P554" s="7" t="s">
        <v>37</v>
      </c>
      <c r="Q554" s="4">
        <v>8</v>
      </c>
      <c r="R554" s="4">
        <v>1</v>
      </c>
      <c r="S554" s="4">
        <v>4798</v>
      </c>
      <c r="T554" s="8" t="s">
        <v>38</v>
      </c>
      <c r="U554" t="str">
        <f>IF(OR(E554&lt;'Q1'!$E$13,E554&gt;'Q1'!$E$14),"Outliers","Not an Outliers")</f>
        <v>Not an Outliers</v>
      </c>
      <c r="V554" t="str">
        <f t="shared" si="8"/>
        <v>Weekday</v>
      </c>
    </row>
    <row r="555" spans="1:22" x14ac:dyDescent="0.3">
      <c r="A555" s="24">
        <v>45509</v>
      </c>
      <c r="B555" s="9" t="s">
        <v>68</v>
      </c>
      <c r="C555" s="9" t="s">
        <v>56</v>
      </c>
      <c r="D555" s="9" t="s">
        <v>57</v>
      </c>
      <c r="E555" s="5">
        <v>1000</v>
      </c>
      <c r="F555" s="5" t="b">
        <v>0</v>
      </c>
      <c r="G555" s="9" t="s">
        <v>64</v>
      </c>
      <c r="H555" s="9" t="s">
        <v>41</v>
      </c>
      <c r="I555" s="9" t="s">
        <v>25</v>
      </c>
      <c r="J555" s="9" t="s">
        <v>48</v>
      </c>
      <c r="K555" s="5">
        <v>2</v>
      </c>
      <c r="L555" s="9" t="s">
        <v>27</v>
      </c>
      <c r="M555" s="9" t="s">
        <v>66</v>
      </c>
      <c r="N555" s="5" t="b">
        <v>1</v>
      </c>
      <c r="O555" s="5">
        <v>37</v>
      </c>
      <c r="P555" s="9" t="s">
        <v>29</v>
      </c>
      <c r="Q555" s="5">
        <v>9</v>
      </c>
      <c r="R555" s="5">
        <v>1</v>
      </c>
      <c r="S555" s="5">
        <v>4642</v>
      </c>
      <c r="T555" s="10" t="s">
        <v>51</v>
      </c>
      <c r="U555" t="str">
        <f>IF(OR(E555&lt;'Q1'!$E$13,E555&gt;'Q1'!$E$14),"Outliers","Not an Outliers")</f>
        <v>Not an Outliers</v>
      </c>
      <c r="V555" t="str">
        <f t="shared" si="8"/>
        <v>Weekday</v>
      </c>
    </row>
    <row r="556" spans="1:22" x14ac:dyDescent="0.3">
      <c r="A556" s="23">
        <v>45509</v>
      </c>
      <c r="B556" s="7" t="s">
        <v>72</v>
      </c>
      <c r="C556" s="7" t="s">
        <v>60</v>
      </c>
      <c r="D556" s="7" t="s">
        <v>22</v>
      </c>
      <c r="E556" s="4">
        <v>7887</v>
      </c>
      <c r="F556" s="4" t="b">
        <v>0</v>
      </c>
      <c r="G556" s="7" t="s">
        <v>64</v>
      </c>
      <c r="H556" s="7" t="s">
        <v>24</v>
      </c>
      <c r="I556" s="7" t="s">
        <v>59</v>
      </c>
      <c r="J556" s="7" t="s">
        <v>26</v>
      </c>
      <c r="K556" s="4">
        <v>2</v>
      </c>
      <c r="L556" s="7" t="s">
        <v>49</v>
      </c>
      <c r="M556" s="7" t="s">
        <v>28</v>
      </c>
      <c r="N556" s="4" t="b">
        <v>0</v>
      </c>
      <c r="O556" s="4">
        <v>111</v>
      </c>
      <c r="P556" s="7" t="s">
        <v>37</v>
      </c>
      <c r="Q556" s="4">
        <v>4</v>
      </c>
      <c r="R556" s="4">
        <v>3</v>
      </c>
      <c r="S556" s="4">
        <v>3130</v>
      </c>
      <c r="T556" s="8" t="s">
        <v>51</v>
      </c>
      <c r="U556" t="str">
        <f>IF(OR(E556&lt;'Q1'!$E$13,E556&gt;'Q1'!$E$14),"Outliers","Not an Outliers")</f>
        <v>Not an Outliers</v>
      </c>
      <c r="V556" t="str">
        <f t="shared" si="8"/>
        <v>Weekday</v>
      </c>
    </row>
    <row r="557" spans="1:22" x14ac:dyDescent="0.3">
      <c r="A557" s="24">
        <v>45510</v>
      </c>
      <c r="B557" s="9" t="s">
        <v>52</v>
      </c>
      <c r="C557" s="9" t="s">
        <v>45</v>
      </c>
      <c r="D557" s="9" t="s">
        <v>33</v>
      </c>
      <c r="E557" s="5">
        <v>4036</v>
      </c>
      <c r="F557" s="5" t="b">
        <v>1</v>
      </c>
      <c r="G557" s="9" t="s">
        <v>65</v>
      </c>
      <c r="H557" s="9" t="s">
        <v>41</v>
      </c>
      <c r="I557" s="9" t="s">
        <v>25</v>
      </c>
      <c r="J557" s="9" t="s">
        <v>26</v>
      </c>
      <c r="K557" s="5">
        <v>4</v>
      </c>
      <c r="L557" s="9" t="s">
        <v>49</v>
      </c>
      <c r="M557" s="9" t="s">
        <v>28</v>
      </c>
      <c r="N557" s="5" t="b">
        <v>1</v>
      </c>
      <c r="O557" s="5">
        <v>22</v>
      </c>
      <c r="P557" s="9" t="s">
        <v>63</v>
      </c>
      <c r="Q557" s="5">
        <v>5</v>
      </c>
      <c r="R557" s="5">
        <v>1</v>
      </c>
      <c r="S557" s="5">
        <v>4612</v>
      </c>
      <c r="T557" s="10" t="s">
        <v>38</v>
      </c>
      <c r="U557" t="str">
        <f>IF(OR(E557&lt;'Q1'!$E$13,E557&gt;'Q1'!$E$14),"Outliers","Not an Outliers")</f>
        <v>Not an Outliers</v>
      </c>
      <c r="V557" t="str">
        <f t="shared" si="8"/>
        <v>Weekday</v>
      </c>
    </row>
    <row r="558" spans="1:22" x14ac:dyDescent="0.3">
      <c r="A558" s="23">
        <v>45510</v>
      </c>
      <c r="B558" s="7" t="s">
        <v>75</v>
      </c>
      <c r="C558" s="7" t="s">
        <v>32</v>
      </c>
      <c r="D558" s="7" t="s">
        <v>53</v>
      </c>
      <c r="E558" s="4">
        <v>6811</v>
      </c>
      <c r="F558" s="4" t="b">
        <v>0</v>
      </c>
      <c r="G558" s="7" t="s">
        <v>34</v>
      </c>
      <c r="H558" s="7" t="s">
        <v>35</v>
      </c>
      <c r="I558" s="7" t="s">
        <v>42</v>
      </c>
      <c r="J558" s="7" t="s">
        <v>48</v>
      </c>
      <c r="K558" s="4">
        <v>2</v>
      </c>
      <c r="L558" s="7" t="s">
        <v>36</v>
      </c>
      <c r="M558" s="7" t="s">
        <v>66</v>
      </c>
      <c r="N558" s="4" t="b">
        <v>0</v>
      </c>
      <c r="O558" s="4">
        <v>61</v>
      </c>
      <c r="P558" s="7" t="s">
        <v>37</v>
      </c>
      <c r="Q558" s="4">
        <v>3</v>
      </c>
      <c r="R558" s="4">
        <v>2</v>
      </c>
      <c r="S558" s="4">
        <v>4180</v>
      </c>
      <c r="T558" s="8" t="s">
        <v>30</v>
      </c>
      <c r="U558" t="str">
        <f>IF(OR(E558&lt;'Q1'!$E$13,E558&gt;'Q1'!$E$14),"Outliers","Not an Outliers")</f>
        <v>Not an Outliers</v>
      </c>
      <c r="V558" t="str">
        <f t="shared" si="8"/>
        <v>Weekday</v>
      </c>
    </row>
    <row r="559" spans="1:22" x14ac:dyDescent="0.3">
      <c r="A559" s="24">
        <v>45510</v>
      </c>
      <c r="B559" s="9" t="s">
        <v>76</v>
      </c>
      <c r="C559" s="9" t="s">
        <v>60</v>
      </c>
      <c r="D559" s="9" t="s">
        <v>61</v>
      </c>
      <c r="E559" s="5">
        <v>1000</v>
      </c>
      <c r="F559" s="5" t="b">
        <v>1</v>
      </c>
      <c r="G559" s="9" t="s">
        <v>64</v>
      </c>
      <c r="H559" s="9" t="s">
        <v>41</v>
      </c>
      <c r="I559" s="9" t="s">
        <v>25</v>
      </c>
      <c r="J559" s="9" t="s">
        <v>26</v>
      </c>
      <c r="K559" s="5">
        <v>5</v>
      </c>
      <c r="L559" s="9" t="s">
        <v>49</v>
      </c>
      <c r="M559" s="9" t="s">
        <v>28</v>
      </c>
      <c r="N559" s="5" t="b">
        <v>1</v>
      </c>
      <c r="O559" s="5">
        <v>33</v>
      </c>
      <c r="P559" s="9" t="s">
        <v>37</v>
      </c>
      <c r="Q559" s="5">
        <v>10</v>
      </c>
      <c r="R559" s="5">
        <v>3</v>
      </c>
      <c r="S559" s="5">
        <v>3000</v>
      </c>
      <c r="T559" s="10" t="s">
        <v>38</v>
      </c>
      <c r="U559" t="str">
        <f>IF(OR(E559&lt;'Q1'!$E$13,E559&gt;'Q1'!$E$14),"Outliers","Not an Outliers")</f>
        <v>Not an Outliers</v>
      </c>
      <c r="V559" t="str">
        <f t="shared" si="8"/>
        <v>Weekday</v>
      </c>
    </row>
    <row r="560" spans="1:22" x14ac:dyDescent="0.3">
      <c r="A560" s="23">
        <v>45510</v>
      </c>
      <c r="B560" s="7" t="s">
        <v>74</v>
      </c>
      <c r="C560" s="7" t="s">
        <v>56</v>
      </c>
      <c r="D560" s="7" t="s">
        <v>57</v>
      </c>
      <c r="E560" s="4">
        <v>1000</v>
      </c>
      <c r="F560" s="4" t="b">
        <v>0</v>
      </c>
      <c r="G560" s="7" t="s">
        <v>65</v>
      </c>
      <c r="H560" s="7" t="s">
        <v>41</v>
      </c>
      <c r="I560" s="7" t="s">
        <v>47</v>
      </c>
      <c r="J560" s="7" t="s">
        <v>26</v>
      </c>
      <c r="K560" s="4">
        <v>1</v>
      </c>
      <c r="L560" s="7" t="s">
        <v>27</v>
      </c>
      <c r="M560" s="7" t="s">
        <v>28</v>
      </c>
      <c r="N560" s="4" t="b">
        <v>1</v>
      </c>
      <c r="O560" s="4">
        <v>111</v>
      </c>
      <c r="P560" s="7" t="s">
        <v>67</v>
      </c>
      <c r="Q560" s="4">
        <v>6</v>
      </c>
      <c r="R560" s="4">
        <v>3</v>
      </c>
      <c r="S560" s="4">
        <v>2524</v>
      </c>
      <c r="T560" s="8" t="s">
        <v>38</v>
      </c>
      <c r="U560" t="str">
        <f>IF(OR(E560&lt;'Q1'!$E$13,E560&gt;'Q1'!$E$14),"Outliers","Not an Outliers")</f>
        <v>Not an Outliers</v>
      </c>
      <c r="V560" t="str">
        <f t="shared" si="8"/>
        <v>Weekday</v>
      </c>
    </row>
    <row r="561" spans="1:22" x14ac:dyDescent="0.3">
      <c r="A561" s="24">
        <v>45510</v>
      </c>
      <c r="B561" s="9" t="s">
        <v>20</v>
      </c>
      <c r="C561" s="9" t="s">
        <v>21</v>
      </c>
      <c r="D561" s="9" t="s">
        <v>46</v>
      </c>
      <c r="E561" s="5">
        <v>3778</v>
      </c>
      <c r="F561" s="5" t="b">
        <v>1</v>
      </c>
      <c r="G561" s="9" t="s">
        <v>23</v>
      </c>
      <c r="H561" s="9" t="s">
        <v>35</v>
      </c>
      <c r="I561" s="9" t="s">
        <v>42</v>
      </c>
      <c r="J561" s="9" t="s">
        <v>43</v>
      </c>
      <c r="K561" s="5">
        <v>0</v>
      </c>
      <c r="L561" s="9" t="s">
        <v>36</v>
      </c>
      <c r="M561" s="9" t="s">
        <v>58</v>
      </c>
      <c r="N561" s="5" t="b">
        <v>0</v>
      </c>
      <c r="O561" s="5">
        <v>12</v>
      </c>
      <c r="P561" s="9" t="s">
        <v>37</v>
      </c>
      <c r="Q561" s="5">
        <v>5</v>
      </c>
      <c r="R561" s="5">
        <v>3</v>
      </c>
      <c r="S561" s="5">
        <v>4671</v>
      </c>
      <c r="T561" s="10" t="s">
        <v>30</v>
      </c>
      <c r="U561" t="str">
        <f>IF(OR(E561&lt;'Q1'!$E$13,E561&gt;'Q1'!$E$14),"Outliers","Not an Outliers")</f>
        <v>Not an Outliers</v>
      </c>
      <c r="V561" t="str">
        <f t="shared" si="8"/>
        <v>Weekday</v>
      </c>
    </row>
    <row r="562" spans="1:22" x14ac:dyDescent="0.3">
      <c r="A562" s="23">
        <v>45511</v>
      </c>
      <c r="B562" s="7" t="s">
        <v>77</v>
      </c>
      <c r="C562" s="7" t="s">
        <v>32</v>
      </c>
      <c r="D562" s="7" t="s">
        <v>53</v>
      </c>
      <c r="E562" s="4">
        <v>3246</v>
      </c>
      <c r="F562" s="4" t="b">
        <v>0</v>
      </c>
      <c r="G562" s="7" t="s">
        <v>65</v>
      </c>
      <c r="H562" s="7" t="s">
        <v>24</v>
      </c>
      <c r="I562" s="7" t="s">
        <v>25</v>
      </c>
      <c r="J562" s="7" t="s">
        <v>48</v>
      </c>
      <c r="K562" s="4">
        <v>4</v>
      </c>
      <c r="L562" s="7" t="s">
        <v>27</v>
      </c>
      <c r="M562" s="7" t="s">
        <v>66</v>
      </c>
      <c r="N562" s="4" t="b">
        <v>0</v>
      </c>
      <c r="O562" s="4">
        <v>120</v>
      </c>
      <c r="P562" s="7" t="s">
        <v>67</v>
      </c>
      <c r="Q562" s="4">
        <v>10</v>
      </c>
      <c r="R562" s="4">
        <v>3</v>
      </c>
      <c r="S562" s="4">
        <v>2975</v>
      </c>
      <c r="T562" s="8" t="s">
        <v>30</v>
      </c>
      <c r="U562" t="str">
        <f>IF(OR(E562&lt;'Q1'!$E$13,E562&gt;'Q1'!$E$14),"Outliers","Not an Outliers")</f>
        <v>Not an Outliers</v>
      </c>
      <c r="V562" t="str">
        <f t="shared" si="8"/>
        <v>Weekday</v>
      </c>
    </row>
    <row r="563" spans="1:22" x14ac:dyDescent="0.3">
      <c r="A563" s="24">
        <v>45511</v>
      </c>
      <c r="B563" s="9" t="s">
        <v>72</v>
      </c>
      <c r="C563" s="9" t="s">
        <v>45</v>
      </c>
      <c r="D563" s="9" t="s">
        <v>46</v>
      </c>
      <c r="E563" s="5">
        <v>2397</v>
      </c>
      <c r="F563" s="5" t="b">
        <v>0</v>
      </c>
      <c r="G563" s="9" t="s">
        <v>23</v>
      </c>
      <c r="H563" s="9" t="s">
        <v>24</v>
      </c>
      <c r="I563" s="9" t="s">
        <v>59</v>
      </c>
      <c r="J563" s="9" t="s">
        <v>43</v>
      </c>
      <c r="K563" s="5">
        <v>3</v>
      </c>
      <c r="L563" s="9" t="s">
        <v>27</v>
      </c>
      <c r="M563" s="9" t="s">
        <v>58</v>
      </c>
      <c r="N563" s="5" t="b">
        <v>0</v>
      </c>
      <c r="O563" s="5">
        <v>103</v>
      </c>
      <c r="P563" s="9" t="s">
        <v>67</v>
      </c>
      <c r="Q563" s="5">
        <v>5</v>
      </c>
      <c r="R563" s="5">
        <v>2</v>
      </c>
      <c r="S563" s="5">
        <v>784</v>
      </c>
      <c r="T563" s="10" t="s">
        <v>30</v>
      </c>
      <c r="U563" t="str">
        <f>IF(OR(E563&lt;'Q1'!$E$13,E563&gt;'Q1'!$E$14),"Outliers","Not an Outliers")</f>
        <v>Not an Outliers</v>
      </c>
      <c r="V563" t="str">
        <f t="shared" si="8"/>
        <v>Weekday</v>
      </c>
    </row>
    <row r="564" spans="1:22" x14ac:dyDescent="0.3">
      <c r="A564" s="23">
        <v>45512</v>
      </c>
      <c r="B564" s="7" t="s">
        <v>75</v>
      </c>
      <c r="C564" s="7" t="s">
        <v>60</v>
      </c>
      <c r="D564" s="7" t="s">
        <v>61</v>
      </c>
      <c r="E564" s="4">
        <v>1000</v>
      </c>
      <c r="F564" s="4" t="b">
        <v>1</v>
      </c>
      <c r="G564" s="7" t="s">
        <v>23</v>
      </c>
      <c r="H564" s="7" t="s">
        <v>35</v>
      </c>
      <c r="I564" s="7" t="s">
        <v>25</v>
      </c>
      <c r="J564" s="7" t="s">
        <v>48</v>
      </c>
      <c r="K564" s="4">
        <v>3</v>
      </c>
      <c r="L564" s="7" t="s">
        <v>36</v>
      </c>
      <c r="M564" s="7" t="s">
        <v>58</v>
      </c>
      <c r="N564" s="4" t="b">
        <v>1</v>
      </c>
      <c r="O564" s="4">
        <v>100</v>
      </c>
      <c r="P564" s="7" t="s">
        <v>67</v>
      </c>
      <c r="Q564" s="4">
        <v>6</v>
      </c>
      <c r="R564" s="4">
        <v>2</v>
      </c>
      <c r="S564" s="4">
        <v>2261</v>
      </c>
      <c r="T564" s="8" t="s">
        <v>51</v>
      </c>
      <c r="U564" t="str">
        <f>IF(OR(E564&lt;'Q1'!$E$13,E564&gt;'Q1'!$E$14),"Outliers","Not an Outliers")</f>
        <v>Not an Outliers</v>
      </c>
      <c r="V564" t="str">
        <f t="shared" si="8"/>
        <v>Weekday</v>
      </c>
    </row>
    <row r="565" spans="1:22" x14ac:dyDescent="0.3">
      <c r="A565" s="24">
        <v>45512</v>
      </c>
      <c r="B565" s="9" t="s">
        <v>76</v>
      </c>
      <c r="C565" s="9" t="s">
        <v>45</v>
      </c>
      <c r="D565" s="9" t="s">
        <v>33</v>
      </c>
      <c r="E565" s="5">
        <v>4584</v>
      </c>
      <c r="F565" s="5" t="b">
        <v>0</v>
      </c>
      <c r="G565" s="9" t="s">
        <v>40</v>
      </c>
      <c r="H565" s="9" t="s">
        <v>24</v>
      </c>
      <c r="I565" s="9" t="s">
        <v>47</v>
      </c>
      <c r="J565" s="9" t="s">
        <v>26</v>
      </c>
      <c r="K565" s="5">
        <v>3</v>
      </c>
      <c r="L565" s="9" t="s">
        <v>49</v>
      </c>
      <c r="M565" s="9" t="s">
        <v>73</v>
      </c>
      <c r="N565" s="5" t="b">
        <v>1</v>
      </c>
      <c r="O565" s="5">
        <v>89</v>
      </c>
      <c r="P565" s="9" t="s">
        <v>37</v>
      </c>
      <c r="Q565" s="5">
        <v>6</v>
      </c>
      <c r="R565" s="5">
        <v>3</v>
      </c>
      <c r="S565" s="5">
        <v>2244</v>
      </c>
      <c r="T565" s="10" t="s">
        <v>30</v>
      </c>
      <c r="U565" t="str">
        <f>IF(OR(E565&lt;'Q1'!$E$13,E565&gt;'Q1'!$E$14),"Outliers","Not an Outliers")</f>
        <v>Not an Outliers</v>
      </c>
      <c r="V565" t="str">
        <f t="shared" si="8"/>
        <v>Weekday</v>
      </c>
    </row>
    <row r="566" spans="1:22" x14ac:dyDescent="0.3">
      <c r="A566" s="23">
        <v>45512</v>
      </c>
      <c r="B566" s="7" t="s">
        <v>72</v>
      </c>
      <c r="C566" s="7" t="s">
        <v>56</v>
      </c>
      <c r="D566" s="7" t="s">
        <v>33</v>
      </c>
      <c r="E566" s="4">
        <v>3239</v>
      </c>
      <c r="F566" s="4" t="b">
        <v>0</v>
      </c>
      <c r="G566" s="7" t="s">
        <v>40</v>
      </c>
      <c r="H566" s="7" t="s">
        <v>41</v>
      </c>
      <c r="I566" s="7" t="s">
        <v>42</v>
      </c>
      <c r="J566" s="7" t="s">
        <v>43</v>
      </c>
      <c r="K566" s="4">
        <v>4</v>
      </c>
      <c r="L566" s="7" t="s">
        <v>36</v>
      </c>
      <c r="M566" s="7" t="s">
        <v>28</v>
      </c>
      <c r="N566" s="4" t="b">
        <v>1</v>
      </c>
      <c r="O566" s="4">
        <v>77</v>
      </c>
      <c r="P566" s="7" t="s">
        <v>29</v>
      </c>
      <c r="Q566" s="4">
        <v>8</v>
      </c>
      <c r="R566" s="4">
        <v>3</v>
      </c>
      <c r="S566" s="4">
        <v>2818</v>
      </c>
      <c r="T566" s="8" t="s">
        <v>30</v>
      </c>
      <c r="U566" t="str">
        <f>IF(OR(E566&lt;'Q1'!$E$13,E566&gt;'Q1'!$E$14),"Outliers","Not an Outliers")</f>
        <v>Not an Outliers</v>
      </c>
      <c r="V566" t="str">
        <f t="shared" si="8"/>
        <v>Weekday</v>
      </c>
    </row>
    <row r="567" spans="1:22" x14ac:dyDescent="0.3">
      <c r="A567" s="24">
        <v>45512</v>
      </c>
      <c r="B567" s="9" t="s">
        <v>62</v>
      </c>
      <c r="C567" s="9" t="s">
        <v>21</v>
      </c>
      <c r="D567" s="9" t="s">
        <v>22</v>
      </c>
      <c r="E567" s="5">
        <v>9700</v>
      </c>
      <c r="F567" s="5" t="b">
        <v>0</v>
      </c>
      <c r="G567" s="9" t="s">
        <v>64</v>
      </c>
      <c r="H567" s="9" t="s">
        <v>41</v>
      </c>
      <c r="I567" s="9" t="s">
        <v>47</v>
      </c>
      <c r="J567" s="9" t="s">
        <v>43</v>
      </c>
      <c r="K567" s="5">
        <v>3</v>
      </c>
      <c r="L567" s="9" t="s">
        <v>36</v>
      </c>
      <c r="M567" s="9" t="s">
        <v>28</v>
      </c>
      <c r="N567" s="5" t="b">
        <v>0</v>
      </c>
      <c r="O567" s="5">
        <v>46</v>
      </c>
      <c r="P567" s="9" t="s">
        <v>50</v>
      </c>
      <c r="Q567" s="5">
        <v>3</v>
      </c>
      <c r="R567" s="5">
        <v>2</v>
      </c>
      <c r="S567" s="5">
        <v>3903</v>
      </c>
      <c r="T567" s="10" t="s">
        <v>51</v>
      </c>
      <c r="U567" t="str">
        <f>IF(OR(E567&lt;'Q1'!$E$13,E567&gt;'Q1'!$E$14),"Outliers","Not an Outliers")</f>
        <v>Not an Outliers</v>
      </c>
      <c r="V567" t="str">
        <f t="shared" si="8"/>
        <v>Weekday</v>
      </c>
    </row>
    <row r="568" spans="1:22" x14ac:dyDescent="0.3">
      <c r="A568" s="23">
        <v>45513</v>
      </c>
      <c r="B568" s="7" t="s">
        <v>62</v>
      </c>
      <c r="C568" s="7" t="s">
        <v>21</v>
      </c>
      <c r="D568" s="7" t="s">
        <v>33</v>
      </c>
      <c r="E568" s="4">
        <v>3102</v>
      </c>
      <c r="F568" s="4" t="b">
        <v>0</v>
      </c>
      <c r="G568" s="7" t="s">
        <v>40</v>
      </c>
      <c r="H568" s="7" t="s">
        <v>24</v>
      </c>
      <c r="I568" s="7" t="s">
        <v>25</v>
      </c>
      <c r="J568" s="7" t="s">
        <v>26</v>
      </c>
      <c r="K568" s="4">
        <v>2</v>
      </c>
      <c r="L568" s="7" t="s">
        <v>49</v>
      </c>
      <c r="M568" s="7" t="s">
        <v>28</v>
      </c>
      <c r="N568" s="4" t="b">
        <v>1</v>
      </c>
      <c r="O568" s="4">
        <v>110</v>
      </c>
      <c r="P568" s="7" t="s">
        <v>67</v>
      </c>
      <c r="Q568" s="4">
        <v>4</v>
      </c>
      <c r="R568" s="4">
        <v>1</v>
      </c>
      <c r="S568" s="4">
        <v>698</v>
      </c>
      <c r="T568" s="8" t="s">
        <v>30</v>
      </c>
      <c r="U568" t="str">
        <f>IF(OR(E568&lt;'Q1'!$E$13,E568&gt;'Q1'!$E$14),"Outliers","Not an Outliers")</f>
        <v>Not an Outliers</v>
      </c>
      <c r="V568" t="str">
        <f t="shared" si="8"/>
        <v>Weekday</v>
      </c>
    </row>
    <row r="569" spans="1:22" x14ac:dyDescent="0.3">
      <c r="A569" s="24">
        <v>45513</v>
      </c>
      <c r="B569" s="9" t="s">
        <v>31</v>
      </c>
      <c r="C569" s="9" t="s">
        <v>45</v>
      </c>
      <c r="D569" s="9" t="s">
        <v>33</v>
      </c>
      <c r="E569" s="5">
        <v>4377</v>
      </c>
      <c r="F569" s="5" t="b">
        <v>1</v>
      </c>
      <c r="G569" s="9" t="s">
        <v>64</v>
      </c>
      <c r="H569" s="9" t="s">
        <v>35</v>
      </c>
      <c r="I569" s="9" t="s">
        <v>42</v>
      </c>
      <c r="J569" s="9" t="s">
        <v>26</v>
      </c>
      <c r="K569" s="5">
        <v>0</v>
      </c>
      <c r="L569" s="9" t="s">
        <v>27</v>
      </c>
      <c r="M569" s="9" t="s">
        <v>58</v>
      </c>
      <c r="N569" s="5" t="b">
        <v>0</v>
      </c>
      <c r="O569" s="5">
        <v>22</v>
      </c>
      <c r="P569" s="9" t="s">
        <v>50</v>
      </c>
      <c r="Q569" s="5">
        <v>6</v>
      </c>
      <c r="R569" s="5">
        <v>1</v>
      </c>
      <c r="S569" s="5">
        <v>2804</v>
      </c>
      <c r="T569" s="10" t="s">
        <v>30</v>
      </c>
      <c r="U569" t="str">
        <f>IF(OR(E569&lt;'Q1'!$E$13,E569&gt;'Q1'!$E$14),"Outliers","Not an Outliers")</f>
        <v>Not an Outliers</v>
      </c>
      <c r="V569" t="str">
        <f t="shared" si="8"/>
        <v>Weekday</v>
      </c>
    </row>
    <row r="570" spans="1:22" x14ac:dyDescent="0.3">
      <c r="A570" s="23">
        <v>45513</v>
      </c>
      <c r="B570" s="7" t="s">
        <v>72</v>
      </c>
      <c r="C570" s="7" t="s">
        <v>32</v>
      </c>
      <c r="D570" s="7" t="s">
        <v>57</v>
      </c>
      <c r="E570" s="4">
        <v>1000</v>
      </c>
      <c r="F570" s="4" t="b">
        <v>1</v>
      </c>
      <c r="G570" s="7" t="s">
        <v>65</v>
      </c>
      <c r="H570" s="7" t="s">
        <v>41</v>
      </c>
      <c r="I570" s="7" t="s">
        <v>59</v>
      </c>
      <c r="J570" s="7" t="s">
        <v>26</v>
      </c>
      <c r="K570" s="4">
        <v>4</v>
      </c>
      <c r="L570" s="7" t="s">
        <v>27</v>
      </c>
      <c r="M570" s="7" t="s">
        <v>28</v>
      </c>
      <c r="N570" s="4" t="b">
        <v>1</v>
      </c>
      <c r="O570" s="4">
        <v>42</v>
      </c>
      <c r="P570" s="7" t="s">
        <v>67</v>
      </c>
      <c r="Q570" s="4">
        <v>4</v>
      </c>
      <c r="R570" s="4">
        <v>1</v>
      </c>
      <c r="S570" s="4">
        <v>2616</v>
      </c>
      <c r="T570" s="8" t="s">
        <v>30</v>
      </c>
      <c r="U570" t="str">
        <f>IF(OR(E570&lt;'Q1'!$E$13,E570&gt;'Q1'!$E$14),"Outliers","Not an Outliers")</f>
        <v>Not an Outliers</v>
      </c>
      <c r="V570" t="str">
        <f t="shared" si="8"/>
        <v>Weekday</v>
      </c>
    </row>
    <row r="571" spans="1:22" x14ac:dyDescent="0.3">
      <c r="A571" s="24">
        <v>45514</v>
      </c>
      <c r="B571" s="9" t="s">
        <v>20</v>
      </c>
      <c r="C571" s="9" t="s">
        <v>45</v>
      </c>
      <c r="D571" s="9" t="s">
        <v>22</v>
      </c>
      <c r="E571" s="5">
        <v>8097</v>
      </c>
      <c r="F571" s="5" t="b">
        <v>1</v>
      </c>
      <c r="G571" s="9" t="s">
        <v>65</v>
      </c>
      <c r="H571" s="9" t="s">
        <v>70</v>
      </c>
      <c r="I571" s="9" t="s">
        <v>59</v>
      </c>
      <c r="J571" s="9" t="s">
        <v>48</v>
      </c>
      <c r="K571" s="5">
        <v>3</v>
      </c>
      <c r="L571" s="9" t="s">
        <v>27</v>
      </c>
      <c r="M571" s="9" t="s">
        <v>66</v>
      </c>
      <c r="N571" s="5" t="b">
        <v>0</v>
      </c>
      <c r="O571" s="5">
        <v>71</v>
      </c>
      <c r="P571" s="9" t="s">
        <v>50</v>
      </c>
      <c r="Q571" s="5">
        <v>3</v>
      </c>
      <c r="R571" s="5">
        <v>3</v>
      </c>
      <c r="S571" s="5">
        <v>2259</v>
      </c>
      <c r="T571" s="10" t="s">
        <v>51</v>
      </c>
      <c r="U571" t="str">
        <f>IF(OR(E571&lt;'Q1'!$E$13,E571&gt;'Q1'!$E$14),"Outliers","Not an Outliers")</f>
        <v>Not an Outliers</v>
      </c>
      <c r="V571" t="str">
        <f t="shared" si="8"/>
        <v>Weekend</v>
      </c>
    </row>
    <row r="572" spans="1:22" x14ac:dyDescent="0.3">
      <c r="A572" s="23">
        <v>45514</v>
      </c>
      <c r="B572" s="7" t="s">
        <v>52</v>
      </c>
      <c r="C572" s="7" t="s">
        <v>32</v>
      </c>
      <c r="D572" s="7" t="s">
        <v>46</v>
      </c>
      <c r="E572" s="4">
        <v>2453</v>
      </c>
      <c r="F572" s="4" t="b">
        <v>1</v>
      </c>
      <c r="G572" s="7" t="s">
        <v>23</v>
      </c>
      <c r="H572" s="7" t="s">
        <v>70</v>
      </c>
      <c r="I572" s="7" t="s">
        <v>47</v>
      </c>
      <c r="J572" s="7" t="s">
        <v>26</v>
      </c>
      <c r="K572" s="4">
        <v>1</v>
      </c>
      <c r="L572" s="7" t="s">
        <v>36</v>
      </c>
      <c r="M572" s="7" t="s">
        <v>58</v>
      </c>
      <c r="N572" s="4" t="b">
        <v>0</v>
      </c>
      <c r="O572" s="4">
        <v>57</v>
      </c>
      <c r="P572" s="7" t="s">
        <v>50</v>
      </c>
      <c r="Q572" s="4">
        <v>4</v>
      </c>
      <c r="R572" s="4">
        <v>3</v>
      </c>
      <c r="S572" s="4">
        <v>629</v>
      </c>
      <c r="T572" s="8" t="s">
        <v>51</v>
      </c>
      <c r="U572" t="str">
        <f>IF(OR(E572&lt;'Q1'!$E$13,E572&gt;'Q1'!$E$14),"Outliers","Not an Outliers")</f>
        <v>Not an Outliers</v>
      </c>
      <c r="V572" t="str">
        <f t="shared" si="8"/>
        <v>Weekend</v>
      </c>
    </row>
    <row r="573" spans="1:22" x14ac:dyDescent="0.3">
      <c r="A573" s="24">
        <v>45515</v>
      </c>
      <c r="B573" s="9" t="s">
        <v>39</v>
      </c>
      <c r="C573" s="9" t="s">
        <v>60</v>
      </c>
      <c r="D573" s="9" t="s">
        <v>53</v>
      </c>
      <c r="E573" s="5">
        <v>4189</v>
      </c>
      <c r="F573" s="5" t="b">
        <v>0</v>
      </c>
      <c r="G573" s="9" t="s">
        <v>34</v>
      </c>
      <c r="H573" s="9" t="s">
        <v>35</v>
      </c>
      <c r="I573" s="9" t="s">
        <v>47</v>
      </c>
      <c r="J573" s="9" t="s">
        <v>43</v>
      </c>
      <c r="K573" s="5">
        <v>3</v>
      </c>
      <c r="L573" s="9" t="s">
        <v>49</v>
      </c>
      <c r="M573" s="9" t="s">
        <v>73</v>
      </c>
      <c r="N573" s="5" t="b">
        <v>1</v>
      </c>
      <c r="O573" s="5">
        <v>106</v>
      </c>
      <c r="P573" s="9" t="s">
        <v>50</v>
      </c>
      <c r="Q573" s="5">
        <v>2</v>
      </c>
      <c r="R573" s="5">
        <v>2</v>
      </c>
      <c r="S573" s="5">
        <v>2921</v>
      </c>
      <c r="T573" s="10" t="s">
        <v>30</v>
      </c>
      <c r="U573" t="str">
        <f>IF(OR(E573&lt;'Q1'!$E$13,E573&gt;'Q1'!$E$14),"Outliers","Not an Outliers")</f>
        <v>Not an Outliers</v>
      </c>
      <c r="V573" t="str">
        <f t="shared" si="8"/>
        <v>Weekend</v>
      </c>
    </row>
    <row r="574" spans="1:22" x14ac:dyDescent="0.3">
      <c r="A574" s="23">
        <v>45516</v>
      </c>
      <c r="B574" s="7" t="s">
        <v>68</v>
      </c>
      <c r="C574" s="7" t="s">
        <v>60</v>
      </c>
      <c r="D574" s="7" t="s">
        <v>33</v>
      </c>
      <c r="E574" s="4">
        <v>3870</v>
      </c>
      <c r="F574" s="4" t="b">
        <v>0</v>
      </c>
      <c r="G574" s="7" t="s">
        <v>65</v>
      </c>
      <c r="H574" s="7" t="s">
        <v>70</v>
      </c>
      <c r="I574" s="7" t="s">
        <v>25</v>
      </c>
      <c r="J574" s="7" t="s">
        <v>43</v>
      </c>
      <c r="K574" s="4">
        <v>2</v>
      </c>
      <c r="L574" s="7" t="s">
        <v>27</v>
      </c>
      <c r="M574" s="7" t="s">
        <v>66</v>
      </c>
      <c r="N574" s="4" t="b">
        <v>0</v>
      </c>
      <c r="O574" s="4">
        <v>23</v>
      </c>
      <c r="P574" s="7" t="s">
        <v>50</v>
      </c>
      <c r="Q574" s="4">
        <v>10</v>
      </c>
      <c r="R574" s="4">
        <v>2</v>
      </c>
      <c r="S574" s="4">
        <v>3944</v>
      </c>
      <c r="T574" s="8" t="s">
        <v>38</v>
      </c>
      <c r="U574" t="str">
        <f>IF(OR(E574&lt;'Q1'!$E$13,E574&gt;'Q1'!$E$14),"Outliers","Not an Outliers")</f>
        <v>Not an Outliers</v>
      </c>
      <c r="V574" t="str">
        <f t="shared" si="8"/>
        <v>Weekday</v>
      </c>
    </row>
    <row r="575" spans="1:22" x14ac:dyDescent="0.3">
      <c r="A575" s="24">
        <v>45516</v>
      </c>
      <c r="B575" s="9" t="s">
        <v>44</v>
      </c>
      <c r="C575" s="9" t="s">
        <v>60</v>
      </c>
      <c r="D575" s="9" t="s">
        <v>61</v>
      </c>
      <c r="E575" s="5">
        <v>1000</v>
      </c>
      <c r="F575" s="5" t="b">
        <v>0</v>
      </c>
      <c r="G575" s="9" t="s">
        <v>23</v>
      </c>
      <c r="H575" s="9" t="s">
        <v>35</v>
      </c>
      <c r="I575" s="9" t="s">
        <v>47</v>
      </c>
      <c r="J575" s="9" t="s">
        <v>48</v>
      </c>
      <c r="K575" s="5">
        <v>2</v>
      </c>
      <c r="L575" s="9" t="s">
        <v>36</v>
      </c>
      <c r="M575" s="9" t="s">
        <v>58</v>
      </c>
      <c r="N575" s="5" t="b">
        <v>0</v>
      </c>
      <c r="O575" s="5">
        <v>117</v>
      </c>
      <c r="P575" s="9" t="s">
        <v>29</v>
      </c>
      <c r="Q575" s="5">
        <v>4</v>
      </c>
      <c r="R575" s="5">
        <v>2</v>
      </c>
      <c r="S575" s="5">
        <v>2782</v>
      </c>
      <c r="T575" s="10" t="s">
        <v>51</v>
      </c>
      <c r="U575" t="str">
        <f>IF(OR(E575&lt;'Q1'!$E$13,E575&gt;'Q1'!$E$14),"Outliers","Not an Outliers")</f>
        <v>Not an Outliers</v>
      </c>
      <c r="V575" t="str">
        <f t="shared" si="8"/>
        <v>Weekday</v>
      </c>
    </row>
    <row r="576" spans="1:22" x14ac:dyDescent="0.3">
      <c r="A576" s="23">
        <v>45516</v>
      </c>
      <c r="B576" s="7" t="s">
        <v>44</v>
      </c>
      <c r="C576" s="7" t="s">
        <v>56</v>
      </c>
      <c r="D576" s="7" t="s">
        <v>22</v>
      </c>
      <c r="E576" s="4">
        <v>6306</v>
      </c>
      <c r="F576" s="4" t="b">
        <v>1</v>
      </c>
      <c r="G576" s="7" t="s">
        <v>40</v>
      </c>
      <c r="H576" s="7" t="s">
        <v>24</v>
      </c>
      <c r="I576" s="7" t="s">
        <v>42</v>
      </c>
      <c r="J576" s="7" t="s">
        <v>54</v>
      </c>
      <c r="K576" s="4">
        <v>1</v>
      </c>
      <c r="L576" s="7" t="s">
        <v>49</v>
      </c>
      <c r="M576" s="7" t="s">
        <v>73</v>
      </c>
      <c r="N576" s="4" t="b">
        <v>0</v>
      </c>
      <c r="O576" s="4">
        <v>73</v>
      </c>
      <c r="P576" s="7" t="s">
        <v>50</v>
      </c>
      <c r="Q576" s="4">
        <v>7</v>
      </c>
      <c r="R576" s="4">
        <v>2</v>
      </c>
      <c r="S576" s="4">
        <v>1586</v>
      </c>
      <c r="T576" s="8" t="s">
        <v>30</v>
      </c>
      <c r="U576" t="str">
        <f>IF(OR(E576&lt;'Q1'!$E$13,E576&gt;'Q1'!$E$14),"Outliers","Not an Outliers")</f>
        <v>Not an Outliers</v>
      </c>
      <c r="V576" t="str">
        <f t="shared" si="8"/>
        <v>Weekday</v>
      </c>
    </row>
    <row r="577" spans="1:22" x14ac:dyDescent="0.3">
      <c r="A577" s="24">
        <v>45516</v>
      </c>
      <c r="B577" s="9" t="s">
        <v>72</v>
      </c>
      <c r="C577" s="9" t="s">
        <v>56</v>
      </c>
      <c r="D577" s="9" t="s">
        <v>22</v>
      </c>
      <c r="E577" s="5">
        <v>7336</v>
      </c>
      <c r="F577" s="5" t="b">
        <v>0</v>
      </c>
      <c r="G577" s="9" t="s">
        <v>23</v>
      </c>
      <c r="H577" s="9" t="s">
        <v>35</v>
      </c>
      <c r="I577" s="9" t="s">
        <v>47</v>
      </c>
      <c r="J577" s="9" t="s">
        <v>43</v>
      </c>
      <c r="K577" s="5">
        <v>1</v>
      </c>
      <c r="L577" s="9" t="s">
        <v>27</v>
      </c>
      <c r="M577" s="9" t="s">
        <v>73</v>
      </c>
      <c r="N577" s="5" t="b">
        <v>1</v>
      </c>
      <c r="O577" s="5">
        <v>56</v>
      </c>
      <c r="P577" s="9" t="s">
        <v>50</v>
      </c>
      <c r="Q577" s="5">
        <v>5</v>
      </c>
      <c r="R577" s="5">
        <v>2</v>
      </c>
      <c r="S577" s="5">
        <v>2576</v>
      </c>
      <c r="T577" s="10" t="s">
        <v>38</v>
      </c>
      <c r="U577" t="str">
        <f>IF(OR(E577&lt;'Q1'!$E$13,E577&gt;'Q1'!$E$14),"Outliers","Not an Outliers")</f>
        <v>Not an Outliers</v>
      </c>
      <c r="V577" t="str">
        <f t="shared" si="8"/>
        <v>Weekday</v>
      </c>
    </row>
    <row r="578" spans="1:22" x14ac:dyDescent="0.3">
      <c r="A578" s="23">
        <v>45517</v>
      </c>
      <c r="B578" s="7" t="s">
        <v>52</v>
      </c>
      <c r="C578" s="7" t="s">
        <v>21</v>
      </c>
      <c r="D578" s="7" t="s">
        <v>22</v>
      </c>
      <c r="E578" s="4">
        <v>9680</v>
      </c>
      <c r="F578" s="4" t="b">
        <v>1</v>
      </c>
      <c r="G578" s="7" t="s">
        <v>40</v>
      </c>
      <c r="H578" s="7" t="s">
        <v>24</v>
      </c>
      <c r="I578" s="7" t="s">
        <v>47</v>
      </c>
      <c r="J578" s="7" t="s">
        <v>54</v>
      </c>
      <c r="K578" s="4">
        <v>2</v>
      </c>
      <c r="L578" s="7" t="s">
        <v>49</v>
      </c>
      <c r="M578" s="7" t="s">
        <v>28</v>
      </c>
      <c r="N578" s="4" t="b">
        <v>1</v>
      </c>
      <c r="O578" s="4">
        <v>78</v>
      </c>
      <c r="P578" s="7" t="s">
        <v>67</v>
      </c>
      <c r="Q578" s="4">
        <v>5</v>
      </c>
      <c r="R578" s="4">
        <v>3</v>
      </c>
      <c r="S578" s="4">
        <v>910</v>
      </c>
      <c r="T578" s="8" t="s">
        <v>30</v>
      </c>
      <c r="U578" t="str">
        <f>IF(OR(E578&lt;'Q1'!$E$13,E578&gt;'Q1'!$E$14),"Outliers","Not an Outliers")</f>
        <v>Not an Outliers</v>
      </c>
      <c r="V578" t="str">
        <f t="shared" si="8"/>
        <v>Weekday</v>
      </c>
    </row>
    <row r="579" spans="1:22" x14ac:dyDescent="0.3">
      <c r="A579" s="24">
        <v>45517</v>
      </c>
      <c r="B579" s="9" t="s">
        <v>20</v>
      </c>
      <c r="C579" s="9" t="s">
        <v>45</v>
      </c>
      <c r="D579" s="9" t="s">
        <v>53</v>
      </c>
      <c r="E579" s="5">
        <v>6749</v>
      </c>
      <c r="F579" s="5" t="b">
        <v>0</v>
      </c>
      <c r="G579" s="9" t="s">
        <v>23</v>
      </c>
      <c r="H579" s="9" t="s">
        <v>41</v>
      </c>
      <c r="I579" s="9" t="s">
        <v>25</v>
      </c>
      <c r="J579" s="9" t="s">
        <v>43</v>
      </c>
      <c r="K579" s="5">
        <v>1</v>
      </c>
      <c r="L579" s="9" t="s">
        <v>36</v>
      </c>
      <c r="M579" s="9" t="s">
        <v>58</v>
      </c>
      <c r="N579" s="5" t="b">
        <v>1</v>
      </c>
      <c r="O579" s="5">
        <v>68</v>
      </c>
      <c r="P579" s="9" t="s">
        <v>37</v>
      </c>
      <c r="Q579" s="5">
        <v>10</v>
      </c>
      <c r="R579" s="5">
        <v>2</v>
      </c>
      <c r="S579" s="5">
        <v>1386</v>
      </c>
      <c r="T579" s="10" t="s">
        <v>51</v>
      </c>
      <c r="U579" t="str">
        <f>IF(OR(E579&lt;'Q1'!$E$13,E579&gt;'Q1'!$E$14),"Outliers","Not an Outliers")</f>
        <v>Not an Outliers</v>
      </c>
      <c r="V579" t="str">
        <f t="shared" ref="V579:V642" si="9">IF(WEEKDAY(A579,2)&gt;5,"Weekend","Weekday")</f>
        <v>Weekday</v>
      </c>
    </row>
    <row r="580" spans="1:22" x14ac:dyDescent="0.3">
      <c r="A580" s="23">
        <v>45517</v>
      </c>
      <c r="B580" s="7" t="s">
        <v>44</v>
      </c>
      <c r="C580" s="7" t="s">
        <v>60</v>
      </c>
      <c r="D580" s="7" t="s">
        <v>46</v>
      </c>
      <c r="E580" s="4">
        <v>1289</v>
      </c>
      <c r="F580" s="4" t="b">
        <v>0</v>
      </c>
      <c r="G580" s="7" t="s">
        <v>40</v>
      </c>
      <c r="H580" s="7" t="s">
        <v>41</v>
      </c>
      <c r="I580" s="7" t="s">
        <v>59</v>
      </c>
      <c r="J580" s="7" t="s">
        <v>48</v>
      </c>
      <c r="K580" s="4">
        <v>2</v>
      </c>
      <c r="L580" s="7" t="s">
        <v>36</v>
      </c>
      <c r="M580" s="7" t="s">
        <v>58</v>
      </c>
      <c r="N580" s="4" t="b">
        <v>1</v>
      </c>
      <c r="O580" s="4">
        <v>38</v>
      </c>
      <c r="P580" s="7" t="s">
        <v>29</v>
      </c>
      <c r="Q580" s="4">
        <v>10</v>
      </c>
      <c r="R580" s="4">
        <v>3</v>
      </c>
      <c r="S580" s="4">
        <v>777</v>
      </c>
      <c r="T580" s="8" t="s">
        <v>51</v>
      </c>
      <c r="U580" t="str">
        <f>IF(OR(E580&lt;'Q1'!$E$13,E580&gt;'Q1'!$E$14),"Outliers","Not an Outliers")</f>
        <v>Not an Outliers</v>
      </c>
      <c r="V580" t="str">
        <f t="shared" si="9"/>
        <v>Weekday</v>
      </c>
    </row>
    <row r="581" spans="1:22" x14ac:dyDescent="0.3">
      <c r="A581" s="24">
        <v>45517</v>
      </c>
      <c r="B581" s="9" t="s">
        <v>77</v>
      </c>
      <c r="C581" s="9" t="s">
        <v>60</v>
      </c>
      <c r="D581" s="9" t="s">
        <v>46</v>
      </c>
      <c r="E581" s="5">
        <v>3316</v>
      </c>
      <c r="F581" s="5" t="b">
        <v>1</v>
      </c>
      <c r="G581" s="9" t="s">
        <v>34</v>
      </c>
      <c r="H581" s="9" t="s">
        <v>41</v>
      </c>
      <c r="I581" s="9" t="s">
        <v>42</v>
      </c>
      <c r="J581" s="9" t="s">
        <v>54</v>
      </c>
      <c r="K581" s="5">
        <v>4</v>
      </c>
      <c r="L581" s="9" t="s">
        <v>49</v>
      </c>
      <c r="M581" s="9" t="s">
        <v>66</v>
      </c>
      <c r="N581" s="5" t="b">
        <v>1</v>
      </c>
      <c r="O581" s="5">
        <v>30</v>
      </c>
      <c r="P581" s="9" t="s">
        <v>67</v>
      </c>
      <c r="Q581" s="5">
        <v>10</v>
      </c>
      <c r="R581" s="5">
        <v>2</v>
      </c>
      <c r="S581" s="5">
        <v>3048</v>
      </c>
      <c r="T581" s="10" t="s">
        <v>38</v>
      </c>
      <c r="U581" t="str">
        <f>IF(OR(E581&lt;'Q1'!$E$13,E581&gt;'Q1'!$E$14),"Outliers","Not an Outliers")</f>
        <v>Not an Outliers</v>
      </c>
      <c r="V581" t="str">
        <f t="shared" si="9"/>
        <v>Weekday</v>
      </c>
    </row>
    <row r="582" spans="1:22" x14ac:dyDescent="0.3">
      <c r="A582" s="23">
        <v>45517</v>
      </c>
      <c r="B582" s="7" t="s">
        <v>72</v>
      </c>
      <c r="C582" s="7" t="s">
        <v>32</v>
      </c>
      <c r="D582" s="7" t="s">
        <v>57</v>
      </c>
      <c r="E582" s="4">
        <v>1000</v>
      </c>
      <c r="F582" s="4" t="b">
        <v>0</v>
      </c>
      <c r="G582" s="7" t="s">
        <v>40</v>
      </c>
      <c r="H582" s="7" t="s">
        <v>70</v>
      </c>
      <c r="I582" s="7" t="s">
        <v>42</v>
      </c>
      <c r="J582" s="7" t="s">
        <v>26</v>
      </c>
      <c r="K582" s="4">
        <v>4</v>
      </c>
      <c r="L582" s="7" t="s">
        <v>36</v>
      </c>
      <c r="M582" s="7" t="s">
        <v>73</v>
      </c>
      <c r="N582" s="4" t="b">
        <v>0</v>
      </c>
      <c r="O582" s="4">
        <v>96</v>
      </c>
      <c r="P582" s="7" t="s">
        <v>37</v>
      </c>
      <c r="Q582" s="4">
        <v>9</v>
      </c>
      <c r="R582" s="4">
        <v>2</v>
      </c>
      <c r="S582" s="4">
        <v>3102</v>
      </c>
      <c r="T582" s="8" t="s">
        <v>38</v>
      </c>
      <c r="U582" t="str">
        <f>IF(OR(E582&lt;'Q1'!$E$13,E582&gt;'Q1'!$E$14),"Outliers","Not an Outliers")</f>
        <v>Not an Outliers</v>
      </c>
      <c r="V582" t="str">
        <f t="shared" si="9"/>
        <v>Weekday</v>
      </c>
    </row>
    <row r="583" spans="1:22" x14ac:dyDescent="0.3">
      <c r="A583" s="24">
        <v>45517</v>
      </c>
      <c r="B583" s="9" t="s">
        <v>71</v>
      </c>
      <c r="C583" s="9" t="s">
        <v>45</v>
      </c>
      <c r="D583" s="9" t="s">
        <v>33</v>
      </c>
      <c r="E583" s="5">
        <v>1731</v>
      </c>
      <c r="F583" s="5" t="b">
        <v>0</v>
      </c>
      <c r="G583" s="9" t="s">
        <v>64</v>
      </c>
      <c r="H583" s="9" t="s">
        <v>24</v>
      </c>
      <c r="I583" s="9" t="s">
        <v>25</v>
      </c>
      <c r="J583" s="9" t="s">
        <v>26</v>
      </c>
      <c r="K583" s="5">
        <v>1</v>
      </c>
      <c r="L583" s="9" t="s">
        <v>36</v>
      </c>
      <c r="M583" s="9" t="s">
        <v>58</v>
      </c>
      <c r="N583" s="5" t="b">
        <v>1</v>
      </c>
      <c r="O583" s="5">
        <v>100</v>
      </c>
      <c r="P583" s="9" t="s">
        <v>29</v>
      </c>
      <c r="Q583" s="5">
        <v>8</v>
      </c>
      <c r="R583" s="5">
        <v>3</v>
      </c>
      <c r="S583" s="5">
        <v>1707</v>
      </c>
      <c r="T583" s="10" t="s">
        <v>30</v>
      </c>
      <c r="U583" t="str">
        <f>IF(OR(E583&lt;'Q1'!$E$13,E583&gt;'Q1'!$E$14),"Outliers","Not an Outliers")</f>
        <v>Not an Outliers</v>
      </c>
      <c r="V583" t="str">
        <f t="shared" si="9"/>
        <v>Weekday</v>
      </c>
    </row>
    <row r="584" spans="1:22" x14ac:dyDescent="0.3">
      <c r="A584" s="23">
        <v>45517</v>
      </c>
      <c r="B584" s="7" t="s">
        <v>69</v>
      </c>
      <c r="C584" s="7" t="s">
        <v>32</v>
      </c>
      <c r="D584" s="7" t="s">
        <v>33</v>
      </c>
      <c r="E584" s="4">
        <v>4237</v>
      </c>
      <c r="F584" s="4" t="b">
        <v>0</v>
      </c>
      <c r="G584" s="7" t="s">
        <v>65</v>
      </c>
      <c r="H584" s="7" t="s">
        <v>41</v>
      </c>
      <c r="I584" s="7" t="s">
        <v>59</v>
      </c>
      <c r="J584" s="7" t="s">
        <v>54</v>
      </c>
      <c r="K584" s="4">
        <v>5</v>
      </c>
      <c r="L584" s="7" t="s">
        <v>49</v>
      </c>
      <c r="M584" s="7" t="s">
        <v>28</v>
      </c>
      <c r="N584" s="4" t="b">
        <v>1</v>
      </c>
      <c r="O584" s="4">
        <v>79</v>
      </c>
      <c r="P584" s="7" t="s">
        <v>67</v>
      </c>
      <c r="Q584" s="4">
        <v>7</v>
      </c>
      <c r="R584" s="4">
        <v>3</v>
      </c>
      <c r="S584" s="4">
        <v>4629</v>
      </c>
      <c r="T584" s="8" t="s">
        <v>30</v>
      </c>
      <c r="U584" t="str">
        <f>IF(OR(E584&lt;'Q1'!$E$13,E584&gt;'Q1'!$E$14),"Outliers","Not an Outliers")</f>
        <v>Not an Outliers</v>
      </c>
      <c r="V584" t="str">
        <f t="shared" si="9"/>
        <v>Weekday</v>
      </c>
    </row>
    <row r="585" spans="1:22" x14ac:dyDescent="0.3">
      <c r="A585" s="24">
        <v>45517</v>
      </c>
      <c r="B585" s="9" t="s">
        <v>77</v>
      </c>
      <c r="C585" s="9" t="s">
        <v>56</v>
      </c>
      <c r="D585" s="9" t="s">
        <v>33</v>
      </c>
      <c r="E585" s="5">
        <v>4145</v>
      </c>
      <c r="F585" s="5" t="b">
        <v>0</v>
      </c>
      <c r="G585" s="9" t="s">
        <v>40</v>
      </c>
      <c r="H585" s="9" t="s">
        <v>35</v>
      </c>
      <c r="I585" s="9" t="s">
        <v>59</v>
      </c>
      <c r="J585" s="9" t="s">
        <v>26</v>
      </c>
      <c r="K585" s="5">
        <v>1</v>
      </c>
      <c r="L585" s="9" t="s">
        <v>49</v>
      </c>
      <c r="M585" s="9" t="s">
        <v>28</v>
      </c>
      <c r="N585" s="5" t="b">
        <v>0</v>
      </c>
      <c r="O585" s="5">
        <v>45</v>
      </c>
      <c r="P585" s="9" t="s">
        <v>67</v>
      </c>
      <c r="Q585" s="5">
        <v>8</v>
      </c>
      <c r="R585" s="5">
        <v>3</v>
      </c>
      <c r="S585" s="5">
        <v>1632</v>
      </c>
      <c r="T585" s="10" t="s">
        <v>51</v>
      </c>
      <c r="U585" t="str">
        <f>IF(OR(E585&lt;'Q1'!$E$13,E585&gt;'Q1'!$E$14),"Outliers","Not an Outliers")</f>
        <v>Not an Outliers</v>
      </c>
      <c r="V585" t="str">
        <f t="shared" si="9"/>
        <v>Weekday</v>
      </c>
    </row>
    <row r="586" spans="1:22" x14ac:dyDescent="0.3">
      <c r="A586" s="23">
        <v>45518</v>
      </c>
      <c r="B586" s="7" t="s">
        <v>74</v>
      </c>
      <c r="C586" s="7" t="s">
        <v>56</v>
      </c>
      <c r="D586" s="7" t="s">
        <v>53</v>
      </c>
      <c r="E586" s="4">
        <v>5883</v>
      </c>
      <c r="F586" s="4" t="b">
        <v>0</v>
      </c>
      <c r="G586" s="7" t="s">
        <v>34</v>
      </c>
      <c r="H586" s="7" t="s">
        <v>35</v>
      </c>
      <c r="I586" s="7" t="s">
        <v>25</v>
      </c>
      <c r="J586" s="7" t="s">
        <v>48</v>
      </c>
      <c r="K586" s="4">
        <v>3</v>
      </c>
      <c r="L586" s="7" t="s">
        <v>36</v>
      </c>
      <c r="M586" s="7" t="s">
        <v>66</v>
      </c>
      <c r="N586" s="4" t="b">
        <v>0</v>
      </c>
      <c r="O586" s="4">
        <v>80</v>
      </c>
      <c r="P586" s="7" t="s">
        <v>29</v>
      </c>
      <c r="Q586" s="4">
        <v>5</v>
      </c>
      <c r="R586" s="4">
        <v>1</v>
      </c>
      <c r="S586" s="4">
        <v>913</v>
      </c>
      <c r="T586" s="8" t="s">
        <v>38</v>
      </c>
      <c r="U586" t="str">
        <f>IF(OR(E586&lt;'Q1'!$E$13,E586&gt;'Q1'!$E$14),"Outliers","Not an Outliers")</f>
        <v>Not an Outliers</v>
      </c>
      <c r="V586" t="str">
        <f t="shared" si="9"/>
        <v>Weekday</v>
      </c>
    </row>
    <row r="587" spans="1:22" x14ac:dyDescent="0.3">
      <c r="A587" s="24">
        <v>45518</v>
      </c>
      <c r="B587" s="9" t="s">
        <v>31</v>
      </c>
      <c r="C587" s="9" t="s">
        <v>56</v>
      </c>
      <c r="D587" s="9" t="s">
        <v>22</v>
      </c>
      <c r="E587" s="5">
        <v>8225</v>
      </c>
      <c r="F587" s="5" t="b">
        <v>1</v>
      </c>
      <c r="G587" s="9" t="s">
        <v>40</v>
      </c>
      <c r="H587" s="9" t="s">
        <v>41</v>
      </c>
      <c r="I587" s="9" t="s">
        <v>59</v>
      </c>
      <c r="J587" s="9" t="s">
        <v>26</v>
      </c>
      <c r="K587" s="5">
        <v>3</v>
      </c>
      <c r="L587" s="9" t="s">
        <v>49</v>
      </c>
      <c r="M587" s="9" t="s">
        <v>73</v>
      </c>
      <c r="N587" s="5" t="b">
        <v>1</v>
      </c>
      <c r="O587" s="5">
        <v>25</v>
      </c>
      <c r="P587" s="9" t="s">
        <v>29</v>
      </c>
      <c r="Q587" s="5">
        <v>7</v>
      </c>
      <c r="R587" s="5">
        <v>3</v>
      </c>
      <c r="S587" s="5">
        <v>3575</v>
      </c>
      <c r="T587" s="10" t="s">
        <v>38</v>
      </c>
      <c r="U587" t="str">
        <f>IF(OR(E587&lt;'Q1'!$E$13,E587&gt;'Q1'!$E$14),"Outliers","Not an Outliers")</f>
        <v>Not an Outliers</v>
      </c>
      <c r="V587" t="str">
        <f t="shared" si="9"/>
        <v>Weekday</v>
      </c>
    </row>
    <row r="588" spans="1:22" x14ac:dyDescent="0.3">
      <c r="A588" s="23">
        <v>45518</v>
      </c>
      <c r="B588" s="7" t="s">
        <v>44</v>
      </c>
      <c r="C588" s="7" t="s">
        <v>45</v>
      </c>
      <c r="D588" s="7" t="s">
        <v>33</v>
      </c>
      <c r="E588" s="4">
        <v>3496</v>
      </c>
      <c r="F588" s="4" t="b">
        <v>0</v>
      </c>
      <c r="G588" s="7" t="s">
        <v>23</v>
      </c>
      <c r="H588" s="7" t="s">
        <v>35</v>
      </c>
      <c r="I588" s="7" t="s">
        <v>59</v>
      </c>
      <c r="J588" s="7" t="s">
        <v>48</v>
      </c>
      <c r="K588" s="4">
        <v>0</v>
      </c>
      <c r="L588" s="7" t="s">
        <v>49</v>
      </c>
      <c r="M588" s="7" t="s">
        <v>28</v>
      </c>
      <c r="N588" s="4" t="b">
        <v>0</v>
      </c>
      <c r="O588" s="4">
        <v>112</v>
      </c>
      <c r="P588" s="7" t="s">
        <v>63</v>
      </c>
      <c r="Q588" s="4">
        <v>7</v>
      </c>
      <c r="R588" s="4">
        <v>2</v>
      </c>
      <c r="S588" s="4">
        <v>2334</v>
      </c>
      <c r="T588" s="8" t="s">
        <v>51</v>
      </c>
      <c r="U588" t="str">
        <f>IF(OR(E588&lt;'Q1'!$E$13,E588&gt;'Q1'!$E$14),"Outliers","Not an Outliers")</f>
        <v>Not an Outliers</v>
      </c>
      <c r="V588" t="str">
        <f t="shared" si="9"/>
        <v>Weekday</v>
      </c>
    </row>
    <row r="589" spans="1:22" x14ac:dyDescent="0.3">
      <c r="A589" s="24">
        <v>45518</v>
      </c>
      <c r="B589" s="9" t="s">
        <v>20</v>
      </c>
      <c r="C589" s="9" t="s">
        <v>21</v>
      </c>
      <c r="D589" s="9" t="s">
        <v>46</v>
      </c>
      <c r="E589" s="5">
        <v>4987</v>
      </c>
      <c r="F589" s="5" t="b">
        <v>0</v>
      </c>
      <c r="G589" s="9" t="s">
        <v>34</v>
      </c>
      <c r="H589" s="9" t="s">
        <v>35</v>
      </c>
      <c r="I589" s="9" t="s">
        <v>25</v>
      </c>
      <c r="J589" s="9" t="s">
        <v>43</v>
      </c>
      <c r="K589" s="5">
        <v>2</v>
      </c>
      <c r="L589" s="9" t="s">
        <v>27</v>
      </c>
      <c r="M589" s="9" t="s">
        <v>58</v>
      </c>
      <c r="N589" s="5" t="b">
        <v>1</v>
      </c>
      <c r="O589" s="5">
        <v>78</v>
      </c>
      <c r="P589" s="9" t="s">
        <v>29</v>
      </c>
      <c r="Q589" s="5">
        <v>10</v>
      </c>
      <c r="R589" s="5">
        <v>2</v>
      </c>
      <c r="S589" s="5">
        <v>1716</v>
      </c>
      <c r="T589" s="10" t="s">
        <v>38</v>
      </c>
      <c r="U589" t="str">
        <f>IF(OR(E589&lt;'Q1'!$E$13,E589&gt;'Q1'!$E$14),"Outliers","Not an Outliers")</f>
        <v>Not an Outliers</v>
      </c>
      <c r="V589" t="str">
        <f t="shared" si="9"/>
        <v>Weekday</v>
      </c>
    </row>
    <row r="590" spans="1:22" x14ac:dyDescent="0.3">
      <c r="A590" s="23">
        <v>45518</v>
      </c>
      <c r="B590" s="7" t="s">
        <v>31</v>
      </c>
      <c r="C590" s="7" t="s">
        <v>21</v>
      </c>
      <c r="D590" s="7" t="s">
        <v>53</v>
      </c>
      <c r="E590" s="4">
        <v>7088</v>
      </c>
      <c r="F590" s="4" t="b">
        <v>0</v>
      </c>
      <c r="G590" s="7" t="s">
        <v>40</v>
      </c>
      <c r="H590" s="7" t="s">
        <v>35</v>
      </c>
      <c r="I590" s="7" t="s">
        <v>47</v>
      </c>
      <c r="J590" s="7" t="s">
        <v>48</v>
      </c>
      <c r="K590" s="4">
        <v>2</v>
      </c>
      <c r="L590" s="7" t="s">
        <v>36</v>
      </c>
      <c r="M590" s="7" t="s">
        <v>28</v>
      </c>
      <c r="N590" s="4" t="b">
        <v>1</v>
      </c>
      <c r="O590" s="4">
        <v>25</v>
      </c>
      <c r="P590" s="7" t="s">
        <v>50</v>
      </c>
      <c r="Q590" s="4">
        <v>8</v>
      </c>
      <c r="R590" s="4">
        <v>1</v>
      </c>
      <c r="S590" s="4">
        <v>2523</v>
      </c>
      <c r="T590" s="8" t="s">
        <v>38</v>
      </c>
      <c r="U590" t="str">
        <f>IF(OR(E590&lt;'Q1'!$E$13,E590&gt;'Q1'!$E$14),"Outliers","Not an Outliers")</f>
        <v>Not an Outliers</v>
      </c>
      <c r="V590" t="str">
        <f t="shared" si="9"/>
        <v>Weekday</v>
      </c>
    </row>
    <row r="591" spans="1:22" x14ac:dyDescent="0.3">
      <c r="A591" s="24">
        <v>45518</v>
      </c>
      <c r="B591" s="9" t="s">
        <v>69</v>
      </c>
      <c r="C591" s="9" t="s">
        <v>45</v>
      </c>
      <c r="D591" s="9" t="s">
        <v>46</v>
      </c>
      <c r="E591" s="5">
        <v>3386</v>
      </c>
      <c r="F591" s="5" t="b">
        <v>1</v>
      </c>
      <c r="G591" s="9" t="s">
        <v>34</v>
      </c>
      <c r="H591" s="9" t="s">
        <v>70</v>
      </c>
      <c r="I591" s="9" t="s">
        <v>59</v>
      </c>
      <c r="J591" s="9" t="s">
        <v>43</v>
      </c>
      <c r="K591" s="5">
        <v>5</v>
      </c>
      <c r="L591" s="9" t="s">
        <v>36</v>
      </c>
      <c r="M591" s="9" t="s">
        <v>58</v>
      </c>
      <c r="N591" s="5" t="b">
        <v>0</v>
      </c>
      <c r="O591" s="5">
        <v>97</v>
      </c>
      <c r="P591" s="9" t="s">
        <v>67</v>
      </c>
      <c r="Q591" s="5">
        <v>3</v>
      </c>
      <c r="R591" s="5">
        <v>2</v>
      </c>
      <c r="S591" s="5">
        <v>3319</v>
      </c>
      <c r="T591" s="10" t="s">
        <v>51</v>
      </c>
      <c r="U591" t="str">
        <f>IF(OR(E591&lt;'Q1'!$E$13,E591&gt;'Q1'!$E$14),"Outliers","Not an Outliers")</f>
        <v>Not an Outliers</v>
      </c>
      <c r="V591" t="str">
        <f t="shared" si="9"/>
        <v>Weekday</v>
      </c>
    </row>
    <row r="592" spans="1:22" x14ac:dyDescent="0.3">
      <c r="A592" s="23">
        <v>45519</v>
      </c>
      <c r="B592" s="7" t="s">
        <v>72</v>
      </c>
      <c r="C592" s="7" t="s">
        <v>60</v>
      </c>
      <c r="D592" s="7" t="s">
        <v>33</v>
      </c>
      <c r="E592" s="4">
        <v>1997</v>
      </c>
      <c r="F592" s="4" t="b">
        <v>1</v>
      </c>
      <c r="G592" s="7" t="s">
        <v>40</v>
      </c>
      <c r="H592" s="7" t="s">
        <v>24</v>
      </c>
      <c r="I592" s="7" t="s">
        <v>47</v>
      </c>
      <c r="J592" s="7" t="s">
        <v>54</v>
      </c>
      <c r="K592" s="4">
        <v>1</v>
      </c>
      <c r="L592" s="7" t="s">
        <v>27</v>
      </c>
      <c r="M592" s="7" t="s">
        <v>28</v>
      </c>
      <c r="N592" s="4" t="b">
        <v>0</v>
      </c>
      <c r="O592" s="4">
        <v>101</v>
      </c>
      <c r="P592" s="7" t="s">
        <v>37</v>
      </c>
      <c r="Q592" s="4">
        <v>3</v>
      </c>
      <c r="R592" s="4">
        <v>3</v>
      </c>
      <c r="S592" s="4">
        <v>4283</v>
      </c>
      <c r="T592" s="8" t="s">
        <v>30</v>
      </c>
      <c r="U592" t="str">
        <f>IF(OR(E592&lt;'Q1'!$E$13,E592&gt;'Q1'!$E$14),"Outliers","Not an Outliers")</f>
        <v>Not an Outliers</v>
      </c>
      <c r="V592" t="str">
        <f t="shared" si="9"/>
        <v>Weekday</v>
      </c>
    </row>
    <row r="593" spans="1:22" x14ac:dyDescent="0.3">
      <c r="A593" s="24">
        <v>45519</v>
      </c>
      <c r="B593" s="9" t="s">
        <v>72</v>
      </c>
      <c r="C593" s="9" t="s">
        <v>56</v>
      </c>
      <c r="D593" s="9" t="s">
        <v>57</v>
      </c>
      <c r="E593" s="5">
        <v>1000</v>
      </c>
      <c r="F593" s="5" t="b">
        <v>1</v>
      </c>
      <c r="G593" s="9" t="s">
        <v>23</v>
      </c>
      <c r="H593" s="9" t="s">
        <v>24</v>
      </c>
      <c r="I593" s="9" t="s">
        <v>25</v>
      </c>
      <c r="J593" s="9" t="s">
        <v>26</v>
      </c>
      <c r="K593" s="5">
        <v>4</v>
      </c>
      <c r="L593" s="9" t="s">
        <v>49</v>
      </c>
      <c r="M593" s="9" t="s">
        <v>58</v>
      </c>
      <c r="N593" s="5" t="b">
        <v>1</v>
      </c>
      <c r="O593" s="5">
        <v>18</v>
      </c>
      <c r="P593" s="9" t="s">
        <v>67</v>
      </c>
      <c r="Q593" s="5">
        <v>4</v>
      </c>
      <c r="R593" s="5">
        <v>2</v>
      </c>
      <c r="S593" s="5">
        <v>4763</v>
      </c>
      <c r="T593" s="10" t="s">
        <v>38</v>
      </c>
      <c r="U593" t="str">
        <f>IF(OR(E593&lt;'Q1'!$E$13,E593&gt;'Q1'!$E$14),"Outliers","Not an Outliers")</f>
        <v>Not an Outliers</v>
      </c>
      <c r="V593" t="str">
        <f t="shared" si="9"/>
        <v>Weekday</v>
      </c>
    </row>
    <row r="594" spans="1:22" x14ac:dyDescent="0.3">
      <c r="A594" s="23">
        <v>45519</v>
      </c>
      <c r="B594" s="7" t="s">
        <v>69</v>
      </c>
      <c r="C594" s="7" t="s">
        <v>32</v>
      </c>
      <c r="D594" s="7" t="s">
        <v>53</v>
      </c>
      <c r="E594" s="4">
        <v>6008</v>
      </c>
      <c r="F594" s="4" t="b">
        <v>0</v>
      </c>
      <c r="G594" s="7" t="s">
        <v>34</v>
      </c>
      <c r="H594" s="7" t="s">
        <v>24</v>
      </c>
      <c r="I594" s="7" t="s">
        <v>42</v>
      </c>
      <c r="J594" s="7" t="s">
        <v>26</v>
      </c>
      <c r="K594" s="4">
        <v>3</v>
      </c>
      <c r="L594" s="7" t="s">
        <v>27</v>
      </c>
      <c r="M594" s="7" t="s">
        <v>58</v>
      </c>
      <c r="N594" s="4" t="b">
        <v>0</v>
      </c>
      <c r="O594" s="4">
        <v>77</v>
      </c>
      <c r="P594" s="7" t="s">
        <v>67</v>
      </c>
      <c r="Q594" s="4">
        <v>8</v>
      </c>
      <c r="R594" s="4">
        <v>3</v>
      </c>
      <c r="S594" s="4">
        <v>2792</v>
      </c>
      <c r="T594" s="8" t="s">
        <v>38</v>
      </c>
      <c r="U594" t="str">
        <f>IF(OR(E594&lt;'Q1'!$E$13,E594&gt;'Q1'!$E$14),"Outliers","Not an Outliers")</f>
        <v>Not an Outliers</v>
      </c>
      <c r="V594" t="str">
        <f t="shared" si="9"/>
        <v>Weekday</v>
      </c>
    </row>
    <row r="595" spans="1:22" x14ac:dyDescent="0.3">
      <c r="A595" s="24">
        <v>45519</v>
      </c>
      <c r="B595" s="9" t="s">
        <v>20</v>
      </c>
      <c r="C595" s="9" t="s">
        <v>60</v>
      </c>
      <c r="D595" s="9" t="s">
        <v>33</v>
      </c>
      <c r="E595" s="5">
        <v>3857</v>
      </c>
      <c r="F595" s="5" t="b">
        <v>1</v>
      </c>
      <c r="G595" s="9" t="s">
        <v>64</v>
      </c>
      <c r="H595" s="9" t="s">
        <v>35</v>
      </c>
      <c r="I595" s="9" t="s">
        <v>47</v>
      </c>
      <c r="J595" s="9" t="s">
        <v>26</v>
      </c>
      <c r="K595" s="5">
        <v>2</v>
      </c>
      <c r="L595" s="9" t="s">
        <v>49</v>
      </c>
      <c r="M595" s="9" t="s">
        <v>58</v>
      </c>
      <c r="N595" s="5" t="b">
        <v>0</v>
      </c>
      <c r="O595" s="5">
        <v>66</v>
      </c>
      <c r="P595" s="9" t="s">
        <v>50</v>
      </c>
      <c r="Q595" s="5">
        <v>1</v>
      </c>
      <c r="R595" s="5">
        <v>1</v>
      </c>
      <c r="S595" s="5">
        <v>1351</v>
      </c>
      <c r="T595" s="10" t="s">
        <v>30</v>
      </c>
      <c r="U595" t="str">
        <f>IF(OR(E595&lt;'Q1'!$E$13,E595&gt;'Q1'!$E$14),"Outliers","Not an Outliers")</f>
        <v>Not an Outliers</v>
      </c>
      <c r="V595" t="str">
        <f t="shared" si="9"/>
        <v>Weekday</v>
      </c>
    </row>
    <row r="596" spans="1:22" x14ac:dyDescent="0.3">
      <c r="A596" s="23">
        <v>45520</v>
      </c>
      <c r="B596" s="7" t="s">
        <v>71</v>
      </c>
      <c r="C596" s="7" t="s">
        <v>60</v>
      </c>
      <c r="D596" s="7" t="s">
        <v>61</v>
      </c>
      <c r="E596" s="4">
        <v>1000</v>
      </c>
      <c r="F596" s="4" t="b">
        <v>0</v>
      </c>
      <c r="G596" s="7" t="s">
        <v>23</v>
      </c>
      <c r="H596" s="7" t="s">
        <v>41</v>
      </c>
      <c r="I596" s="7" t="s">
        <v>59</v>
      </c>
      <c r="J596" s="7" t="s">
        <v>54</v>
      </c>
      <c r="K596" s="4">
        <v>2</v>
      </c>
      <c r="L596" s="7" t="s">
        <v>27</v>
      </c>
      <c r="M596" s="7" t="s">
        <v>28</v>
      </c>
      <c r="N596" s="4" t="b">
        <v>0</v>
      </c>
      <c r="O596" s="4">
        <v>25</v>
      </c>
      <c r="P596" s="7" t="s">
        <v>67</v>
      </c>
      <c r="Q596" s="4">
        <v>1</v>
      </c>
      <c r="R596" s="4">
        <v>3</v>
      </c>
      <c r="S596" s="4">
        <v>4988</v>
      </c>
      <c r="T596" s="8" t="s">
        <v>30</v>
      </c>
      <c r="U596" t="str">
        <f>IF(OR(E596&lt;'Q1'!$E$13,E596&gt;'Q1'!$E$14),"Outliers","Not an Outliers")</f>
        <v>Not an Outliers</v>
      </c>
      <c r="V596" t="str">
        <f t="shared" si="9"/>
        <v>Weekday</v>
      </c>
    </row>
    <row r="597" spans="1:22" x14ac:dyDescent="0.3">
      <c r="A597" s="24">
        <v>45520</v>
      </c>
      <c r="B597" s="9" t="s">
        <v>76</v>
      </c>
      <c r="C597" s="9" t="s">
        <v>60</v>
      </c>
      <c r="D597" s="9" t="s">
        <v>53</v>
      </c>
      <c r="E597" s="5">
        <v>7732</v>
      </c>
      <c r="F597" s="5" t="b">
        <v>1</v>
      </c>
      <c r="G597" s="9" t="s">
        <v>64</v>
      </c>
      <c r="H597" s="9" t="s">
        <v>24</v>
      </c>
      <c r="I597" s="9" t="s">
        <v>47</v>
      </c>
      <c r="J597" s="9" t="s">
        <v>54</v>
      </c>
      <c r="K597" s="5">
        <v>2</v>
      </c>
      <c r="L597" s="9" t="s">
        <v>36</v>
      </c>
      <c r="M597" s="9" t="s">
        <v>28</v>
      </c>
      <c r="N597" s="5" t="b">
        <v>0</v>
      </c>
      <c r="O597" s="5">
        <v>9</v>
      </c>
      <c r="P597" s="9" t="s">
        <v>67</v>
      </c>
      <c r="Q597" s="5">
        <v>7</v>
      </c>
      <c r="R597" s="5">
        <v>1</v>
      </c>
      <c r="S597" s="5">
        <v>1814</v>
      </c>
      <c r="T597" s="10" t="s">
        <v>38</v>
      </c>
      <c r="U597" t="str">
        <f>IF(OR(E597&lt;'Q1'!$E$13,E597&gt;'Q1'!$E$14),"Outliers","Not an Outliers")</f>
        <v>Not an Outliers</v>
      </c>
      <c r="V597" t="str">
        <f t="shared" si="9"/>
        <v>Weekday</v>
      </c>
    </row>
    <row r="598" spans="1:22" x14ac:dyDescent="0.3">
      <c r="A598" s="23">
        <v>45520</v>
      </c>
      <c r="B598" s="7" t="s">
        <v>52</v>
      </c>
      <c r="C598" s="7" t="s">
        <v>32</v>
      </c>
      <c r="D598" s="7" t="s">
        <v>57</v>
      </c>
      <c r="E598" s="4">
        <v>1000</v>
      </c>
      <c r="F598" s="4" t="b">
        <v>1</v>
      </c>
      <c r="G598" s="7" t="s">
        <v>23</v>
      </c>
      <c r="H598" s="7" t="s">
        <v>24</v>
      </c>
      <c r="I598" s="7" t="s">
        <v>42</v>
      </c>
      <c r="J598" s="7" t="s">
        <v>54</v>
      </c>
      <c r="K598" s="4">
        <v>4</v>
      </c>
      <c r="L598" s="7" t="s">
        <v>36</v>
      </c>
      <c r="M598" s="7" t="s">
        <v>73</v>
      </c>
      <c r="N598" s="4" t="b">
        <v>1</v>
      </c>
      <c r="O598" s="4">
        <v>105</v>
      </c>
      <c r="P598" s="7" t="s">
        <v>63</v>
      </c>
      <c r="Q598" s="4">
        <v>9</v>
      </c>
      <c r="R598" s="4">
        <v>3</v>
      </c>
      <c r="S598" s="4">
        <v>1823</v>
      </c>
      <c r="T598" s="8" t="s">
        <v>51</v>
      </c>
      <c r="U598" t="str">
        <f>IF(OR(E598&lt;'Q1'!$E$13,E598&gt;'Q1'!$E$14),"Outliers","Not an Outliers")</f>
        <v>Not an Outliers</v>
      </c>
      <c r="V598" t="str">
        <f t="shared" si="9"/>
        <v>Weekday</v>
      </c>
    </row>
    <row r="599" spans="1:22" x14ac:dyDescent="0.3">
      <c r="A599" s="24">
        <v>45521</v>
      </c>
      <c r="B599" s="9" t="s">
        <v>31</v>
      </c>
      <c r="C599" s="9" t="s">
        <v>32</v>
      </c>
      <c r="D599" s="9" t="s">
        <v>53</v>
      </c>
      <c r="E599" s="5">
        <v>4196</v>
      </c>
      <c r="F599" s="5" t="b">
        <v>1</v>
      </c>
      <c r="G599" s="9" t="s">
        <v>65</v>
      </c>
      <c r="H599" s="9" t="s">
        <v>41</v>
      </c>
      <c r="I599" s="9" t="s">
        <v>42</v>
      </c>
      <c r="J599" s="9" t="s">
        <v>54</v>
      </c>
      <c r="K599" s="5">
        <v>1</v>
      </c>
      <c r="L599" s="9" t="s">
        <v>49</v>
      </c>
      <c r="M599" s="9" t="s">
        <v>66</v>
      </c>
      <c r="N599" s="5" t="b">
        <v>1</v>
      </c>
      <c r="O599" s="5">
        <v>91</v>
      </c>
      <c r="P599" s="9" t="s">
        <v>63</v>
      </c>
      <c r="Q599" s="5">
        <v>9</v>
      </c>
      <c r="R599" s="5">
        <v>1</v>
      </c>
      <c r="S599" s="5">
        <v>3277</v>
      </c>
      <c r="T599" s="10" t="s">
        <v>38</v>
      </c>
      <c r="U599" t="str">
        <f>IF(OR(E599&lt;'Q1'!$E$13,E599&gt;'Q1'!$E$14),"Outliers","Not an Outliers")</f>
        <v>Not an Outliers</v>
      </c>
      <c r="V599" t="str">
        <f t="shared" si="9"/>
        <v>Weekend</v>
      </c>
    </row>
    <row r="600" spans="1:22" x14ac:dyDescent="0.3">
      <c r="A600" s="23">
        <v>45522</v>
      </c>
      <c r="B600" s="7" t="s">
        <v>74</v>
      </c>
      <c r="C600" s="7" t="s">
        <v>45</v>
      </c>
      <c r="D600" s="7" t="s">
        <v>53</v>
      </c>
      <c r="E600" s="4">
        <v>7476</v>
      </c>
      <c r="F600" s="4" t="b">
        <v>1</v>
      </c>
      <c r="G600" s="7" t="s">
        <v>23</v>
      </c>
      <c r="H600" s="7" t="s">
        <v>70</v>
      </c>
      <c r="I600" s="7" t="s">
        <v>47</v>
      </c>
      <c r="J600" s="7" t="s">
        <v>43</v>
      </c>
      <c r="K600" s="4">
        <v>3</v>
      </c>
      <c r="L600" s="7" t="s">
        <v>36</v>
      </c>
      <c r="M600" s="7" t="s">
        <v>28</v>
      </c>
      <c r="N600" s="4" t="b">
        <v>1</v>
      </c>
      <c r="O600" s="4">
        <v>3</v>
      </c>
      <c r="P600" s="7" t="s">
        <v>37</v>
      </c>
      <c r="Q600" s="4">
        <v>9</v>
      </c>
      <c r="R600" s="4">
        <v>1</v>
      </c>
      <c r="S600" s="4">
        <v>2542</v>
      </c>
      <c r="T600" s="8" t="s">
        <v>38</v>
      </c>
      <c r="U600" t="str">
        <f>IF(OR(E600&lt;'Q1'!$E$13,E600&gt;'Q1'!$E$14),"Outliers","Not an Outliers")</f>
        <v>Not an Outliers</v>
      </c>
      <c r="V600" t="str">
        <f t="shared" si="9"/>
        <v>Weekend</v>
      </c>
    </row>
    <row r="601" spans="1:22" x14ac:dyDescent="0.3">
      <c r="A601" s="24">
        <v>45522</v>
      </c>
      <c r="B601" s="9" t="s">
        <v>31</v>
      </c>
      <c r="C601" s="9" t="s">
        <v>32</v>
      </c>
      <c r="D601" s="9" t="s">
        <v>22</v>
      </c>
      <c r="E601" s="5">
        <v>8481</v>
      </c>
      <c r="F601" s="5" t="b">
        <v>0</v>
      </c>
      <c r="G601" s="9" t="s">
        <v>23</v>
      </c>
      <c r="H601" s="9" t="s">
        <v>70</v>
      </c>
      <c r="I601" s="9" t="s">
        <v>47</v>
      </c>
      <c r="J601" s="9" t="s">
        <v>48</v>
      </c>
      <c r="K601" s="5">
        <v>4</v>
      </c>
      <c r="L601" s="9" t="s">
        <v>36</v>
      </c>
      <c r="M601" s="9" t="s">
        <v>66</v>
      </c>
      <c r="N601" s="5" t="b">
        <v>0</v>
      </c>
      <c r="O601" s="5">
        <v>45</v>
      </c>
      <c r="P601" s="9" t="s">
        <v>37</v>
      </c>
      <c r="Q601" s="5">
        <v>4</v>
      </c>
      <c r="R601" s="5">
        <v>2</v>
      </c>
      <c r="S601" s="5">
        <v>4833</v>
      </c>
      <c r="T601" s="10" t="s">
        <v>51</v>
      </c>
      <c r="U601" t="str">
        <f>IF(OR(E601&lt;'Q1'!$E$13,E601&gt;'Q1'!$E$14),"Outliers","Not an Outliers")</f>
        <v>Not an Outliers</v>
      </c>
      <c r="V601" t="str">
        <f t="shared" si="9"/>
        <v>Weekend</v>
      </c>
    </row>
    <row r="602" spans="1:22" x14ac:dyDescent="0.3">
      <c r="A602" s="23">
        <v>45522</v>
      </c>
      <c r="B602" s="7" t="s">
        <v>62</v>
      </c>
      <c r="C602" s="7" t="s">
        <v>21</v>
      </c>
      <c r="D602" s="7" t="s">
        <v>57</v>
      </c>
      <c r="E602" s="4">
        <v>1000</v>
      </c>
      <c r="F602" s="4" t="b">
        <v>0</v>
      </c>
      <c r="G602" s="7" t="s">
        <v>40</v>
      </c>
      <c r="H602" s="7" t="s">
        <v>41</v>
      </c>
      <c r="I602" s="7" t="s">
        <v>25</v>
      </c>
      <c r="J602" s="7" t="s">
        <v>48</v>
      </c>
      <c r="K602" s="4">
        <v>5</v>
      </c>
      <c r="L602" s="7" t="s">
        <v>49</v>
      </c>
      <c r="M602" s="7" t="s">
        <v>58</v>
      </c>
      <c r="N602" s="4" t="b">
        <v>0</v>
      </c>
      <c r="O602" s="4">
        <v>19</v>
      </c>
      <c r="P602" s="7" t="s">
        <v>63</v>
      </c>
      <c r="Q602" s="4">
        <v>1</v>
      </c>
      <c r="R602" s="4">
        <v>2</v>
      </c>
      <c r="S602" s="4">
        <v>3718</v>
      </c>
      <c r="T602" s="8" t="s">
        <v>38</v>
      </c>
      <c r="U602" t="str">
        <f>IF(OR(E602&lt;'Q1'!$E$13,E602&gt;'Q1'!$E$14),"Outliers","Not an Outliers")</f>
        <v>Not an Outliers</v>
      </c>
      <c r="V602" t="str">
        <f t="shared" si="9"/>
        <v>Weekend</v>
      </c>
    </row>
    <row r="603" spans="1:22" x14ac:dyDescent="0.3">
      <c r="A603" s="24">
        <v>45522</v>
      </c>
      <c r="B603" s="9" t="s">
        <v>68</v>
      </c>
      <c r="C603" s="9" t="s">
        <v>60</v>
      </c>
      <c r="D603" s="9" t="s">
        <v>53</v>
      </c>
      <c r="E603" s="5">
        <v>5427</v>
      </c>
      <c r="F603" s="5" t="b">
        <v>0</v>
      </c>
      <c r="G603" s="9" t="s">
        <v>23</v>
      </c>
      <c r="H603" s="9" t="s">
        <v>41</v>
      </c>
      <c r="I603" s="9" t="s">
        <v>25</v>
      </c>
      <c r="J603" s="9" t="s">
        <v>43</v>
      </c>
      <c r="K603" s="5">
        <v>0</v>
      </c>
      <c r="L603" s="9" t="s">
        <v>49</v>
      </c>
      <c r="M603" s="9" t="s">
        <v>58</v>
      </c>
      <c r="N603" s="5" t="b">
        <v>0</v>
      </c>
      <c r="O603" s="5">
        <v>73</v>
      </c>
      <c r="P603" s="9" t="s">
        <v>37</v>
      </c>
      <c r="Q603" s="5">
        <v>3</v>
      </c>
      <c r="R603" s="5">
        <v>3</v>
      </c>
      <c r="S603" s="5">
        <v>2836</v>
      </c>
      <c r="T603" s="10" t="s">
        <v>38</v>
      </c>
      <c r="U603" t="str">
        <f>IF(OR(E603&lt;'Q1'!$E$13,E603&gt;'Q1'!$E$14),"Outliers","Not an Outliers")</f>
        <v>Not an Outliers</v>
      </c>
      <c r="V603" t="str">
        <f t="shared" si="9"/>
        <v>Weekend</v>
      </c>
    </row>
    <row r="604" spans="1:22" x14ac:dyDescent="0.3">
      <c r="A604" s="23">
        <v>45522</v>
      </c>
      <c r="B604" s="7" t="s">
        <v>72</v>
      </c>
      <c r="C604" s="7" t="s">
        <v>60</v>
      </c>
      <c r="D604" s="7" t="s">
        <v>22</v>
      </c>
      <c r="E604" s="4">
        <v>7914</v>
      </c>
      <c r="F604" s="4" t="b">
        <v>0</v>
      </c>
      <c r="G604" s="7" t="s">
        <v>40</v>
      </c>
      <c r="H604" s="7" t="s">
        <v>35</v>
      </c>
      <c r="I604" s="7" t="s">
        <v>25</v>
      </c>
      <c r="J604" s="7" t="s">
        <v>43</v>
      </c>
      <c r="K604" s="4">
        <v>1</v>
      </c>
      <c r="L604" s="7" t="s">
        <v>36</v>
      </c>
      <c r="M604" s="7" t="s">
        <v>58</v>
      </c>
      <c r="N604" s="4" t="b">
        <v>0</v>
      </c>
      <c r="O604" s="4">
        <v>49</v>
      </c>
      <c r="P604" s="7" t="s">
        <v>37</v>
      </c>
      <c r="Q604" s="4">
        <v>1</v>
      </c>
      <c r="R604" s="4">
        <v>3</v>
      </c>
      <c r="S604" s="4">
        <v>3971</v>
      </c>
      <c r="T604" s="8" t="s">
        <v>51</v>
      </c>
      <c r="U604" t="str">
        <f>IF(OR(E604&lt;'Q1'!$E$13,E604&gt;'Q1'!$E$14),"Outliers","Not an Outliers")</f>
        <v>Not an Outliers</v>
      </c>
      <c r="V604" t="str">
        <f t="shared" si="9"/>
        <v>Weekend</v>
      </c>
    </row>
    <row r="605" spans="1:22" x14ac:dyDescent="0.3">
      <c r="A605" s="24">
        <v>45522</v>
      </c>
      <c r="B605" s="9" t="s">
        <v>20</v>
      </c>
      <c r="C605" s="9" t="s">
        <v>60</v>
      </c>
      <c r="D605" s="9" t="s">
        <v>46</v>
      </c>
      <c r="E605" s="5">
        <v>3038</v>
      </c>
      <c r="F605" s="5" t="b">
        <v>0</v>
      </c>
      <c r="G605" s="9" t="s">
        <v>23</v>
      </c>
      <c r="H605" s="9" t="s">
        <v>35</v>
      </c>
      <c r="I605" s="9" t="s">
        <v>59</v>
      </c>
      <c r="J605" s="9" t="s">
        <v>54</v>
      </c>
      <c r="K605" s="5">
        <v>0</v>
      </c>
      <c r="L605" s="9" t="s">
        <v>27</v>
      </c>
      <c r="M605" s="9" t="s">
        <v>28</v>
      </c>
      <c r="N605" s="5" t="b">
        <v>0</v>
      </c>
      <c r="O605" s="5">
        <v>98</v>
      </c>
      <c r="P605" s="9" t="s">
        <v>63</v>
      </c>
      <c r="Q605" s="5">
        <v>9</v>
      </c>
      <c r="R605" s="5">
        <v>3</v>
      </c>
      <c r="S605" s="5">
        <v>2347</v>
      </c>
      <c r="T605" s="10" t="s">
        <v>51</v>
      </c>
      <c r="U605" t="str">
        <f>IF(OR(E605&lt;'Q1'!$E$13,E605&gt;'Q1'!$E$14),"Outliers","Not an Outliers")</f>
        <v>Not an Outliers</v>
      </c>
      <c r="V605" t="str">
        <f t="shared" si="9"/>
        <v>Weekend</v>
      </c>
    </row>
    <row r="606" spans="1:22" x14ac:dyDescent="0.3">
      <c r="A606" s="23">
        <v>45523</v>
      </c>
      <c r="B606" s="7" t="s">
        <v>77</v>
      </c>
      <c r="C606" s="7" t="s">
        <v>60</v>
      </c>
      <c r="D606" s="7" t="s">
        <v>53</v>
      </c>
      <c r="E606" s="4">
        <v>2310</v>
      </c>
      <c r="F606" s="4" t="b">
        <v>1</v>
      </c>
      <c r="G606" s="7" t="s">
        <v>40</v>
      </c>
      <c r="H606" s="7" t="s">
        <v>41</v>
      </c>
      <c r="I606" s="7" t="s">
        <v>42</v>
      </c>
      <c r="J606" s="7" t="s">
        <v>26</v>
      </c>
      <c r="K606" s="4">
        <v>1</v>
      </c>
      <c r="L606" s="7" t="s">
        <v>49</v>
      </c>
      <c r="M606" s="7" t="s">
        <v>73</v>
      </c>
      <c r="N606" s="4" t="b">
        <v>0</v>
      </c>
      <c r="O606" s="4">
        <v>48</v>
      </c>
      <c r="P606" s="7" t="s">
        <v>63</v>
      </c>
      <c r="Q606" s="4">
        <v>2</v>
      </c>
      <c r="R606" s="4">
        <v>3</v>
      </c>
      <c r="S606" s="4">
        <v>2028</v>
      </c>
      <c r="T606" s="8" t="s">
        <v>38</v>
      </c>
      <c r="U606" t="str">
        <f>IF(OR(E606&lt;'Q1'!$E$13,E606&gt;'Q1'!$E$14),"Outliers","Not an Outliers")</f>
        <v>Not an Outliers</v>
      </c>
      <c r="V606" t="str">
        <f t="shared" si="9"/>
        <v>Weekday</v>
      </c>
    </row>
    <row r="607" spans="1:22" x14ac:dyDescent="0.3">
      <c r="A607" s="24">
        <v>45523</v>
      </c>
      <c r="B607" s="9" t="s">
        <v>44</v>
      </c>
      <c r="C607" s="9" t="s">
        <v>21</v>
      </c>
      <c r="D607" s="9" t="s">
        <v>53</v>
      </c>
      <c r="E607" s="5">
        <v>6564</v>
      </c>
      <c r="F607" s="5" t="b">
        <v>1</v>
      </c>
      <c r="G607" s="9" t="s">
        <v>64</v>
      </c>
      <c r="H607" s="9" t="s">
        <v>35</v>
      </c>
      <c r="I607" s="9" t="s">
        <v>42</v>
      </c>
      <c r="J607" s="9" t="s">
        <v>48</v>
      </c>
      <c r="K607" s="5">
        <v>1</v>
      </c>
      <c r="L607" s="9" t="s">
        <v>49</v>
      </c>
      <c r="M607" s="9" t="s">
        <v>58</v>
      </c>
      <c r="N607" s="5" t="b">
        <v>0</v>
      </c>
      <c r="O607" s="5">
        <v>73</v>
      </c>
      <c r="P607" s="9" t="s">
        <v>50</v>
      </c>
      <c r="Q607" s="5">
        <v>8</v>
      </c>
      <c r="R607" s="5">
        <v>2</v>
      </c>
      <c r="S607" s="5">
        <v>4688</v>
      </c>
      <c r="T607" s="10" t="s">
        <v>30</v>
      </c>
      <c r="U607" t="str">
        <f>IF(OR(E607&lt;'Q1'!$E$13,E607&gt;'Q1'!$E$14),"Outliers","Not an Outliers")</f>
        <v>Not an Outliers</v>
      </c>
      <c r="V607" t="str">
        <f t="shared" si="9"/>
        <v>Weekday</v>
      </c>
    </row>
    <row r="608" spans="1:22" x14ac:dyDescent="0.3">
      <c r="A608" s="23">
        <v>45523</v>
      </c>
      <c r="B608" s="7" t="s">
        <v>76</v>
      </c>
      <c r="C608" s="7" t="s">
        <v>56</v>
      </c>
      <c r="D608" s="7" t="s">
        <v>46</v>
      </c>
      <c r="E608" s="4">
        <v>2046</v>
      </c>
      <c r="F608" s="4" t="b">
        <v>0</v>
      </c>
      <c r="G608" s="7" t="s">
        <v>65</v>
      </c>
      <c r="H608" s="7" t="s">
        <v>24</v>
      </c>
      <c r="I608" s="7" t="s">
        <v>59</v>
      </c>
      <c r="J608" s="7" t="s">
        <v>54</v>
      </c>
      <c r="K608" s="4">
        <v>2</v>
      </c>
      <c r="L608" s="7" t="s">
        <v>36</v>
      </c>
      <c r="M608" s="7" t="s">
        <v>28</v>
      </c>
      <c r="N608" s="4" t="b">
        <v>0</v>
      </c>
      <c r="O608" s="4">
        <v>34</v>
      </c>
      <c r="P608" s="7" t="s">
        <v>29</v>
      </c>
      <c r="Q608" s="4">
        <v>5</v>
      </c>
      <c r="R608" s="4">
        <v>2</v>
      </c>
      <c r="S608" s="4">
        <v>578</v>
      </c>
      <c r="T608" s="8" t="s">
        <v>51</v>
      </c>
      <c r="U608" t="str">
        <f>IF(OR(E608&lt;'Q1'!$E$13,E608&gt;'Q1'!$E$14),"Outliers","Not an Outliers")</f>
        <v>Not an Outliers</v>
      </c>
      <c r="V608" t="str">
        <f t="shared" si="9"/>
        <v>Weekday</v>
      </c>
    </row>
    <row r="609" spans="1:22" x14ac:dyDescent="0.3">
      <c r="A609" s="24">
        <v>45523</v>
      </c>
      <c r="B609" s="9" t="s">
        <v>75</v>
      </c>
      <c r="C609" s="9" t="s">
        <v>32</v>
      </c>
      <c r="D609" s="9" t="s">
        <v>33</v>
      </c>
      <c r="E609" s="5">
        <v>4860</v>
      </c>
      <c r="F609" s="5" t="b">
        <v>1</v>
      </c>
      <c r="G609" s="9" t="s">
        <v>65</v>
      </c>
      <c r="H609" s="9" t="s">
        <v>35</v>
      </c>
      <c r="I609" s="9" t="s">
        <v>25</v>
      </c>
      <c r="J609" s="9" t="s">
        <v>26</v>
      </c>
      <c r="K609" s="5">
        <v>0</v>
      </c>
      <c r="L609" s="9" t="s">
        <v>49</v>
      </c>
      <c r="M609" s="9" t="s">
        <v>66</v>
      </c>
      <c r="N609" s="5" t="b">
        <v>0</v>
      </c>
      <c r="O609" s="5">
        <v>99</v>
      </c>
      <c r="P609" s="9" t="s">
        <v>29</v>
      </c>
      <c r="Q609" s="5">
        <v>3</v>
      </c>
      <c r="R609" s="5">
        <v>1</v>
      </c>
      <c r="S609" s="5">
        <v>4296</v>
      </c>
      <c r="T609" s="10" t="s">
        <v>38</v>
      </c>
      <c r="U609" t="str">
        <f>IF(OR(E609&lt;'Q1'!$E$13,E609&gt;'Q1'!$E$14),"Outliers","Not an Outliers")</f>
        <v>Not an Outliers</v>
      </c>
      <c r="V609" t="str">
        <f t="shared" si="9"/>
        <v>Weekday</v>
      </c>
    </row>
    <row r="610" spans="1:22" x14ac:dyDescent="0.3">
      <c r="A610" s="23">
        <v>45523</v>
      </c>
      <c r="B610" s="7" t="s">
        <v>77</v>
      </c>
      <c r="C610" s="7" t="s">
        <v>56</v>
      </c>
      <c r="D610" s="7" t="s">
        <v>53</v>
      </c>
      <c r="E610" s="4">
        <v>3804</v>
      </c>
      <c r="F610" s="4" t="b">
        <v>1</v>
      </c>
      <c r="G610" s="7" t="s">
        <v>34</v>
      </c>
      <c r="H610" s="7" t="s">
        <v>24</v>
      </c>
      <c r="I610" s="7" t="s">
        <v>25</v>
      </c>
      <c r="J610" s="7" t="s">
        <v>43</v>
      </c>
      <c r="K610" s="4">
        <v>3</v>
      </c>
      <c r="L610" s="7" t="s">
        <v>49</v>
      </c>
      <c r="M610" s="7" t="s">
        <v>28</v>
      </c>
      <c r="N610" s="4" t="b">
        <v>0</v>
      </c>
      <c r="O610" s="4">
        <v>94</v>
      </c>
      <c r="P610" s="7" t="s">
        <v>37</v>
      </c>
      <c r="Q610" s="4">
        <v>8</v>
      </c>
      <c r="R610" s="4">
        <v>1</v>
      </c>
      <c r="S610" s="4">
        <v>1418</v>
      </c>
      <c r="T610" s="8" t="s">
        <v>38</v>
      </c>
      <c r="U610" t="str">
        <f>IF(OR(E610&lt;'Q1'!$E$13,E610&gt;'Q1'!$E$14),"Outliers","Not an Outliers")</f>
        <v>Not an Outliers</v>
      </c>
      <c r="V610" t="str">
        <f t="shared" si="9"/>
        <v>Weekday</v>
      </c>
    </row>
    <row r="611" spans="1:22" x14ac:dyDescent="0.3">
      <c r="A611" s="24">
        <v>45524</v>
      </c>
      <c r="B611" s="9" t="s">
        <v>52</v>
      </c>
      <c r="C611" s="9" t="s">
        <v>32</v>
      </c>
      <c r="D611" s="9" t="s">
        <v>33</v>
      </c>
      <c r="E611" s="5">
        <v>2787</v>
      </c>
      <c r="F611" s="5" t="b">
        <v>0</v>
      </c>
      <c r="G611" s="9" t="s">
        <v>34</v>
      </c>
      <c r="H611" s="9" t="s">
        <v>24</v>
      </c>
      <c r="I611" s="9" t="s">
        <v>42</v>
      </c>
      <c r="J611" s="9" t="s">
        <v>48</v>
      </c>
      <c r="K611" s="5">
        <v>3</v>
      </c>
      <c r="L611" s="9" t="s">
        <v>27</v>
      </c>
      <c r="M611" s="9" t="s">
        <v>28</v>
      </c>
      <c r="N611" s="5" t="b">
        <v>0</v>
      </c>
      <c r="O611" s="5">
        <v>43</v>
      </c>
      <c r="P611" s="9" t="s">
        <v>50</v>
      </c>
      <c r="Q611" s="5">
        <v>1</v>
      </c>
      <c r="R611" s="5">
        <v>3</v>
      </c>
      <c r="S611" s="5">
        <v>3981</v>
      </c>
      <c r="T611" s="10" t="s">
        <v>38</v>
      </c>
      <c r="U611" t="str">
        <f>IF(OR(E611&lt;'Q1'!$E$13,E611&gt;'Q1'!$E$14),"Outliers","Not an Outliers")</f>
        <v>Not an Outliers</v>
      </c>
      <c r="V611" t="str">
        <f t="shared" si="9"/>
        <v>Weekday</v>
      </c>
    </row>
    <row r="612" spans="1:22" x14ac:dyDescent="0.3">
      <c r="A612" s="23">
        <v>45525</v>
      </c>
      <c r="B612" s="7" t="s">
        <v>71</v>
      </c>
      <c r="C612" s="7" t="s">
        <v>32</v>
      </c>
      <c r="D612" s="7" t="s">
        <v>53</v>
      </c>
      <c r="E612" s="4">
        <v>5249</v>
      </c>
      <c r="F612" s="4" t="b">
        <v>1</v>
      </c>
      <c r="G612" s="7" t="s">
        <v>34</v>
      </c>
      <c r="H612" s="7" t="s">
        <v>41</v>
      </c>
      <c r="I612" s="7" t="s">
        <v>59</v>
      </c>
      <c r="J612" s="7" t="s">
        <v>43</v>
      </c>
      <c r="K612" s="4">
        <v>0</v>
      </c>
      <c r="L612" s="7" t="s">
        <v>27</v>
      </c>
      <c r="M612" s="7" t="s">
        <v>66</v>
      </c>
      <c r="N612" s="4" t="b">
        <v>1</v>
      </c>
      <c r="O612" s="4">
        <v>15</v>
      </c>
      <c r="P612" s="7" t="s">
        <v>50</v>
      </c>
      <c r="Q612" s="4">
        <v>6</v>
      </c>
      <c r="R612" s="4">
        <v>2</v>
      </c>
      <c r="S612" s="4">
        <v>2071</v>
      </c>
      <c r="T612" s="8" t="s">
        <v>51</v>
      </c>
      <c r="U612" t="str">
        <f>IF(OR(E612&lt;'Q1'!$E$13,E612&gt;'Q1'!$E$14),"Outliers","Not an Outliers")</f>
        <v>Not an Outliers</v>
      </c>
      <c r="V612" t="str">
        <f t="shared" si="9"/>
        <v>Weekday</v>
      </c>
    </row>
    <row r="613" spans="1:22" x14ac:dyDescent="0.3">
      <c r="A613" s="24">
        <v>45525</v>
      </c>
      <c r="B613" s="9" t="s">
        <v>44</v>
      </c>
      <c r="C613" s="9" t="s">
        <v>56</v>
      </c>
      <c r="D613" s="9" t="s">
        <v>53</v>
      </c>
      <c r="E613" s="5">
        <v>7400</v>
      </c>
      <c r="F613" s="5" t="b">
        <v>0</v>
      </c>
      <c r="G613" s="9" t="s">
        <v>34</v>
      </c>
      <c r="H613" s="9" t="s">
        <v>24</v>
      </c>
      <c r="I613" s="9" t="s">
        <v>59</v>
      </c>
      <c r="J613" s="9" t="s">
        <v>43</v>
      </c>
      <c r="K613" s="5">
        <v>4</v>
      </c>
      <c r="L613" s="9" t="s">
        <v>36</v>
      </c>
      <c r="M613" s="9" t="s">
        <v>28</v>
      </c>
      <c r="N613" s="5" t="b">
        <v>0</v>
      </c>
      <c r="O613" s="5">
        <v>117</v>
      </c>
      <c r="P613" s="9" t="s">
        <v>29</v>
      </c>
      <c r="Q613" s="5">
        <v>7</v>
      </c>
      <c r="R613" s="5">
        <v>1</v>
      </c>
      <c r="S613" s="5">
        <v>3905</v>
      </c>
      <c r="T613" s="10" t="s">
        <v>30</v>
      </c>
      <c r="U613" t="str">
        <f>IF(OR(E613&lt;'Q1'!$E$13,E613&gt;'Q1'!$E$14),"Outliers","Not an Outliers")</f>
        <v>Not an Outliers</v>
      </c>
      <c r="V613" t="str">
        <f t="shared" si="9"/>
        <v>Weekday</v>
      </c>
    </row>
    <row r="614" spans="1:22" x14ac:dyDescent="0.3">
      <c r="A614" s="23">
        <v>45526</v>
      </c>
      <c r="B614" s="7" t="s">
        <v>75</v>
      </c>
      <c r="C614" s="7" t="s">
        <v>60</v>
      </c>
      <c r="D614" s="7" t="s">
        <v>22</v>
      </c>
      <c r="E614" s="4">
        <v>6310</v>
      </c>
      <c r="F614" s="4" t="b">
        <v>0</v>
      </c>
      <c r="G614" s="7" t="s">
        <v>34</v>
      </c>
      <c r="H614" s="7" t="s">
        <v>70</v>
      </c>
      <c r="I614" s="7" t="s">
        <v>47</v>
      </c>
      <c r="J614" s="7" t="s">
        <v>26</v>
      </c>
      <c r="K614" s="4">
        <v>3</v>
      </c>
      <c r="L614" s="7" t="s">
        <v>49</v>
      </c>
      <c r="M614" s="7" t="s">
        <v>66</v>
      </c>
      <c r="N614" s="4" t="b">
        <v>1</v>
      </c>
      <c r="O614" s="4">
        <v>96</v>
      </c>
      <c r="P614" s="7" t="s">
        <v>29</v>
      </c>
      <c r="Q614" s="4">
        <v>1</v>
      </c>
      <c r="R614" s="4">
        <v>3</v>
      </c>
      <c r="S614" s="4">
        <v>1531</v>
      </c>
      <c r="T614" s="8" t="s">
        <v>38</v>
      </c>
      <c r="U614" t="str">
        <f>IF(OR(E614&lt;'Q1'!$E$13,E614&gt;'Q1'!$E$14),"Outliers","Not an Outliers")</f>
        <v>Not an Outliers</v>
      </c>
      <c r="V614" t="str">
        <f t="shared" si="9"/>
        <v>Weekday</v>
      </c>
    </row>
    <row r="615" spans="1:22" x14ac:dyDescent="0.3">
      <c r="A615" s="24">
        <v>45526</v>
      </c>
      <c r="B615" s="9" t="s">
        <v>69</v>
      </c>
      <c r="C615" s="9" t="s">
        <v>21</v>
      </c>
      <c r="D615" s="9" t="s">
        <v>22</v>
      </c>
      <c r="E615" s="5">
        <v>5364</v>
      </c>
      <c r="F615" s="5" t="b">
        <v>0</v>
      </c>
      <c r="G615" s="9" t="s">
        <v>40</v>
      </c>
      <c r="H615" s="9" t="s">
        <v>70</v>
      </c>
      <c r="I615" s="9" t="s">
        <v>25</v>
      </c>
      <c r="J615" s="9" t="s">
        <v>54</v>
      </c>
      <c r="K615" s="5">
        <v>5</v>
      </c>
      <c r="L615" s="9" t="s">
        <v>27</v>
      </c>
      <c r="M615" s="9" t="s">
        <v>58</v>
      </c>
      <c r="N615" s="5" t="b">
        <v>0</v>
      </c>
      <c r="O615" s="5">
        <v>117</v>
      </c>
      <c r="P615" s="9" t="s">
        <v>63</v>
      </c>
      <c r="Q615" s="5">
        <v>2</v>
      </c>
      <c r="R615" s="5">
        <v>3</v>
      </c>
      <c r="S615" s="5">
        <v>1275</v>
      </c>
      <c r="T615" s="10" t="s">
        <v>51</v>
      </c>
      <c r="U615" t="str">
        <f>IF(OR(E615&lt;'Q1'!$E$13,E615&gt;'Q1'!$E$14),"Outliers","Not an Outliers")</f>
        <v>Not an Outliers</v>
      </c>
      <c r="V615" t="str">
        <f t="shared" si="9"/>
        <v>Weekday</v>
      </c>
    </row>
    <row r="616" spans="1:22" x14ac:dyDescent="0.3">
      <c r="A616" s="23">
        <v>45526</v>
      </c>
      <c r="B616" s="7" t="s">
        <v>74</v>
      </c>
      <c r="C616" s="7" t="s">
        <v>60</v>
      </c>
      <c r="D616" s="7" t="s">
        <v>46</v>
      </c>
      <c r="E616" s="4">
        <v>2681</v>
      </c>
      <c r="F616" s="4" t="b">
        <v>0</v>
      </c>
      <c r="G616" s="7" t="s">
        <v>64</v>
      </c>
      <c r="H616" s="7" t="s">
        <v>41</v>
      </c>
      <c r="I616" s="7" t="s">
        <v>59</v>
      </c>
      <c r="J616" s="7" t="s">
        <v>26</v>
      </c>
      <c r="K616" s="4">
        <v>0</v>
      </c>
      <c r="L616" s="7" t="s">
        <v>36</v>
      </c>
      <c r="M616" s="7" t="s">
        <v>28</v>
      </c>
      <c r="N616" s="4" t="b">
        <v>0</v>
      </c>
      <c r="O616" s="4">
        <v>73</v>
      </c>
      <c r="P616" s="7" t="s">
        <v>37</v>
      </c>
      <c r="Q616" s="4">
        <v>7</v>
      </c>
      <c r="R616" s="4">
        <v>3</v>
      </c>
      <c r="S616" s="4">
        <v>3080</v>
      </c>
      <c r="T616" s="8" t="s">
        <v>30</v>
      </c>
      <c r="U616" t="str">
        <f>IF(OR(E616&lt;'Q1'!$E$13,E616&gt;'Q1'!$E$14),"Outliers","Not an Outliers")</f>
        <v>Not an Outliers</v>
      </c>
      <c r="V616" t="str">
        <f t="shared" si="9"/>
        <v>Weekday</v>
      </c>
    </row>
    <row r="617" spans="1:22" x14ac:dyDescent="0.3">
      <c r="A617" s="24">
        <v>45526</v>
      </c>
      <c r="B617" s="9" t="s">
        <v>52</v>
      </c>
      <c r="C617" s="9" t="s">
        <v>21</v>
      </c>
      <c r="D617" s="9" t="s">
        <v>33</v>
      </c>
      <c r="E617" s="5">
        <v>3835</v>
      </c>
      <c r="F617" s="5" t="b">
        <v>0</v>
      </c>
      <c r="G617" s="9" t="s">
        <v>64</v>
      </c>
      <c r="H617" s="9" t="s">
        <v>24</v>
      </c>
      <c r="I617" s="9" t="s">
        <v>42</v>
      </c>
      <c r="J617" s="9" t="s">
        <v>54</v>
      </c>
      <c r="K617" s="5">
        <v>2</v>
      </c>
      <c r="L617" s="9" t="s">
        <v>49</v>
      </c>
      <c r="M617" s="9" t="s">
        <v>28</v>
      </c>
      <c r="N617" s="5" t="b">
        <v>0</v>
      </c>
      <c r="O617" s="5">
        <v>54</v>
      </c>
      <c r="P617" s="9" t="s">
        <v>50</v>
      </c>
      <c r="Q617" s="5">
        <v>1</v>
      </c>
      <c r="R617" s="5">
        <v>2</v>
      </c>
      <c r="S617" s="5">
        <v>4284</v>
      </c>
      <c r="T617" s="10" t="s">
        <v>30</v>
      </c>
      <c r="U617" t="str">
        <f>IF(OR(E617&lt;'Q1'!$E$13,E617&gt;'Q1'!$E$14),"Outliers","Not an Outliers")</f>
        <v>Not an Outliers</v>
      </c>
      <c r="V617" t="str">
        <f t="shared" si="9"/>
        <v>Weekday</v>
      </c>
    </row>
    <row r="618" spans="1:22" x14ac:dyDescent="0.3">
      <c r="A618" s="23">
        <v>45527</v>
      </c>
      <c r="B618" s="7" t="s">
        <v>20</v>
      </c>
      <c r="C618" s="7" t="s">
        <v>45</v>
      </c>
      <c r="D618" s="7" t="s">
        <v>22</v>
      </c>
      <c r="E618" s="4">
        <v>5954</v>
      </c>
      <c r="F618" s="4" t="b">
        <v>0</v>
      </c>
      <c r="G618" s="7" t="s">
        <v>65</v>
      </c>
      <c r="H618" s="7" t="s">
        <v>24</v>
      </c>
      <c r="I618" s="7" t="s">
        <v>25</v>
      </c>
      <c r="J618" s="7" t="s">
        <v>48</v>
      </c>
      <c r="K618" s="4">
        <v>4</v>
      </c>
      <c r="L618" s="7" t="s">
        <v>49</v>
      </c>
      <c r="M618" s="7" t="s">
        <v>66</v>
      </c>
      <c r="N618" s="4" t="b">
        <v>0</v>
      </c>
      <c r="O618" s="4">
        <v>53</v>
      </c>
      <c r="P618" s="7" t="s">
        <v>63</v>
      </c>
      <c r="Q618" s="4">
        <v>3</v>
      </c>
      <c r="R618" s="4">
        <v>2</v>
      </c>
      <c r="S618" s="4">
        <v>2679</v>
      </c>
      <c r="T618" s="8" t="s">
        <v>38</v>
      </c>
      <c r="U618" t="str">
        <f>IF(OR(E618&lt;'Q1'!$E$13,E618&gt;'Q1'!$E$14),"Outliers","Not an Outliers")</f>
        <v>Not an Outliers</v>
      </c>
      <c r="V618" t="str">
        <f t="shared" si="9"/>
        <v>Weekday</v>
      </c>
    </row>
    <row r="619" spans="1:22" x14ac:dyDescent="0.3">
      <c r="A619" s="24">
        <v>45527</v>
      </c>
      <c r="B619" s="9" t="s">
        <v>31</v>
      </c>
      <c r="C619" s="9" t="s">
        <v>32</v>
      </c>
      <c r="D619" s="9" t="s">
        <v>53</v>
      </c>
      <c r="E619" s="5">
        <v>4790</v>
      </c>
      <c r="F619" s="5" t="b">
        <v>0</v>
      </c>
      <c r="G619" s="9" t="s">
        <v>34</v>
      </c>
      <c r="H619" s="9" t="s">
        <v>24</v>
      </c>
      <c r="I619" s="9" t="s">
        <v>47</v>
      </c>
      <c r="J619" s="9" t="s">
        <v>54</v>
      </c>
      <c r="K619" s="5">
        <v>0</v>
      </c>
      <c r="L619" s="9" t="s">
        <v>27</v>
      </c>
      <c r="M619" s="9" t="s">
        <v>58</v>
      </c>
      <c r="N619" s="5" t="b">
        <v>1</v>
      </c>
      <c r="O619" s="5">
        <v>17</v>
      </c>
      <c r="P619" s="9" t="s">
        <v>50</v>
      </c>
      <c r="Q619" s="5">
        <v>10</v>
      </c>
      <c r="R619" s="5">
        <v>2</v>
      </c>
      <c r="S619" s="5">
        <v>2478</v>
      </c>
      <c r="T619" s="10" t="s">
        <v>30</v>
      </c>
      <c r="U619" t="str">
        <f>IF(OR(E619&lt;'Q1'!$E$13,E619&gt;'Q1'!$E$14),"Outliers","Not an Outliers")</f>
        <v>Not an Outliers</v>
      </c>
      <c r="V619" t="str">
        <f t="shared" si="9"/>
        <v>Weekday</v>
      </c>
    </row>
    <row r="620" spans="1:22" x14ac:dyDescent="0.3">
      <c r="A620" s="23">
        <v>45527</v>
      </c>
      <c r="B620" s="7" t="s">
        <v>39</v>
      </c>
      <c r="C620" s="7" t="s">
        <v>60</v>
      </c>
      <c r="D620" s="7" t="s">
        <v>61</v>
      </c>
      <c r="E620" s="4">
        <v>1000</v>
      </c>
      <c r="F620" s="4" t="b">
        <v>1</v>
      </c>
      <c r="G620" s="7" t="s">
        <v>23</v>
      </c>
      <c r="H620" s="7" t="s">
        <v>35</v>
      </c>
      <c r="I620" s="7" t="s">
        <v>47</v>
      </c>
      <c r="J620" s="7" t="s">
        <v>54</v>
      </c>
      <c r="K620" s="4">
        <v>2</v>
      </c>
      <c r="L620" s="7" t="s">
        <v>27</v>
      </c>
      <c r="M620" s="7" t="s">
        <v>28</v>
      </c>
      <c r="N620" s="4" t="b">
        <v>1</v>
      </c>
      <c r="O620" s="4">
        <v>56</v>
      </c>
      <c r="P620" s="7" t="s">
        <v>63</v>
      </c>
      <c r="Q620" s="4">
        <v>3</v>
      </c>
      <c r="R620" s="4">
        <v>1</v>
      </c>
      <c r="S620" s="4">
        <v>4960</v>
      </c>
      <c r="T620" s="8" t="s">
        <v>51</v>
      </c>
      <c r="U620" t="str">
        <f>IF(OR(E620&lt;'Q1'!$E$13,E620&gt;'Q1'!$E$14),"Outliers","Not an Outliers")</f>
        <v>Not an Outliers</v>
      </c>
      <c r="V620" t="str">
        <f t="shared" si="9"/>
        <v>Weekday</v>
      </c>
    </row>
    <row r="621" spans="1:22" x14ac:dyDescent="0.3">
      <c r="A621" s="24">
        <v>45528</v>
      </c>
      <c r="B621" s="9" t="s">
        <v>44</v>
      </c>
      <c r="C621" s="9" t="s">
        <v>32</v>
      </c>
      <c r="D621" s="9" t="s">
        <v>57</v>
      </c>
      <c r="E621" s="5">
        <v>1000</v>
      </c>
      <c r="F621" s="5" t="b">
        <v>1</v>
      </c>
      <c r="G621" s="9" t="s">
        <v>65</v>
      </c>
      <c r="H621" s="9" t="s">
        <v>24</v>
      </c>
      <c r="I621" s="9" t="s">
        <v>47</v>
      </c>
      <c r="J621" s="9" t="s">
        <v>48</v>
      </c>
      <c r="K621" s="5">
        <v>4</v>
      </c>
      <c r="L621" s="9" t="s">
        <v>36</v>
      </c>
      <c r="M621" s="9" t="s">
        <v>66</v>
      </c>
      <c r="N621" s="5" t="b">
        <v>1</v>
      </c>
      <c r="O621" s="5">
        <v>28</v>
      </c>
      <c r="P621" s="9" t="s">
        <v>63</v>
      </c>
      <c r="Q621" s="5">
        <v>7</v>
      </c>
      <c r="R621" s="5">
        <v>2</v>
      </c>
      <c r="S621" s="5">
        <v>4805</v>
      </c>
      <c r="T621" s="10" t="s">
        <v>51</v>
      </c>
      <c r="U621" t="str">
        <f>IF(OR(E621&lt;'Q1'!$E$13,E621&gt;'Q1'!$E$14),"Outliers","Not an Outliers")</f>
        <v>Not an Outliers</v>
      </c>
      <c r="V621" t="str">
        <f t="shared" si="9"/>
        <v>Weekend</v>
      </c>
    </row>
    <row r="622" spans="1:22" x14ac:dyDescent="0.3">
      <c r="A622" s="23">
        <v>45528</v>
      </c>
      <c r="B622" s="7" t="s">
        <v>55</v>
      </c>
      <c r="C622" s="7" t="s">
        <v>56</v>
      </c>
      <c r="D622" s="7" t="s">
        <v>22</v>
      </c>
      <c r="E622" s="4">
        <v>9709</v>
      </c>
      <c r="F622" s="4" t="b">
        <v>0</v>
      </c>
      <c r="G622" s="7" t="s">
        <v>23</v>
      </c>
      <c r="H622" s="7" t="s">
        <v>35</v>
      </c>
      <c r="I622" s="7" t="s">
        <v>25</v>
      </c>
      <c r="J622" s="7" t="s">
        <v>26</v>
      </c>
      <c r="K622" s="4">
        <v>4</v>
      </c>
      <c r="L622" s="7" t="s">
        <v>27</v>
      </c>
      <c r="M622" s="7" t="s">
        <v>58</v>
      </c>
      <c r="N622" s="4" t="b">
        <v>1</v>
      </c>
      <c r="O622" s="4">
        <v>37</v>
      </c>
      <c r="P622" s="7" t="s">
        <v>29</v>
      </c>
      <c r="Q622" s="4">
        <v>5</v>
      </c>
      <c r="R622" s="4">
        <v>1</v>
      </c>
      <c r="S622" s="4">
        <v>2401</v>
      </c>
      <c r="T622" s="8" t="s">
        <v>51</v>
      </c>
      <c r="U622" t="str">
        <f>IF(OR(E622&lt;'Q1'!$E$13,E622&gt;'Q1'!$E$14),"Outliers","Not an Outliers")</f>
        <v>Not an Outliers</v>
      </c>
      <c r="V622" t="str">
        <f t="shared" si="9"/>
        <v>Weekend</v>
      </c>
    </row>
    <row r="623" spans="1:22" x14ac:dyDescent="0.3">
      <c r="A623" s="24">
        <v>45528</v>
      </c>
      <c r="B623" s="9" t="s">
        <v>52</v>
      </c>
      <c r="C623" s="9" t="s">
        <v>21</v>
      </c>
      <c r="D623" s="9" t="s">
        <v>33</v>
      </c>
      <c r="E623" s="5">
        <v>3421</v>
      </c>
      <c r="F623" s="5" t="b">
        <v>0</v>
      </c>
      <c r="G623" s="9" t="s">
        <v>23</v>
      </c>
      <c r="H623" s="9" t="s">
        <v>70</v>
      </c>
      <c r="I623" s="9" t="s">
        <v>25</v>
      </c>
      <c r="J623" s="9" t="s">
        <v>43</v>
      </c>
      <c r="K623" s="5">
        <v>0</v>
      </c>
      <c r="L623" s="9" t="s">
        <v>27</v>
      </c>
      <c r="M623" s="9" t="s">
        <v>66</v>
      </c>
      <c r="N623" s="5" t="b">
        <v>0</v>
      </c>
      <c r="O623" s="5">
        <v>76</v>
      </c>
      <c r="P623" s="9" t="s">
        <v>63</v>
      </c>
      <c r="Q623" s="5">
        <v>3</v>
      </c>
      <c r="R623" s="5">
        <v>1</v>
      </c>
      <c r="S623" s="5">
        <v>1525</v>
      </c>
      <c r="T623" s="10" t="s">
        <v>38</v>
      </c>
      <c r="U623" t="str">
        <f>IF(OR(E623&lt;'Q1'!$E$13,E623&gt;'Q1'!$E$14),"Outliers","Not an Outliers")</f>
        <v>Not an Outliers</v>
      </c>
      <c r="V623" t="str">
        <f t="shared" si="9"/>
        <v>Weekend</v>
      </c>
    </row>
    <row r="624" spans="1:22" x14ac:dyDescent="0.3">
      <c r="A624" s="23">
        <v>45529</v>
      </c>
      <c r="B624" s="7" t="s">
        <v>69</v>
      </c>
      <c r="C624" s="7" t="s">
        <v>56</v>
      </c>
      <c r="D624" s="7" t="s">
        <v>46</v>
      </c>
      <c r="E624" s="4">
        <v>2829</v>
      </c>
      <c r="F624" s="4" t="b">
        <v>1</v>
      </c>
      <c r="G624" s="7" t="s">
        <v>34</v>
      </c>
      <c r="H624" s="7" t="s">
        <v>24</v>
      </c>
      <c r="I624" s="7" t="s">
        <v>47</v>
      </c>
      <c r="J624" s="7" t="s">
        <v>48</v>
      </c>
      <c r="K624" s="4">
        <v>1</v>
      </c>
      <c r="L624" s="7" t="s">
        <v>49</v>
      </c>
      <c r="M624" s="7" t="s">
        <v>58</v>
      </c>
      <c r="N624" s="4" t="b">
        <v>1</v>
      </c>
      <c r="O624" s="4">
        <v>80</v>
      </c>
      <c r="P624" s="7" t="s">
        <v>67</v>
      </c>
      <c r="Q624" s="4">
        <v>10</v>
      </c>
      <c r="R624" s="4">
        <v>3</v>
      </c>
      <c r="S624" s="4">
        <v>1847</v>
      </c>
      <c r="T624" s="8" t="s">
        <v>30</v>
      </c>
      <c r="U624" t="str">
        <f>IF(OR(E624&lt;'Q1'!$E$13,E624&gt;'Q1'!$E$14),"Outliers","Not an Outliers")</f>
        <v>Not an Outliers</v>
      </c>
      <c r="V624" t="str">
        <f t="shared" si="9"/>
        <v>Weekend</v>
      </c>
    </row>
    <row r="625" spans="1:22" x14ac:dyDescent="0.3">
      <c r="A625" s="24">
        <v>45529</v>
      </c>
      <c r="B625" s="9" t="s">
        <v>52</v>
      </c>
      <c r="C625" s="9" t="s">
        <v>56</v>
      </c>
      <c r="D625" s="9" t="s">
        <v>53</v>
      </c>
      <c r="E625" s="5">
        <v>6029</v>
      </c>
      <c r="F625" s="5" t="b">
        <v>1</v>
      </c>
      <c r="G625" s="9" t="s">
        <v>40</v>
      </c>
      <c r="H625" s="9" t="s">
        <v>24</v>
      </c>
      <c r="I625" s="9" t="s">
        <v>59</v>
      </c>
      <c r="J625" s="9" t="s">
        <v>43</v>
      </c>
      <c r="K625" s="5">
        <v>0</v>
      </c>
      <c r="L625" s="9" t="s">
        <v>49</v>
      </c>
      <c r="M625" s="9" t="s">
        <v>58</v>
      </c>
      <c r="N625" s="5" t="b">
        <v>0</v>
      </c>
      <c r="O625" s="5">
        <v>79</v>
      </c>
      <c r="P625" s="9" t="s">
        <v>67</v>
      </c>
      <c r="Q625" s="5">
        <v>9</v>
      </c>
      <c r="R625" s="5">
        <v>2</v>
      </c>
      <c r="S625" s="5">
        <v>2066</v>
      </c>
      <c r="T625" s="10" t="s">
        <v>51</v>
      </c>
      <c r="U625" t="str">
        <f>IF(OR(E625&lt;'Q1'!$E$13,E625&gt;'Q1'!$E$14),"Outliers","Not an Outliers")</f>
        <v>Not an Outliers</v>
      </c>
      <c r="V625" t="str">
        <f t="shared" si="9"/>
        <v>Weekend</v>
      </c>
    </row>
    <row r="626" spans="1:22" x14ac:dyDescent="0.3">
      <c r="A626" s="23">
        <v>45529</v>
      </c>
      <c r="B626" s="7" t="s">
        <v>71</v>
      </c>
      <c r="C626" s="7" t="s">
        <v>45</v>
      </c>
      <c r="D626" s="7" t="s">
        <v>33</v>
      </c>
      <c r="E626" s="4">
        <v>2782</v>
      </c>
      <c r="F626" s="4" t="b">
        <v>0</v>
      </c>
      <c r="G626" s="7" t="s">
        <v>40</v>
      </c>
      <c r="H626" s="7" t="s">
        <v>70</v>
      </c>
      <c r="I626" s="7" t="s">
        <v>59</v>
      </c>
      <c r="J626" s="7" t="s">
        <v>54</v>
      </c>
      <c r="K626" s="4">
        <v>3</v>
      </c>
      <c r="L626" s="7" t="s">
        <v>36</v>
      </c>
      <c r="M626" s="7" t="s">
        <v>73</v>
      </c>
      <c r="N626" s="4" t="b">
        <v>1</v>
      </c>
      <c r="O626" s="4">
        <v>120</v>
      </c>
      <c r="P626" s="7" t="s">
        <v>29</v>
      </c>
      <c r="Q626" s="4">
        <v>6</v>
      </c>
      <c r="R626" s="4">
        <v>2</v>
      </c>
      <c r="S626" s="4">
        <v>3927</v>
      </c>
      <c r="T626" s="8" t="s">
        <v>51</v>
      </c>
      <c r="U626" t="str">
        <f>IF(OR(E626&lt;'Q1'!$E$13,E626&gt;'Q1'!$E$14),"Outliers","Not an Outliers")</f>
        <v>Not an Outliers</v>
      </c>
      <c r="V626" t="str">
        <f t="shared" si="9"/>
        <v>Weekend</v>
      </c>
    </row>
    <row r="627" spans="1:22" x14ac:dyDescent="0.3">
      <c r="A627" s="24">
        <v>45529</v>
      </c>
      <c r="B627" s="9" t="s">
        <v>39</v>
      </c>
      <c r="C627" s="9" t="s">
        <v>45</v>
      </c>
      <c r="D627" s="9" t="s">
        <v>57</v>
      </c>
      <c r="E627" s="5">
        <v>1000</v>
      </c>
      <c r="F627" s="5" t="b">
        <v>1</v>
      </c>
      <c r="G627" s="9" t="s">
        <v>65</v>
      </c>
      <c r="H627" s="9" t="s">
        <v>70</v>
      </c>
      <c r="I627" s="9" t="s">
        <v>59</v>
      </c>
      <c r="J627" s="9" t="s">
        <v>54</v>
      </c>
      <c r="K627" s="5">
        <v>4</v>
      </c>
      <c r="L627" s="9" t="s">
        <v>36</v>
      </c>
      <c r="M627" s="9" t="s">
        <v>73</v>
      </c>
      <c r="N627" s="5" t="b">
        <v>1</v>
      </c>
      <c r="O627" s="5">
        <v>56</v>
      </c>
      <c r="P627" s="9" t="s">
        <v>37</v>
      </c>
      <c r="Q627" s="5">
        <v>7</v>
      </c>
      <c r="R627" s="5">
        <v>1</v>
      </c>
      <c r="S627" s="5">
        <v>3804</v>
      </c>
      <c r="T627" s="10" t="s">
        <v>30</v>
      </c>
      <c r="U627" t="str">
        <f>IF(OR(E627&lt;'Q1'!$E$13,E627&gt;'Q1'!$E$14),"Outliers","Not an Outliers")</f>
        <v>Not an Outliers</v>
      </c>
      <c r="V627" t="str">
        <f t="shared" si="9"/>
        <v>Weekend</v>
      </c>
    </row>
    <row r="628" spans="1:22" x14ac:dyDescent="0.3">
      <c r="A628" s="23">
        <v>45530</v>
      </c>
      <c r="B628" s="7" t="s">
        <v>20</v>
      </c>
      <c r="C628" s="7" t="s">
        <v>45</v>
      </c>
      <c r="D628" s="7" t="s">
        <v>22</v>
      </c>
      <c r="E628" s="4">
        <v>5725</v>
      </c>
      <c r="F628" s="4" t="b">
        <v>0</v>
      </c>
      <c r="G628" s="7" t="s">
        <v>65</v>
      </c>
      <c r="H628" s="7" t="s">
        <v>24</v>
      </c>
      <c r="I628" s="7" t="s">
        <v>42</v>
      </c>
      <c r="J628" s="7" t="s">
        <v>54</v>
      </c>
      <c r="K628" s="4">
        <v>5</v>
      </c>
      <c r="L628" s="7" t="s">
        <v>36</v>
      </c>
      <c r="M628" s="7" t="s">
        <v>66</v>
      </c>
      <c r="N628" s="4" t="b">
        <v>0</v>
      </c>
      <c r="O628" s="4">
        <v>37</v>
      </c>
      <c r="P628" s="7" t="s">
        <v>63</v>
      </c>
      <c r="Q628" s="4">
        <v>7</v>
      </c>
      <c r="R628" s="4">
        <v>2</v>
      </c>
      <c r="S628" s="4">
        <v>2482</v>
      </c>
      <c r="T628" s="8" t="s">
        <v>38</v>
      </c>
      <c r="U628" t="str">
        <f>IF(OR(E628&lt;'Q1'!$E$13,E628&gt;'Q1'!$E$14),"Outliers","Not an Outliers")</f>
        <v>Not an Outliers</v>
      </c>
      <c r="V628" t="str">
        <f t="shared" si="9"/>
        <v>Weekday</v>
      </c>
    </row>
    <row r="629" spans="1:22" x14ac:dyDescent="0.3">
      <c r="A629" s="24">
        <v>45530</v>
      </c>
      <c r="B629" s="9" t="s">
        <v>68</v>
      </c>
      <c r="C629" s="9" t="s">
        <v>56</v>
      </c>
      <c r="D629" s="9" t="s">
        <v>22</v>
      </c>
      <c r="E629" s="5">
        <v>8706</v>
      </c>
      <c r="F629" s="5" t="b">
        <v>1</v>
      </c>
      <c r="G629" s="9" t="s">
        <v>40</v>
      </c>
      <c r="H629" s="9" t="s">
        <v>35</v>
      </c>
      <c r="I629" s="9" t="s">
        <v>59</v>
      </c>
      <c r="J629" s="9" t="s">
        <v>54</v>
      </c>
      <c r="K629" s="5">
        <v>6</v>
      </c>
      <c r="L629" s="9" t="s">
        <v>36</v>
      </c>
      <c r="M629" s="9" t="s">
        <v>28</v>
      </c>
      <c r="N629" s="5" t="b">
        <v>0</v>
      </c>
      <c r="O629" s="5">
        <v>117</v>
      </c>
      <c r="P629" s="9" t="s">
        <v>37</v>
      </c>
      <c r="Q629" s="5">
        <v>6</v>
      </c>
      <c r="R629" s="5">
        <v>3</v>
      </c>
      <c r="S629" s="5">
        <v>3613</v>
      </c>
      <c r="T629" s="10" t="s">
        <v>51</v>
      </c>
      <c r="U629" t="str">
        <f>IF(OR(E629&lt;'Q1'!$E$13,E629&gt;'Q1'!$E$14),"Outliers","Not an Outliers")</f>
        <v>Not an Outliers</v>
      </c>
      <c r="V629" t="str">
        <f t="shared" si="9"/>
        <v>Weekday</v>
      </c>
    </row>
    <row r="630" spans="1:22" x14ac:dyDescent="0.3">
      <c r="A630" s="23">
        <v>45530</v>
      </c>
      <c r="B630" s="7" t="s">
        <v>72</v>
      </c>
      <c r="C630" s="7" t="s">
        <v>32</v>
      </c>
      <c r="D630" s="7" t="s">
        <v>33</v>
      </c>
      <c r="E630" s="4">
        <v>3811</v>
      </c>
      <c r="F630" s="4" t="b">
        <v>0</v>
      </c>
      <c r="G630" s="7" t="s">
        <v>64</v>
      </c>
      <c r="H630" s="7" t="s">
        <v>41</v>
      </c>
      <c r="I630" s="7" t="s">
        <v>47</v>
      </c>
      <c r="J630" s="7" t="s">
        <v>26</v>
      </c>
      <c r="K630" s="4">
        <v>1</v>
      </c>
      <c r="L630" s="7" t="s">
        <v>36</v>
      </c>
      <c r="M630" s="7" t="s">
        <v>58</v>
      </c>
      <c r="N630" s="4" t="b">
        <v>1</v>
      </c>
      <c r="O630" s="4">
        <v>9</v>
      </c>
      <c r="P630" s="7" t="s">
        <v>63</v>
      </c>
      <c r="Q630" s="4">
        <v>8</v>
      </c>
      <c r="R630" s="4">
        <v>1</v>
      </c>
      <c r="S630" s="4">
        <v>2593</v>
      </c>
      <c r="T630" s="8" t="s">
        <v>38</v>
      </c>
      <c r="U630" t="str">
        <f>IF(OR(E630&lt;'Q1'!$E$13,E630&gt;'Q1'!$E$14),"Outliers","Not an Outliers")</f>
        <v>Not an Outliers</v>
      </c>
      <c r="V630" t="str">
        <f t="shared" si="9"/>
        <v>Weekday</v>
      </c>
    </row>
    <row r="631" spans="1:22" x14ac:dyDescent="0.3">
      <c r="A631" s="24">
        <v>45531</v>
      </c>
      <c r="B631" s="9" t="s">
        <v>69</v>
      </c>
      <c r="C631" s="9" t="s">
        <v>21</v>
      </c>
      <c r="D631" s="9" t="s">
        <v>22</v>
      </c>
      <c r="E631" s="5">
        <v>8878</v>
      </c>
      <c r="F631" s="5" t="b">
        <v>0</v>
      </c>
      <c r="G631" s="9" t="s">
        <v>34</v>
      </c>
      <c r="H631" s="9" t="s">
        <v>24</v>
      </c>
      <c r="I631" s="9" t="s">
        <v>42</v>
      </c>
      <c r="J631" s="9" t="s">
        <v>43</v>
      </c>
      <c r="K631" s="5">
        <v>1</v>
      </c>
      <c r="L631" s="9" t="s">
        <v>27</v>
      </c>
      <c r="M631" s="9" t="s">
        <v>66</v>
      </c>
      <c r="N631" s="5" t="b">
        <v>0</v>
      </c>
      <c r="O631" s="5">
        <v>36</v>
      </c>
      <c r="P631" s="9" t="s">
        <v>50</v>
      </c>
      <c r="Q631" s="5">
        <v>3</v>
      </c>
      <c r="R631" s="5">
        <v>3</v>
      </c>
      <c r="S631" s="5">
        <v>3456</v>
      </c>
      <c r="T631" s="10" t="s">
        <v>51</v>
      </c>
      <c r="U631" t="str">
        <f>IF(OR(E631&lt;'Q1'!$E$13,E631&gt;'Q1'!$E$14),"Outliers","Not an Outliers")</f>
        <v>Not an Outliers</v>
      </c>
      <c r="V631" t="str">
        <f t="shared" si="9"/>
        <v>Weekday</v>
      </c>
    </row>
    <row r="632" spans="1:22" x14ac:dyDescent="0.3">
      <c r="A632" s="23">
        <v>45531</v>
      </c>
      <c r="B632" s="7" t="s">
        <v>71</v>
      </c>
      <c r="C632" s="7" t="s">
        <v>32</v>
      </c>
      <c r="D632" s="7" t="s">
        <v>22</v>
      </c>
      <c r="E632" s="4">
        <v>9535</v>
      </c>
      <c r="F632" s="4" t="b">
        <v>1</v>
      </c>
      <c r="G632" s="7" t="s">
        <v>40</v>
      </c>
      <c r="H632" s="7" t="s">
        <v>70</v>
      </c>
      <c r="I632" s="7" t="s">
        <v>59</v>
      </c>
      <c r="J632" s="7" t="s">
        <v>26</v>
      </c>
      <c r="K632" s="4">
        <v>3</v>
      </c>
      <c r="L632" s="7" t="s">
        <v>27</v>
      </c>
      <c r="M632" s="7" t="s">
        <v>58</v>
      </c>
      <c r="N632" s="4" t="b">
        <v>1</v>
      </c>
      <c r="O632" s="4">
        <v>2</v>
      </c>
      <c r="P632" s="7" t="s">
        <v>63</v>
      </c>
      <c r="Q632" s="4">
        <v>10</v>
      </c>
      <c r="R632" s="4">
        <v>2</v>
      </c>
      <c r="S632" s="4">
        <v>1265</v>
      </c>
      <c r="T632" s="8" t="s">
        <v>51</v>
      </c>
      <c r="U632" t="str">
        <f>IF(OR(E632&lt;'Q1'!$E$13,E632&gt;'Q1'!$E$14),"Outliers","Not an Outliers")</f>
        <v>Not an Outliers</v>
      </c>
      <c r="V632" t="str">
        <f t="shared" si="9"/>
        <v>Weekday</v>
      </c>
    </row>
    <row r="633" spans="1:22" x14ac:dyDescent="0.3">
      <c r="A633" s="24">
        <v>45531</v>
      </c>
      <c r="B633" s="9" t="s">
        <v>44</v>
      </c>
      <c r="C633" s="9" t="s">
        <v>60</v>
      </c>
      <c r="D633" s="9" t="s">
        <v>46</v>
      </c>
      <c r="E633" s="5">
        <v>1442</v>
      </c>
      <c r="F633" s="5" t="b">
        <v>0</v>
      </c>
      <c r="G633" s="9" t="s">
        <v>65</v>
      </c>
      <c r="H633" s="9" t="s">
        <v>70</v>
      </c>
      <c r="I633" s="9" t="s">
        <v>25</v>
      </c>
      <c r="J633" s="9" t="s">
        <v>54</v>
      </c>
      <c r="K633" s="5">
        <v>1</v>
      </c>
      <c r="L633" s="9" t="s">
        <v>36</v>
      </c>
      <c r="M633" s="9" t="s">
        <v>28</v>
      </c>
      <c r="N633" s="5" t="b">
        <v>0</v>
      </c>
      <c r="O633" s="5">
        <v>44</v>
      </c>
      <c r="P633" s="9" t="s">
        <v>63</v>
      </c>
      <c r="Q633" s="5">
        <v>6</v>
      </c>
      <c r="R633" s="5">
        <v>2</v>
      </c>
      <c r="S633" s="5">
        <v>2889</v>
      </c>
      <c r="T633" s="10" t="s">
        <v>51</v>
      </c>
      <c r="U633" t="str">
        <f>IF(OR(E633&lt;'Q1'!$E$13,E633&gt;'Q1'!$E$14),"Outliers","Not an Outliers")</f>
        <v>Not an Outliers</v>
      </c>
      <c r="V633" t="str">
        <f t="shared" si="9"/>
        <v>Weekday</v>
      </c>
    </row>
    <row r="634" spans="1:22" x14ac:dyDescent="0.3">
      <c r="A634" s="23">
        <v>45531</v>
      </c>
      <c r="B634" s="7" t="s">
        <v>75</v>
      </c>
      <c r="C634" s="7" t="s">
        <v>60</v>
      </c>
      <c r="D634" s="7" t="s">
        <v>61</v>
      </c>
      <c r="E634" s="4">
        <v>1000</v>
      </c>
      <c r="F634" s="4" t="b">
        <v>0</v>
      </c>
      <c r="G634" s="7" t="s">
        <v>65</v>
      </c>
      <c r="H634" s="7" t="s">
        <v>35</v>
      </c>
      <c r="I634" s="7" t="s">
        <v>59</v>
      </c>
      <c r="J634" s="7" t="s">
        <v>48</v>
      </c>
      <c r="K634" s="4">
        <v>2</v>
      </c>
      <c r="L634" s="7" t="s">
        <v>49</v>
      </c>
      <c r="M634" s="7" t="s">
        <v>73</v>
      </c>
      <c r="N634" s="4" t="b">
        <v>0</v>
      </c>
      <c r="O634" s="4">
        <v>15</v>
      </c>
      <c r="P634" s="7" t="s">
        <v>50</v>
      </c>
      <c r="Q634" s="4">
        <v>6</v>
      </c>
      <c r="R634" s="4">
        <v>1</v>
      </c>
      <c r="S634" s="4">
        <v>1136</v>
      </c>
      <c r="T634" s="8" t="s">
        <v>38</v>
      </c>
      <c r="U634" t="str">
        <f>IF(OR(E634&lt;'Q1'!$E$13,E634&gt;'Q1'!$E$14),"Outliers","Not an Outliers")</f>
        <v>Not an Outliers</v>
      </c>
      <c r="V634" t="str">
        <f t="shared" si="9"/>
        <v>Weekday</v>
      </c>
    </row>
    <row r="635" spans="1:22" x14ac:dyDescent="0.3">
      <c r="A635" s="24">
        <v>45532</v>
      </c>
      <c r="B635" s="9" t="s">
        <v>69</v>
      </c>
      <c r="C635" s="9" t="s">
        <v>45</v>
      </c>
      <c r="D635" s="9" t="s">
        <v>33</v>
      </c>
      <c r="E635" s="5">
        <v>2668</v>
      </c>
      <c r="F635" s="5" t="b">
        <v>1</v>
      </c>
      <c r="G635" s="9" t="s">
        <v>65</v>
      </c>
      <c r="H635" s="9" t="s">
        <v>35</v>
      </c>
      <c r="I635" s="9" t="s">
        <v>59</v>
      </c>
      <c r="J635" s="9" t="s">
        <v>43</v>
      </c>
      <c r="K635" s="5">
        <v>1</v>
      </c>
      <c r="L635" s="9" t="s">
        <v>27</v>
      </c>
      <c r="M635" s="9" t="s">
        <v>58</v>
      </c>
      <c r="N635" s="5" t="b">
        <v>0</v>
      </c>
      <c r="O635" s="5">
        <v>65</v>
      </c>
      <c r="P635" s="9" t="s">
        <v>29</v>
      </c>
      <c r="Q635" s="5">
        <v>7</v>
      </c>
      <c r="R635" s="5">
        <v>1</v>
      </c>
      <c r="S635" s="5">
        <v>4002</v>
      </c>
      <c r="T635" s="10" t="s">
        <v>30</v>
      </c>
      <c r="U635" t="str">
        <f>IF(OR(E635&lt;'Q1'!$E$13,E635&gt;'Q1'!$E$14),"Outliers","Not an Outliers")</f>
        <v>Not an Outliers</v>
      </c>
      <c r="V635" t="str">
        <f t="shared" si="9"/>
        <v>Weekday</v>
      </c>
    </row>
    <row r="636" spans="1:22" x14ac:dyDescent="0.3">
      <c r="A636" s="23">
        <v>45532</v>
      </c>
      <c r="B636" s="7" t="s">
        <v>55</v>
      </c>
      <c r="C636" s="7" t="s">
        <v>56</v>
      </c>
      <c r="D636" s="7" t="s">
        <v>57</v>
      </c>
      <c r="E636" s="4">
        <v>1000</v>
      </c>
      <c r="F636" s="4" t="b">
        <v>0</v>
      </c>
      <c r="G636" s="7" t="s">
        <v>65</v>
      </c>
      <c r="H636" s="7" t="s">
        <v>24</v>
      </c>
      <c r="I636" s="7" t="s">
        <v>42</v>
      </c>
      <c r="J636" s="7" t="s">
        <v>54</v>
      </c>
      <c r="K636" s="4">
        <v>1</v>
      </c>
      <c r="L636" s="7" t="s">
        <v>49</v>
      </c>
      <c r="M636" s="7" t="s">
        <v>58</v>
      </c>
      <c r="N636" s="4" t="b">
        <v>1</v>
      </c>
      <c r="O636" s="4">
        <v>97</v>
      </c>
      <c r="P636" s="7" t="s">
        <v>50</v>
      </c>
      <c r="Q636" s="4">
        <v>7</v>
      </c>
      <c r="R636" s="4">
        <v>3</v>
      </c>
      <c r="S636" s="4">
        <v>2259</v>
      </c>
      <c r="T636" s="8" t="s">
        <v>38</v>
      </c>
      <c r="U636" t="str">
        <f>IF(OR(E636&lt;'Q1'!$E$13,E636&gt;'Q1'!$E$14),"Outliers","Not an Outliers")</f>
        <v>Not an Outliers</v>
      </c>
      <c r="V636" t="str">
        <f t="shared" si="9"/>
        <v>Weekday</v>
      </c>
    </row>
    <row r="637" spans="1:22" x14ac:dyDescent="0.3">
      <c r="A637" s="24">
        <v>45536</v>
      </c>
      <c r="B637" s="9" t="s">
        <v>72</v>
      </c>
      <c r="C637" s="9" t="s">
        <v>60</v>
      </c>
      <c r="D637" s="9" t="s">
        <v>61</v>
      </c>
      <c r="E637" s="5">
        <v>1000</v>
      </c>
      <c r="F637" s="5" t="b">
        <v>1</v>
      </c>
      <c r="G637" s="9" t="s">
        <v>64</v>
      </c>
      <c r="H637" s="9" t="s">
        <v>41</v>
      </c>
      <c r="I637" s="9" t="s">
        <v>42</v>
      </c>
      <c r="J637" s="9" t="s">
        <v>43</v>
      </c>
      <c r="K637" s="5">
        <v>1</v>
      </c>
      <c r="L637" s="9" t="s">
        <v>36</v>
      </c>
      <c r="M637" s="9" t="s">
        <v>28</v>
      </c>
      <c r="N637" s="5" t="b">
        <v>1</v>
      </c>
      <c r="O637" s="5">
        <v>47</v>
      </c>
      <c r="P637" s="9" t="s">
        <v>29</v>
      </c>
      <c r="Q637" s="5">
        <v>3</v>
      </c>
      <c r="R637" s="5">
        <v>1</v>
      </c>
      <c r="S637" s="5">
        <v>3215</v>
      </c>
      <c r="T637" s="10" t="s">
        <v>38</v>
      </c>
      <c r="U637" t="str">
        <f>IF(OR(E637&lt;'Q1'!$E$13,E637&gt;'Q1'!$E$14),"Outliers","Not an Outliers")</f>
        <v>Not an Outliers</v>
      </c>
      <c r="V637" t="str">
        <f t="shared" si="9"/>
        <v>Weekend</v>
      </c>
    </row>
    <row r="638" spans="1:22" x14ac:dyDescent="0.3">
      <c r="A638" s="23">
        <v>45536</v>
      </c>
      <c r="B638" s="7" t="s">
        <v>77</v>
      </c>
      <c r="C638" s="7" t="s">
        <v>21</v>
      </c>
      <c r="D638" s="7" t="s">
        <v>33</v>
      </c>
      <c r="E638" s="4">
        <v>2271</v>
      </c>
      <c r="F638" s="4" t="b">
        <v>0</v>
      </c>
      <c r="G638" s="7" t="s">
        <v>40</v>
      </c>
      <c r="H638" s="7" t="s">
        <v>24</v>
      </c>
      <c r="I638" s="7" t="s">
        <v>42</v>
      </c>
      <c r="J638" s="7" t="s">
        <v>43</v>
      </c>
      <c r="K638" s="4">
        <v>0</v>
      </c>
      <c r="L638" s="7" t="s">
        <v>36</v>
      </c>
      <c r="M638" s="7" t="s">
        <v>73</v>
      </c>
      <c r="N638" s="4" t="b">
        <v>0</v>
      </c>
      <c r="O638" s="4">
        <v>103</v>
      </c>
      <c r="P638" s="7" t="s">
        <v>37</v>
      </c>
      <c r="Q638" s="4">
        <v>7</v>
      </c>
      <c r="R638" s="4">
        <v>2</v>
      </c>
      <c r="S638" s="4">
        <v>1459</v>
      </c>
      <c r="T638" s="8" t="s">
        <v>30</v>
      </c>
      <c r="U638" t="str">
        <f>IF(OR(E638&lt;'Q1'!$E$13,E638&gt;'Q1'!$E$14),"Outliers","Not an Outliers")</f>
        <v>Not an Outliers</v>
      </c>
      <c r="V638" t="str">
        <f t="shared" si="9"/>
        <v>Weekend</v>
      </c>
    </row>
    <row r="639" spans="1:22" x14ac:dyDescent="0.3">
      <c r="A639" s="24">
        <v>45536</v>
      </c>
      <c r="B639" s="9" t="s">
        <v>52</v>
      </c>
      <c r="C639" s="9" t="s">
        <v>60</v>
      </c>
      <c r="D639" s="9" t="s">
        <v>61</v>
      </c>
      <c r="E639" s="5">
        <v>1000</v>
      </c>
      <c r="F639" s="5" t="b">
        <v>1</v>
      </c>
      <c r="G639" s="9" t="s">
        <v>23</v>
      </c>
      <c r="H639" s="9" t="s">
        <v>41</v>
      </c>
      <c r="I639" s="9" t="s">
        <v>42</v>
      </c>
      <c r="J639" s="9" t="s">
        <v>43</v>
      </c>
      <c r="K639" s="5">
        <v>2</v>
      </c>
      <c r="L639" s="9" t="s">
        <v>49</v>
      </c>
      <c r="M639" s="9" t="s">
        <v>66</v>
      </c>
      <c r="N639" s="5" t="b">
        <v>1</v>
      </c>
      <c r="O639" s="5">
        <v>101</v>
      </c>
      <c r="P639" s="9" t="s">
        <v>29</v>
      </c>
      <c r="Q639" s="5">
        <v>7</v>
      </c>
      <c r="R639" s="5">
        <v>1</v>
      </c>
      <c r="S639" s="5">
        <v>704</v>
      </c>
      <c r="T639" s="10" t="s">
        <v>51</v>
      </c>
      <c r="U639" t="str">
        <f>IF(OR(E639&lt;'Q1'!$E$13,E639&gt;'Q1'!$E$14),"Outliers","Not an Outliers")</f>
        <v>Not an Outliers</v>
      </c>
      <c r="V639" t="str">
        <f t="shared" si="9"/>
        <v>Weekend</v>
      </c>
    </row>
    <row r="640" spans="1:22" x14ac:dyDescent="0.3">
      <c r="A640" s="23">
        <v>45537</v>
      </c>
      <c r="B640" s="7" t="s">
        <v>68</v>
      </c>
      <c r="C640" s="7" t="s">
        <v>32</v>
      </c>
      <c r="D640" s="7" t="s">
        <v>46</v>
      </c>
      <c r="E640" s="4">
        <v>4677</v>
      </c>
      <c r="F640" s="4" t="b">
        <v>0</v>
      </c>
      <c r="G640" s="7" t="s">
        <v>65</v>
      </c>
      <c r="H640" s="7" t="s">
        <v>35</v>
      </c>
      <c r="I640" s="7" t="s">
        <v>59</v>
      </c>
      <c r="J640" s="7" t="s">
        <v>26</v>
      </c>
      <c r="K640" s="4">
        <v>4</v>
      </c>
      <c r="L640" s="7" t="s">
        <v>49</v>
      </c>
      <c r="M640" s="7" t="s">
        <v>58</v>
      </c>
      <c r="N640" s="4" t="b">
        <v>0</v>
      </c>
      <c r="O640" s="4">
        <v>65</v>
      </c>
      <c r="P640" s="7" t="s">
        <v>50</v>
      </c>
      <c r="Q640" s="4">
        <v>4</v>
      </c>
      <c r="R640" s="4">
        <v>2</v>
      </c>
      <c r="S640" s="4">
        <v>4249</v>
      </c>
      <c r="T640" s="8" t="s">
        <v>38</v>
      </c>
      <c r="U640" t="str">
        <f>IF(OR(E640&lt;'Q1'!$E$13,E640&gt;'Q1'!$E$14),"Outliers","Not an Outliers")</f>
        <v>Not an Outliers</v>
      </c>
      <c r="V640" t="str">
        <f t="shared" si="9"/>
        <v>Weekday</v>
      </c>
    </row>
    <row r="641" spans="1:22" x14ac:dyDescent="0.3">
      <c r="A641" s="24">
        <v>45538</v>
      </c>
      <c r="B641" s="9" t="s">
        <v>75</v>
      </c>
      <c r="C641" s="9" t="s">
        <v>21</v>
      </c>
      <c r="D641" s="9" t="s">
        <v>22</v>
      </c>
      <c r="E641" s="5">
        <v>5501</v>
      </c>
      <c r="F641" s="5" t="b">
        <v>0</v>
      </c>
      <c r="G641" s="9" t="s">
        <v>65</v>
      </c>
      <c r="H641" s="9" t="s">
        <v>70</v>
      </c>
      <c r="I641" s="9" t="s">
        <v>59</v>
      </c>
      <c r="J641" s="9" t="s">
        <v>43</v>
      </c>
      <c r="K641" s="5">
        <v>0</v>
      </c>
      <c r="L641" s="9" t="s">
        <v>49</v>
      </c>
      <c r="M641" s="9" t="s">
        <v>73</v>
      </c>
      <c r="N641" s="5" t="b">
        <v>1</v>
      </c>
      <c r="O641" s="5">
        <v>98</v>
      </c>
      <c r="P641" s="9" t="s">
        <v>29</v>
      </c>
      <c r="Q641" s="5">
        <v>4</v>
      </c>
      <c r="R641" s="5">
        <v>2</v>
      </c>
      <c r="S641" s="5">
        <v>3634</v>
      </c>
      <c r="T641" s="10" t="s">
        <v>51</v>
      </c>
      <c r="U641" t="str">
        <f>IF(OR(E641&lt;'Q1'!$E$13,E641&gt;'Q1'!$E$14),"Outliers","Not an Outliers")</f>
        <v>Not an Outliers</v>
      </c>
      <c r="V641" t="str">
        <f t="shared" si="9"/>
        <v>Weekday</v>
      </c>
    </row>
    <row r="642" spans="1:22" x14ac:dyDescent="0.3">
      <c r="A642" s="23">
        <v>45540</v>
      </c>
      <c r="B642" s="7" t="s">
        <v>71</v>
      </c>
      <c r="C642" s="7" t="s">
        <v>56</v>
      </c>
      <c r="D642" s="7" t="s">
        <v>57</v>
      </c>
      <c r="E642" s="4">
        <v>1000</v>
      </c>
      <c r="F642" s="4" t="b">
        <v>0</v>
      </c>
      <c r="G642" s="7" t="s">
        <v>23</v>
      </c>
      <c r="H642" s="7" t="s">
        <v>24</v>
      </c>
      <c r="I642" s="7" t="s">
        <v>47</v>
      </c>
      <c r="J642" s="7" t="s">
        <v>43</v>
      </c>
      <c r="K642" s="4">
        <v>5</v>
      </c>
      <c r="L642" s="7" t="s">
        <v>49</v>
      </c>
      <c r="M642" s="7" t="s">
        <v>66</v>
      </c>
      <c r="N642" s="4" t="b">
        <v>1</v>
      </c>
      <c r="O642" s="4">
        <v>60</v>
      </c>
      <c r="P642" s="7" t="s">
        <v>50</v>
      </c>
      <c r="Q642" s="4">
        <v>4</v>
      </c>
      <c r="R642" s="4">
        <v>2</v>
      </c>
      <c r="S642" s="4">
        <v>2841</v>
      </c>
      <c r="T642" s="8" t="s">
        <v>51</v>
      </c>
      <c r="U642" t="str">
        <f>IF(OR(E642&lt;'Q1'!$E$13,E642&gt;'Q1'!$E$14),"Outliers","Not an Outliers")</f>
        <v>Not an Outliers</v>
      </c>
      <c r="V642" t="str">
        <f t="shared" si="9"/>
        <v>Weekday</v>
      </c>
    </row>
    <row r="643" spans="1:22" x14ac:dyDescent="0.3">
      <c r="A643" s="24">
        <v>45540</v>
      </c>
      <c r="B643" s="9" t="s">
        <v>52</v>
      </c>
      <c r="C643" s="9" t="s">
        <v>32</v>
      </c>
      <c r="D643" s="9" t="s">
        <v>57</v>
      </c>
      <c r="E643" s="5">
        <v>1000</v>
      </c>
      <c r="F643" s="5" t="b">
        <v>0</v>
      </c>
      <c r="G643" s="9" t="s">
        <v>65</v>
      </c>
      <c r="H643" s="9" t="s">
        <v>24</v>
      </c>
      <c r="I643" s="9" t="s">
        <v>42</v>
      </c>
      <c r="J643" s="9" t="s">
        <v>48</v>
      </c>
      <c r="K643" s="5">
        <v>2</v>
      </c>
      <c r="L643" s="9" t="s">
        <v>36</v>
      </c>
      <c r="M643" s="9" t="s">
        <v>28</v>
      </c>
      <c r="N643" s="5" t="b">
        <v>1</v>
      </c>
      <c r="O643" s="5">
        <v>50</v>
      </c>
      <c r="P643" s="9" t="s">
        <v>63</v>
      </c>
      <c r="Q643" s="5">
        <v>5</v>
      </c>
      <c r="R643" s="5">
        <v>3</v>
      </c>
      <c r="S643" s="5">
        <v>576</v>
      </c>
      <c r="T643" s="10" t="s">
        <v>30</v>
      </c>
      <c r="U643" t="str">
        <f>IF(OR(E643&lt;'Q1'!$E$13,E643&gt;'Q1'!$E$14),"Outliers","Not an Outliers")</f>
        <v>Not an Outliers</v>
      </c>
      <c r="V643" t="str">
        <f t="shared" ref="V643:V706" si="10">IF(WEEKDAY(A643,2)&gt;5,"Weekend","Weekday")</f>
        <v>Weekday</v>
      </c>
    </row>
    <row r="644" spans="1:22" x14ac:dyDescent="0.3">
      <c r="A644" s="23">
        <v>45541</v>
      </c>
      <c r="B644" s="7" t="s">
        <v>62</v>
      </c>
      <c r="C644" s="7" t="s">
        <v>56</v>
      </c>
      <c r="D644" s="7" t="s">
        <v>57</v>
      </c>
      <c r="E644" s="4">
        <v>1000</v>
      </c>
      <c r="F644" s="4" t="b">
        <v>0</v>
      </c>
      <c r="G644" s="7" t="s">
        <v>65</v>
      </c>
      <c r="H644" s="7" t="s">
        <v>70</v>
      </c>
      <c r="I644" s="7" t="s">
        <v>42</v>
      </c>
      <c r="J644" s="7" t="s">
        <v>48</v>
      </c>
      <c r="K644" s="4">
        <v>5</v>
      </c>
      <c r="L644" s="7" t="s">
        <v>36</v>
      </c>
      <c r="M644" s="7" t="s">
        <v>28</v>
      </c>
      <c r="N644" s="4" t="b">
        <v>0</v>
      </c>
      <c r="O644" s="4">
        <v>23</v>
      </c>
      <c r="P644" s="7" t="s">
        <v>50</v>
      </c>
      <c r="Q644" s="4">
        <v>5</v>
      </c>
      <c r="R644" s="4">
        <v>2</v>
      </c>
      <c r="S644" s="4">
        <v>4578</v>
      </c>
      <c r="T644" s="8" t="s">
        <v>51</v>
      </c>
      <c r="U644" t="str">
        <f>IF(OR(E644&lt;'Q1'!$E$13,E644&gt;'Q1'!$E$14),"Outliers","Not an Outliers")</f>
        <v>Not an Outliers</v>
      </c>
      <c r="V644" t="str">
        <f t="shared" si="10"/>
        <v>Weekday</v>
      </c>
    </row>
    <row r="645" spans="1:22" x14ac:dyDescent="0.3">
      <c r="A645" s="24">
        <v>45541</v>
      </c>
      <c r="B645" s="9" t="s">
        <v>74</v>
      </c>
      <c r="C645" s="9" t="s">
        <v>45</v>
      </c>
      <c r="D645" s="9" t="s">
        <v>46</v>
      </c>
      <c r="E645" s="5">
        <v>1863</v>
      </c>
      <c r="F645" s="5" t="b">
        <v>0</v>
      </c>
      <c r="G645" s="9" t="s">
        <v>40</v>
      </c>
      <c r="H645" s="9" t="s">
        <v>24</v>
      </c>
      <c r="I645" s="9" t="s">
        <v>59</v>
      </c>
      <c r="J645" s="9" t="s">
        <v>26</v>
      </c>
      <c r="K645" s="5">
        <v>3</v>
      </c>
      <c r="L645" s="9" t="s">
        <v>27</v>
      </c>
      <c r="M645" s="9" t="s">
        <v>66</v>
      </c>
      <c r="N645" s="5" t="b">
        <v>0</v>
      </c>
      <c r="O645" s="5">
        <v>94</v>
      </c>
      <c r="P645" s="9" t="s">
        <v>63</v>
      </c>
      <c r="Q645" s="5">
        <v>3</v>
      </c>
      <c r="R645" s="5">
        <v>1</v>
      </c>
      <c r="S645" s="5">
        <v>675</v>
      </c>
      <c r="T645" s="10" t="s">
        <v>38</v>
      </c>
      <c r="U645" t="str">
        <f>IF(OR(E645&lt;'Q1'!$E$13,E645&gt;'Q1'!$E$14),"Outliers","Not an Outliers")</f>
        <v>Not an Outliers</v>
      </c>
      <c r="V645" t="str">
        <f t="shared" si="10"/>
        <v>Weekday</v>
      </c>
    </row>
    <row r="646" spans="1:22" x14ac:dyDescent="0.3">
      <c r="A646" s="23">
        <v>45541</v>
      </c>
      <c r="B646" s="7" t="s">
        <v>39</v>
      </c>
      <c r="C646" s="7" t="s">
        <v>56</v>
      </c>
      <c r="D646" s="7" t="s">
        <v>53</v>
      </c>
      <c r="E646" s="4">
        <v>6988</v>
      </c>
      <c r="F646" s="4" t="b">
        <v>0</v>
      </c>
      <c r="G646" s="7" t="s">
        <v>64</v>
      </c>
      <c r="H646" s="7" t="s">
        <v>70</v>
      </c>
      <c r="I646" s="7" t="s">
        <v>47</v>
      </c>
      <c r="J646" s="7" t="s">
        <v>48</v>
      </c>
      <c r="K646" s="4">
        <v>5</v>
      </c>
      <c r="L646" s="7" t="s">
        <v>36</v>
      </c>
      <c r="M646" s="7" t="s">
        <v>58</v>
      </c>
      <c r="N646" s="4" t="b">
        <v>1</v>
      </c>
      <c r="O646" s="4">
        <v>32</v>
      </c>
      <c r="P646" s="7" t="s">
        <v>63</v>
      </c>
      <c r="Q646" s="4">
        <v>9</v>
      </c>
      <c r="R646" s="4">
        <v>2</v>
      </c>
      <c r="S646" s="4">
        <v>3279</v>
      </c>
      <c r="T646" s="8" t="s">
        <v>51</v>
      </c>
      <c r="U646" t="str">
        <f>IF(OR(E646&lt;'Q1'!$E$13,E646&gt;'Q1'!$E$14),"Outliers","Not an Outliers")</f>
        <v>Not an Outliers</v>
      </c>
      <c r="V646" t="str">
        <f t="shared" si="10"/>
        <v>Weekday</v>
      </c>
    </row>
    <row r="647" spans="1:22" x14ac:dyDescent="0.3">
      <c r="A647" s="24">
        <v>45542</v>
      </c>
      <c r="B647" s="9" t="s">
        <v>76</v>
      </c>
      <c r="C647" s="9" t="s">
        <v>60</v>
      </c>
      <c r="D647" s="9" t="s">
        <v>61</v>
      </c>
      <c r="E647" s="5">
        <v>1000</v>
      </c>
      <c r="F647" s="5" t="b">
        <v>0</v>
      </c>
      <c r="G647" s="9" t="s">
        <v>23</v>
      </c>
      <c r="H647" s="9" t="s">
        <v>24</v>
      </c>
      <c r="I647" s="9" t="s">
        <v>25</v>
      </c>
      <c r="J647" s="9" t="s">
        <v>43</v>
      </c>
      <c r="K647" s="5">
        <v>3</v>
      </c>
      <c r="L647" s="9" t="s">
        <v>49</v>
      </c>
      <c r="M647" s="9" t="s">
        <v>73</v>
      </c>
      <c r="N647" s="5" t="b">
        <v>1</v>
      </c>
      <c r="O647" s="5">
        <v>31</v>
      </c>
      <c r="P647" s="9" t="s">
        <v>29</v>
      </c>
      <c r="Q647" s="5">
        <v>10</v>
      </c>
      <c r="R647" s="5">
        <v>1</v>
      </c>
      <c r="S647" s="5">
        <v>1223</v>
      </c>
      <c r="T647" s="10" t="s">
        <v>51</v>
      </c>
      <c r="U647" t="str">
        <f>IF(OR(E647&lt;'Q1'!$E$13,E647&gt;'Q1'!$E$14),"Outliers","Not an Outliers")</f>
        <v>Not an Outliers</v>
      </c>
      <c r="V647" t="str">
        <f t="shared" si="10"/>
        <v>Weekend</v>
      </c>
    </row>
    <row r="648" spans="1:22" x14ac:dyDescent="0.3">
      <c r="A648" s="23">
        <v>45542</v>
      </c>
      <c r="B648" s="7" t="s">
        <v>44</v>
      </c>
      <c r="C648" s="7" t="s">
        <v>32</v>
      </c>
      <c r="D648" s="7" t="s">
        <v>57</v>
      </c>
      <c r="E648" s="4">
        <v>1000</v>
      </c>
      <c r="F648" s="4" t="b">
        <v>0</v>
      </c>
      <c r="G648" s="7" t="s">
        <v>23</v>
      </c>
      <c r="H648" s="7" t="s">
        <v>24</v>
      </c>
      <c r="I648" s="7" t="s">
        <v>25</v>
      </c>
      <c r="J648" s="7" t="s">
        <v>48</v>
      </c>
      <c r="K648" s="4">
        <v>3</v>
      </c>
      <c r="L648" s="7" t="s">
        <v>36</v>
      </c>
      <c r="M648" s="7" t="s">
        <v>58</v>
      </c>
      <c r="N648" s="4" t="b">
        <v>1</v>
      </c>
      <c r="O648" s="4">
        <v>101</v>
      </c>
      <c r="P648" s="7" t="s">
        <v>63</v>
      </c>
      <c r="Q648" s="4">
        <v>7</v>
      </c>
      <c r="R648" s="4">
        <v>2</v>
      </c>
      <c r="S648" s="4">
        <v>4506</v>
      </c>
      <c r="T648" s="8" t="s">
        <v>38</v>
      </c>
      <c r="U648" t="str">
        <f>IF(OR(E648&lt;'Q1'!$E$13,E648&gt;'Q1'!$E$14),"Outliers","Not an Outliers")</f>
        <v>Not an Outliers</v>
      </c>
      <c r="V648" t="str">
        <f t="shared" si="10"/>
        <v>Weekend</v>
      </c>
    </row>
    <row r="649" spans="1:22" x14ac:dyDescent="0.3">
      <c r="A649" s="24">
        <v>45542</v>
      </c>
      <c r="B649" s="9" t="s">
        <v>71</v>
      </c>
      <c r="C649" s="9" t="s">
        <v>21</v>
      </c>
      <c r="D649" s="9" t="s">
        <v>46</v>
      </c>
      <c r="E649" s="5">
        <v>2177</v>
      </c>
      <c r="F649" s="5" t="b">
        <v>0</v>
      </c>
      <c r="G649" s="9" t="s">
        <v>40</v>
      </c>
      <c r="H649" s="9" t="s">
        <v>70</v>
      </c>
      <c r="I649" s="9" t="s">
        <v>59</v>
      </c>
      <c r="J649" s="9" t="s">
        <v>54</v>
      </c>
      <c r="K649" s="5">
        <v>4</v>
      </c>
      <c r="L649" s="9" t="s">
        <v>27</v>
      </c>
      <c r="M649" s="9" t="s">
        <v>73</v>
      </c>
      <c r="N649" s="5" t="b">
        <v>0</v>
      </c>
      <c r="O649" s="5">
        <v>70</v>
      </c>
      <c r="P649" s="9" t="s">
        <v>50</v>
      </c>
      <c r="Q649" s="5">
        <v>6</v>
      </c>
      <c r="R649" s="5">
        <v>1</v>
      </c>
      <c r="S649" s="5">
        <v>3295</v>
      </c>
      <c r="T649" s="10" t="s">
        <v>38</v>
      </c>
      <c r="U649" t="str">
        <f>IF(OR(E649&lt;'Q1'!$E$13,E649&gt;'Q1'!$E$14),"Outliers","Not an Outliers")</f>
        <v>Not an Outliers</v>
      </c>
      <c r="V649" t="str">
        <f t="shared" si="10"/>
        <v>Weekend</v>
      </c>
    </row>
    <row r="650" spans="1:22" x14ac:dyDescent="0.3">
      <c r="A650" s="23">
        <v>45542</v>
      </c>
      <c r="B650" s="7" t="s">
        <v>44</v>
      </c>
      <c r="C650" s="7" t="s">
        <v>45</v>
      </c>
      <c r="D650" s="7" t="s">
        <v>22</v>
      </c>
      <c r="E650" s="4">
        <v>6186</v>
      </c>
      <c r="F650" s="4" t="b">
        <v>1</v>
      </c>
      <c r="G650" s="7" t="s">
        <v>40</v>
      </c>
      <c r="H650" s="7" t="s">
        <v>70</v>
      </c>
      <c r="I650" s="7" t="s">
        <v>42</v>
      </c>
      <c r="J650" s="7" t="s">
        <v>54</v>
      </c>
      <c r="K650" s="4">
        <v>4</v>
      </c>
      <c r="L650" s="7" t="s">
        <v>49</v>
      </c>
      <c r="M650" s="7" t="s">
        <v>66</v>
      </c>
      <c r="N650" s="4" t="b">
        <v>0</v>
      </c>
      <c r="O650" s="4">
        <v>91</v>
      </c>
      <c r="P650" s="7" t="s">
        <v>37</v>
      </c>
      <c r="Q650" s="4">
        <v>1</v>
      </c>
      <c r="R650" s="4">
        <v>1</v>
      </c>
      <c r="S650" s="4">
        <v>1230</v>
      </c>
      <c r="T650" s="8" t="s">
        <v>30</v>
      </c>
      <c r="U650" t="str">
        <f>IF(OR(E650&lt;'Q1'!$E$13,E650&gt;'Q1'!$E$14),"Outliers","Not an Outliers")</f>
        <v>Not an Outliers</v>
      </c>
      <c r="V650" t="str">
        <f t="shared" si="10"/>
        <v>Weekend</v>
      </c>
    </row>
    <row r="651" spans="1:22" x14ac:dyDescent="0.3">
      <c r="A651" s="24">
        <v>45542</v>
      </c>
      <c r="B651" s="9" t="s">
        <v>55</v>
      </c>
      <c r="C651" s="9" t="s">
        <v>56</v>
      </c>
      <c r="D651" s="9" t="s">
        <v>57</v>
      </c>
      <c r="E651" s="5">
        <v>1000</v>
      </c>
      <c r="F651" s="5" t="b">
        <v>0</v>
      </c>
      <c r="G651" s="9" t="s">
        <v>64</v>
      </c>
      <c r="H651" s="9" t="s">
        <v>70</v>
      </c>
      <c r="I651" s="9" t="s">
        <v>47</v>
      </c>
      <c r="J651" s="9" t="s">
        <v>54</v>
      </c>
      <c r="K651" s="5">
        <v>1</v>
      </c>
      <c r="L651" s="9" t="s">
        <v>27</v>
      </c>
      <c r="M651" s="9" t="s">
        <v>73</v>
      </c>
      <c r="N651" s="5" t="b">
        <v>0</v>
      </c>
      <c r="O651" s="5">
        <v>104</v>
      </c>
      <c r="P651" s="9" t="s">
        <v>63</v>
      </c>
      <c r="Q651" s="5">
        <v>5</v>
      </c>
      <c r="R651" s="5">
        <v>1</v>
      </c>
      <c r="S651" s="5">
        <v>4767</v>
      </c>
      <c r="T651" s="10" t="s">
        <v>30</v>
      </c>
      <c r="U651" t="str">
        <f>IF(OR(E651&lt;'Q1'!$E$13,E651&gt;'Q1'!$E$14),"Outliers","Not an Outliers")</f>
        <v>Not an Outliers</v>
      </c>
      <c r="V651" t="str">
        <f t="shared" si="10"/>
        <v>Weekend</v>
      </c>
    </row>
    <row r="652" spans="1:22" x14ac:dyDescent="0.3">
      <c r="A652" s="23">
        <v>45542</v>
      </c>
      <c r="B652" s="7" t="s">
        <v>44</v>
      </c>
      <c r="C652" s="7" t="s">
        <v>21</v>
      </c>
      <c r="D652" s="7" t="s">
        <v>33</v>
      </c>
      <c r="E652" s="4">
        <v>3215</v>
      </c>
      <c r="F652" s="4" t="b">
        <v>0</v>
      </c>
      <c r="G652" s="7" t="s">
        <v>65</v>
      </c>
      <c r="H652" s="7" t="s">
        <v>35</v>
      </c>
      <c r="I652" s="7" t="s">
        <v>47</v>
      </c>
      <c r="J652" s="7" t="s">
        <v>26</v>
      </c>
      <c r="K652" s="4">
        <v>0</v>
      </c>
      <c r="L652" s="7" t="s">
        <v>27</v>
      </c>
      <c r="M652" s="7" t="s">
        <v>73</v>
      </c>
      <c r="N652" s="4" t="b">
        <v>0</v>
      </c>
      <c r="O652" s="4">
        <v>89</v>
      </c>
      <c r="P652" s="7" t="s">
        <v>37</v>
      </c>
      <c r="Q652" s="4">
        <v>6</v>
      </c>
      <c r="R652" s="4">
        <v>2</v>
      </c>
      <c r="S652" s="4">
        <v>4129</v>
      </c>
      <c r="T652" s="8" t="s">
        <v>38</v>
      </c>
      <c r="U652" t="str">
        <f>IF(OR(E652&lt;'Q1'!$E$13,E652&gt;'Q1'!$E$14),"Outliers","Not an Outliers")</f>
        <v>Not an Outliers</v>
      </c>
      <c r="V652" t="str">
        <f t="shared" si="10"/>
        <v>Weekend</v>
      </c>
    </row>
    <row r="653" spans="1:22" x14ac:dyDescent="0.3">
      <c r="A653" s="24">
        <v>45542</v>
      </c>
      <c r="B653" s="9" t="s">
        <v>71</v>
      </c>
      <c r="C653" s="9" t="s">
        <v>56</v>
      </c>
      <c r="D653" s="9" t="s">
        <v>33</v>
      </c>
      <c r="E653" s="5">
        <v>2201</v>
      </c>
      <c r="F653" s="5" t="b">
        <v>0</v>
      </c>
      <c r="G653" s="9" t="s">
        <v>65</v>
      </c>
      <c r="H653" s="9" t="s">
        <v>70</v>
      </c>
      <c r="I653" s="9" t="s">
        <v>25</v>
      </c>
      <c r="J653" s="9" t="s">
        <v>26</v>
      </c>
      <c r="K653" s="5">
        <v>4</v>
      </c>
      <c r="L653" s="9" t="s">
        <v>27</v>
      </c>
      <c r="M653" s="9" t="s">
        <v>58</v>
      </c>
      <c r="N653" s="5" t="b">
        <v>0</v>
      </c>
      <c r="O653" s="5">
        <v>42</v>
      </c>
      <c r="P653" s="9" t="s">
        <v>67</v>
      </c>
      <c r="Q653" s="5">
        <v>10</v>
      </c>
      <c r="R653" s="5">
        <v>1</v>
      </c>
      <c r="S653" s="5">
        <v>1154</v>
      </c>
      <c r="T653" s="10" t="s">
        <v>38</v>
      </c>
      <c r="U653" t="str">
        <f>IF(OR(E653&lt;'Q1'!$E$13,E653&gt;'Q1'!$E$14),"Outliers","Not an Outliers")</f>
        <v>Not an Outliers</v>
      </c>
      <c r="V653" t="str">
        <f t="shared" si="10"/>
        <v>Weekend</v>
      </c>
    </row>
    <row r="654" spans="1:22" x14ac:dyDescent="0.3">
      <c r="A654" s="23">
        <v>45542</v>
      </c>
      <c r="B654" s="7" t="s">
        <v>20</v>
      </c>
      <c r="C654" s="7" t="s">
        <v>60</v>
      </c>
      <c r="D654" s="7" t="s">
        <v>46</v>
      </c>
      <c r="E654" s="4">
        <v>4337</v>
      </c>
      <c r="F654" s="4" t="b">
        <v>0</v>
      </c>
      <c r="G654" s="7" t="s">
        <v>65</v>
      </c>
      <c r="H654" s="7" t="s">
        <v>24</v>
      </c>
      <c r="I654" s="7" t="s">
        <v>59</v>
      </c>
      <c r="J654" s="7" t="s">
        <v>26</v>
      </c>
      <c r="K654" s="4">
        <v>4</v>
      </c>
      <c r="L654" s="7" t="s">
        <v>36</v>
      </c>
      <c r="M654" s="7" t="s">
        <v>73</v>
      </c>
      <c r="N654" s="4" t="b">
        <v>1</v>
      </c>
      <c r="O654" s="4">
        <v>57</v>
      </c>
      <c r="P654" s="7" t="s">
        <v>50</v>
      </c>
      <c r="Q654" s="4">
        <v>8</v>
      </c>
      <c r="R654" s="4">
        <v>1</v>
      </c>
      <c r="S654" s="4">
        <v>4162</v>
      </c>
      <c r="T654" s="8" t="s">
        <v>30</v>
      </c>
      <c r="U654" t="str">
        <f>IF(OR(E654&lt;'Q1'!$E$13,E654&gt;'Q1'!$E$14),"Outliers","Not an Outliers")</f>
        <v>Not an Outliers</v>
      </c>
      <c r="V654" t="str">
        <f t="shared" si="10"/>
        <v>Weekend</v>
      </c>
    </row>
    <row r="655" spans="1:22" x14ac:dyDescent="0.3">
      <c r="A655" s="24">
        <v>45543</v>
      </c>
      <c r="B655" s="9" t="s">
        <v>52</v>
      </c>
      <c r="C655" s="9" t="s">
        <v>21</v>
      </c>
      <c r="D655" s="9" t="s">
        <v>57</v>
      </c>
      <c r="E655" s="5">
        <v>1000</v>
      </c>
      <c r="F655" s="5" t="b">
        <v>1</v>
      </c>
      <c r="G655" s="9" t="s">
        <v>65</v>
      </c>
      <c r="H655" s="9" t="s">
        <v>24</v>
      </c>
      <c r="I655" s="9" t="s">
        <v>25</v>
      </c>
      <c r="J655" s="9" t="s">
        <v>54</v>
      </c>
      <c r="K655" s="5">
        <v>4</v>
      </c>
      <c r="L655" s="9" t="s">
        <v>49</v>
      </c>
      <c r="M655" s="9" t="s">
        <v>66</v>
      </c>
      <c r="N655" s="5" t="b">
        <v>1</v>
      </c>
      <c r="O655" s="5">
        <v>101</v>
      </c>
      <c r="P655" s="9" t="s">
        <v>37</v>
      </c>
      <c r="Q655" s="5">
        <v>1</v>
      </c>
      <c r="R655" s="5">
        <v>3</v>
      </c>
      <c r="S655" s="5">
        <v>2076</v>
      </c>
      <c r="T655" s="10" t="s">
        <v>30</v>
      </c>
      <c r="U655" t="str">
        <f>IF(OR(E655&lt;'Q1'!$E$13,E655&gt;'Q1'!$E$14),"Outliers","Not an Outliers")</f>
        <v>Not an Outliers</v>
      </c>
      <c r="V655" t="str">
        <f t="shared" si="10"/>
        <v>Weekend</v>
      </c>
    </row>
    <row r="656" spans="1:22" x14ac:dyDescent="0.3">
      <c r="A656" s="23">
        <v>45543</v>
      </c>
      <c r="B656" s="7" t="s">
        <v>20</v>
      </c>
      <c r="C656" s="7" t="s">
        <v>21</v>
      </c>
      <c r="D656" s="7" t="s">
        <v>57</v>
      </c>
      <c r="E656" s="4">
        <v>1000</v>
      </c>
      <c r="F656" s="4" t="b">
        <v>0</v>
      </c>
      <c r="G656" s="7" t="s">
        <v>65</v>
      </c>
      <c r="H656" s="7" t="s">
        <v>70</v>
      </c>
      <c r="I656" s="7" t="s">
        <v>42</v>
      </c>
      <c r="J656" s="7" t="s">
        <v>26</v>
      </c>
      <c r="K656" s="4">
        <v>1</v>
      </c>
      <c r="L656" s="7" t="s">
        <v>36</v>
      </c>
      <c r="M656" s="7" t="s">
        <v>58</v>
      </c>
      <c r="N656" s="4" t="b">
        <v>0</v>
      </c>
      <c r="O656" s="4">
        <v>103</v>
      </c>
      <c r="P656" s="7" t="s">
        <v>67</v>
      </c>
      <c r="Q656" s="4">
        <v>4</v>
      </c>
      <c r="R656" s="4">
        <v>2</v>
      </c>
      <c r="S656" s="4">
        <v>2884</v>
      </c>
      <c r="T656" s="8" t="s">
        <v>38</v>
      </c>
      <c r="U656" t="str">
        <f>IF(OR(E656&lt;'Q1'!$E$13,E656&gt;'Q1'!$E$14),"Outliers","Not an Outliers")</f>
        <v>Not an Outliers</v>
      </c>
      <c r="V656" t="str">
        <f t="shared" si="10"/>
        <v>Weekend</v>
      </c>
    </row>
    <row r="657" spans="1:22" x14ac:dyDescent="0.3">
      <c r="A657" s="24">
        <v>45543</v>
      </c>
      <c r="B657" s="9" t="s">
        <v>44</v>
      </c>
      <c r="C657" s="9" t="s">
        <v>21</v>
      </c>
      <c r="D657" s="9" t="s">
        <v>53</v>
      </c>
      <c r="E657" s="5">
        <v>2907</v>
      </c>
      <c r="F657" s="5" t="b">
        <v>0</v>
      </c>
      <c r="G657" s="9" t="s">
        <v>34</v>
      </c>
      <c r="H657" s="9" t="s">
        <v>41</v>
      </c>
      <c r="I657" s="9" t="s">
        <v>42</v>
      </c>
      <c r="J657" s="9" t="s">
        <v>43</v>
      </c>
      <c r="K657" s="5">
        <v>0</v>
      </c>
      <c r="L657" s="9" t="s">
        <v>27</v>
      </c>
      <c r="M657" s="9" t="s">
        <v>73</v>
      </c>
      <c r="N657" s="5" t="b">
        <v>1</v>
      </c>
      <c r="O657" s="5">
        <v>6</v>
      </c>
      <c r="P657" s="9" t="s">
        <v>37</v>
      </c>
      <c r="Q657" s="5">
        <v>9</v>
      </c>
      <c r="R657" s="5">
        <v>1</v>
      </c>
      <c r="S657" s="5">
        <v>4702</v>
      </c>
      <c r="T657" s="10" t="s">
        <v>30</v>
      </c>
      <c r="U657" t="str">
        <f>IF(OR(E657&lt;'Q1'!$E$13,E657&gt;'Q1'!$E$14),"Outliers","Not an Outliers")</f>
        <v>Not an Outliers</v>
      </c>
      <c r="V657" t="str">
        <f t="shared" si="10"/>
        <v>Weekend</v>
      </c>
    </row>
    <row r="658" spans="1:22" x14ac:dyDescent="0.3">
      <c r="A658" s="23">
        <v>45544</v>
      </c>
      <c r="B658" s="7" t="s">
        <v>76</v>
      </c>
      <c r="C658" s="7" t="s">
        <v>32</v>
      </c>
      <c r="D658" s="7" t="s">
        <v>57</v>
      </c>
      <c r="E658" s="4">
        <v>1000</v>
      </c>
      <c r="F658" s="4" t="b">
        <v>0</v>
      </c>
      <c r="G658" s="7" t="s">
        <v>40</v>
      </c>
      <c r="H658" s="7" t="s">
        <v>70</v>
      </c>
      <c r="I658" s="7" t="s">
        <v>25</v>
      </c>
      <c r="J658" s="7" t="s">
        <v>48</v>
      </c>
      <c r="K658" s="4">
        <v>1</v>
      </c>
      <c r="L658" s="7" t="s">
        <v>49</v>
      </c>
      <c r="M658" s="7" t="s">
        <v>66</v>
      </c>
      <c r="N658" s="4" t="b">
        <v>0</v>
      </c>
      <c r="O658" s="4">
        <v>1</v>
      </c>
      <c r="P658" s="7" t="s">
        <v>37</v>
      </c>
      <c r="Q658" s="4">
        <v>1</v>
      </c>
      <c r="R658" s="4">
        <v>3</v>
      </c>
      <c r="S658" s="4">
        <v>1203</v>
      </c>
      <c r="T658" s="8" t="s">
        <v>38</v>
      </c>
      <c r="U658" t="str">
        <f>IF(OR(E658&lt;'Q1'!$E$13,E658&gt;'Q1'!$E$14),"Outliers","Not an Outliers")</f>
        <v>Not an Outliers</v>
      </c>
      <c r="V658" t="str">
        <f t="shared" si="10"/>
        <v>Weekday</v>
      </c>
    </row>
    <row r="659" spans="1:22" x14ac:dyDescent="0.3">
      <c r="A659" s="24">
        <v>45545</v>
      </c>
      <c r="B659" s="9" t="s">
        <v>77</v>
      </c>
      <c r="C659" s="9" t="s">
        <v>21</v>
      </c>
      <c r="D659" s="9" t="s">
        <v>57</v>
      </c>
      <c r="E659" s="5">
        <v>1000</v>
      </c>
      <c r="F659" s="5" t="b">
        <v>0</v>
      </c>
      <c r="G659" s="9" t="s">
        <v>65</v>
      </c>
      <c r="H659" s="9" t="s">
        <v>35</v>
      </c>
      <c r="I659" s="9" t="s">
        <v>42</v>
      </c>
      <c r="J659" s="9" t="s">
        <v>48</v>
      </c>
      <c r="K659" s="5">
        <v>3</v>
      </c>
      <c r="L659" s="9" t="s">
        <v>27</v>
      </c>
      <c r="M659" s="9" t="s">
        <v>28</v>
      </c>
      <c r="N659" s="5" t="b">
        <v>0</v>
      </c>
      <c r="O659" s="5">
        <v>86</v>
      </c>
      <c r="P659" s="9" t="s">
        <v>50</v>
      </c>
      <c r="Q659" s="5">
        <v>8</v>
      </c>
      <c r="R659" s="5">
        <v>2</v>
      </c>
      <c r="S659" s="5">
        <v>768</v>
      </c>
      <c r="T659" s="10" t="s">
        <v>38</v>
      </c>
      <c r="U659" t="str">
        <f>IF(OR(E659&lt;'Q1'!$E$13,E659&gt;'Q1'!$E$14),"Outliers","Not an Outliers")</f>
        <v>Not an Outliers</v>
      </c>
      <c r="V659" t="str">
        <f t="shared" si="10"/>
        <v>Weekday</v>
      </c>
    </row>
    <row r="660" spans="1:22" x14ac:dyDescent="0.3">
      <c r="A660" s="23">
        <v>45545</v>
      </c>
      <c r="B660" s="7" t="s">
        <v>68</v>
      </c>
      <c r="C660" s="7" t="s">
        <v>45</v>
      </c>
      <c r="D660" s="7" t="s">
        <v>33</v>
      </c>
      <c r="E660" s="4">
        <v>4765</v>
      </c>
      <c r="F660" s="4" t="b">
        <v>0</v>
      </c>
      <c r="G660" s="7" t="s">
        <v>34</v>
      </c>
      <c r="H660" s="7" t="s">
        <v>24</v>
      </c>
      <c r="I660" s="7" t="s">
        <v>25</v>
      </c>
      <c r="J660" s="7" t="s">
        <v>48</v>
      </c>
      <c r="K660" s="4">
        <v>0</v>
      </c>
      <c r="L660" s="7" t="s">
        <v>49</v>
      </c>
      <c r="M660" s="7" t="s">
        <v>73</v>
      </c>
      <c r="N660" s="4" t="b">
        <v>1</v>
      </c>
      <c r="O660" s="4">
        <v>97</v>
      </c>
      <c r="P660" s="7" t="s">
        <v>29</v>
      </c>
      <c r="Q660" s="4">
        <v>9</v>
      </c>
      <c r="R660" s="4">
        <v>2</v>
      </c>
      <c r="S660" s="4">
        <v>2067</v>
      </c>
      <c r="T660" s="8" t="s">
        <v>30</v>
      </c>
      <c r="U660" t="str">
        <f>IF(OR(E660&lt;'Q1'!$E$13,E660&gt;'Q1'!$E$14),"Outliers","Not an Outliers")</f>
        <v>Not an Outliers</v>
      </c>
      <c r="V660" t="str">
        <f t="shared" si="10"/>
        <v>Weekday</v>
      </c>
    </row>
    <row r="661" spans="1:22" x14ac:dyDescent="0.3">
      <c r="A661" s="24">
        <v>45545</v>
      </c>
      <c r="B661" s="9" t="s">
        <v>71</v>
      </c>
      <c r="C661" s="9" t="s">
        <v>32</v>
      </c>
      <c r="D661" s="9" t="s">
        <v>53</v>
      </c>
      <c r="E661" s="5">
        <v>2417</v>
      </c>
      <c r="F661" s="5" t="b">
        <v>1</v>
      </c>
      <c r="G661" s="9" t="s">
        <v>34</v>
      </c>
      <c r="H661" s="9" t="s">
        <v>35</v>
      </c>
      <c r="I661" s="9" t="s">
        <v>47</v>
      </c>
      <c r="J661" s="9" t="s">
        <v>26</v>
      </c>
      <c r="K661" s="5">
        <v>2</v>
      </c>
      <c r="L661" s="9" t="s">
        <v>27</v>
      </c>
      <c r="M661" s="9" t="s">
        <v>58</v>
      </c>
      <c r="N661" s="5" t="b">
        <v>0</v>
      </c>
      <c r="O661" s="5">
        <v>49</v>
      </c>
      <c r="P661" s="9" t="s">
        <v>67</v>
      </c>
      <c r="Q661" s="5">
        <v>3</v>
      </c>
      <c r="R661" s="5">
        <v>2</v>
      </c>
      <c r="S661" s="5">
        <v>3996</v>
      </c>
      <c r="T661" s="10" t="s">
        <v>38</v>
      </c>
      <c r="U661" t="str">
        <f>IF(OR(E661&lt;'Q1'!$E$13,E661&gt;'Q1'!$E$14),"Outliers","Not an Outliers")</f>
        <v>Not an Outliers</v>
      </c>
      <c r="V661" t="str">
        <f t="shared" si="10"/>
        <v>Weekday</v>
      </c>
    </row>
    <row r="662" spans="1:22" x14ac:dyDescent="0.3">
      <c r="A662" s="23">
        <v>45545</v>
      </c>
      <c r="B662" s="7" t="s">
        <v>52</v>
      </c>
      <c r="C662" s="7" t="s">
        <v>32</v>
      </c>
      <c r="D662" s="7" t="s">
        <v>33</v>
      </c>
      <c r="E662" s="4">
        <v>4283</v>
      </c>
      <c r="F662" s="4" t="b">
        <v>0</v>
      </c>
      <c r="G662" s="7" t="s">
        <v>34</v>
      </c>
      <c r="H662" s="7" t="s">
        <v>70</v>
      </c>
      <c r="I662" s="7" t="s">
        <v>47</v>
      </c>
      <c r="J662" s="7" t="s">
        <v>43</v>
      </c>
      <c r="K662" s="4">
        <v>1</v>
      </c>
      <c r="L662" s="7" t="s">
        <v>27</v>
      </c>
      <c r="M662" s="7" t="s">
        <v>73</v>
      </c>
      <c r="N662" s="4" t="b">
        <v>1</v>
      </c>
      <c r="O662" s="4">
        <v>31</v>
      </c>
      <c r="P662" s="7" t="s">
        <v>37</v>
      </c>
      <c r="Q662" s="4">
        <v>1</v>
      </c>
      <c r="R662" s="4">
        <v>1</v>
      </c>
      <c r="S662" s="4">
        <v>2591</v>
      </c>
      <c r="T662" s="8" t="s">
        <v>38</v>
      </c>
      <c r="U662" t="str">
        <f>IF(OR(E662&lt;'Q1'!$E$13,E662&gt;'Q1'!$E$14),"Outliers","Not an Outliers")</f>
        <v>Not an Outliers</v>
      </c>
      <c r="V662" t="str">
        <f t="shared" si="10"/>
        <v>Weekday</v>
      </c>
    </row>
    <row r="663" spans="1:22" x14ac:dyDescent="0.3">
      <c r="A663" s="24">
        <v>45546</v>
      </c>
      <c r="B663" s="9" t="s">
        <v>52</v>
      </c>
      <c r="C663" s="9" t="s">
        <v>45</v>
      </c>
      <c r="D663" s="9" t="s">
        <v>53</v>
      </c>
      <c r="E663" s="5">
        <v>4414</v>
      </c>
      <c r="F663" s="5" t="b">
        <v>1</v>
      </c>
      <c r="G663" s="9" t="s">
        <v>23</v>
      </c>
      <c r="H663" s="9" t="s">
        <v>24</v>
      </c>
      <c r="I663" s="9" t="s">
        <v>59</v>
      </c>
      <c r="J663" s="9" t="s">
        <v>26</v>
      </c>
      <c r="K663" s="5">
        <v>1</v>
      </c>
      <c r="L663" s="9" t="s">
        <v>27</v>
      </c>
      <c r="M663" s="9" t="s">
        <v>73</v>
      </c>
      <c r="N663" s="5" t="b">
        <v>0</v>
      </c>
      <c r="O663" s="5">
        <v>95</v>
      </c>
      <c r="P663" s="9" t="s">
        <v>29</v>
      </c>
      <c r="Q663" s="5">
        <v>2</v>
      </c>
      <c r="R663" s="5">
        <v>3</v>
      </c>
      <c r="S663" s="5">
        <v>2160</v>
      </c>
      <c r="T663" s="10" t="s">
        <v>38</v>
      </c>
      <c r="U663" t="str">
        <f>IF(OR(E663&lt;'Q1'!$E$13,E663&gt;'Q1'!$E$14),"Outliers","Not an Outliers")</f>
        <v>Not an Outliers</v>
      </c>
      <c r="V663" t="str">
        <f t="shared" si="10"/>
        <v>Weekday</v>
      </c>
    </row>
    <row r="664" spans="1:22" x14ac:dyDescent="0.3">
      <c r="A664" s="23">
        <v>45546</v>
      </c>
      <c r="B664" s="7" t="s">
        <v>76</v>
      </c>
      <c r="C664" s="7" t="s">
        <v>21</v>
      </c>
      <c r="D664" s="7" t="s">
        <v>53</v>
      </c>
      <c r="E664" s="4">
        <v>5187</v>
      </c>
      <c r="F664" s="4" t="b">
        <v>1</v>
      </c>
      <c r="G664" s="7" t="s">
        <v>65</v>
      </c>
      <c r="H664" s="7" t="s">
        <v>41</v>
      </c>
      <c r="I664" s="7" t="s">
        <v>42</v>
      </c>
      <c r="J664" s="7" t="s">
        <v>43</v>
      </c>
      <c r="K664" s="4">
        <v>1</v>
      </c>
      <c r="L664" s="7" t="s">
        <v>27</v>
      </c>
      <c r="M664" s="7" t="s">
        <v>73</v>
      </c>
      <c r="N664" s="4" t="b">
        <v>0</v>
      </c>
      <c r="O664" s="4">
        <v>16</v>
      </c>
      <c r="P664" s="7" t="s">
        <v>63</v>
      </c>
      <c r="Q664" s="4">
        <v>10</v>
      </c>
      <c r="R664" s="4">
        <v>2</v>
      </c>
      <c r="S664" s="4">
        <v>2997</v>
      </c>
      <c r="T664" s="8" t="s">
        <v>30</v>
      </c>
      <c r="U664" t="str">
        <f>IF(OR(E664&lt;'Q1'!$E$13,E664&gt;'Q1'!$E$14),"Outliers","Not an Outliers")</f>
        <v>Not an Outliers</v>
      </c>
      <c r="V664" t="str">
        <f t="shared" si="10"/>
        <v>Weekday</v>
      </c>
    </row>
    <row r="665" spans="1:22" x14ac:dyDescent="0.3">
      <c r="A665" s="24">
        <v>45546</v>
      </c>
      <c r="B665" s="9" t="s">
        <v>31</v>
      </c>
      <c r="C665" s="9" t="s">
        <v>45</v>
      </c>
      <c r="D665" s="9" t="s">
        <v>57</v>
      </c>
      <c r="E665" s="5">
        <v>1000</v>
      </c>
      <c r="F665" s="5" t="b">
        <v>0</v>
      </c>
      <c r="G665" s="9" t="s">
        <v>65</v>
      </c>
      <c r="H665" s="9" t="s">
        <v>35</v>
      </c>
      <c r="I665" s="9" t="s">
        <v>59</v>
      </c>
      <c r="J665" s="9" t="s">
        <v>43</v>
      </c>
      <c r="K665" s="5">
        <v>2</v>
      </c>
      <c r="L665" s="9" t="s">
        <v>27</v>
      </c>
      <c r="M665" s="9" t="s">
        <v>66</v>
      </c>
      <c r="N665" s="5" t="b">
        <v>0</v>
      </c>
      <c r="O665" s="5">
        <v>90</v>
      </c>
      <c r="P665" s="9" t="s">
        <v>50</v>
      </c>
      <c r="Q665" s="5">
        <v>2</v>
      </c>
      <c r="R665" s="5">
        <v>3</v>
      </c>
      <c r="S665" s="5">
        <v>2885</v>
      </c>
      <c r="T665" s="10" t="s">
        <v>38</v>
      </c>
      <c r="U665" t="str">
        <f>IF(OR(E665&lt;'Q1'!$E$13,E665&gt;'Q1'!$E$14),"Outliers","Not an Outliers")</f>
        <v>Not an Outliers</v>
      </c>
      <c r="V665" t="str">
        <f t="shared" si="10"/>
        <v>Weekday</v>
      </c>
    </row>
    <row r="666" spans="1:22" x14ac:dyDescent="0.3">
      <c r="A666" s="23">
        <v>45546</v>
      </c>
      <c r="B666" s="7" t="s">
        <v>77</v>
      </c>
      <c r="C666" s="7" t="s">
        <v>21</v>
      </c>
      <c r="D666" s="7" t="s">
        <v>46</v>
      </c>
      <c r="E666" s="4">
        <v>4807</v>
      </c>
      <c r="F666" s="4" t="b">
        <v>0</v>
      </c>
      <c r="G666" s="7" t="s">
        <v>65</v>
      </c>
      <c r="H666" s="7" t="s">
        <v>24</v>
      </c>
      <c r="I666" s="7" t="s">
        <v>59</v>
      </c>
      <c r="J666" s="7" t="s">
        <v>26</v>
      </c>
      <c r="K666" s="4">
        <v>0</v>
      </c>
      <c r="L666" s="7" t="s">
        <v>36</v>
      </c>
      <c r="M666" s="7" t="s">
        <v>66</v>
      </c>
      <c r="N666" s="4" t="b">
        <v>0</v>
      </c>
      <c r="O666" s="4">
        <v>18</v>
      </c>
      <c r="P666" s="7" t="s">
        <v>67</v>
      </c>
      <c r="Q666" s="4">
        <v>8</v>
      </c>
      <c r="R666" s="4">
        <v>1</v>
      </c>
      <c r="S666" s="4">
        <v>2140</v>
      </c>
      <c r="T666" s="8" t="s">
        <v>51</v>
      </c>
      <c r="U666" t="str">
        <f>IF(OR(E666&lt;'Q1'!$E$13,E666&gt;'Q1'!$E$14),"Outliers","Not an Outliers")</f>
        <v>Not an Outliers</v>
      </c>
      <c r="V666" t="str">
        <f t="shared" si="10"/>
        <v>Weekday</v>
      </c>
    </row>
    <row r="667" spans="1:22" x14ac:dyDescent="0.3">
      <c r="A667" s="24">
        <v>45547</v>
      </c>
      <c r="B667" s="9" t="s">
        <v>72</v>
      </c>
      <c r="C667" s="9" t="s">
        <v>32</v>
      </c>
      <c r="D667" s="9" t="s">
        <v>57</v>
      </c>
      <c r="E667" s="5">
        <v>1000</v>
      </c>
      <c r="F667" s="5" t="b">
        <v>0</v>
      </c>
      <c r="G667" s="9" t="s">
        <v>40</v>
      </c>
      <c r="H667" s="9" t="s">
        <v>24</v>
      </c>
      <c r="I667" s="9" t="s">
        <v>25</v>
      </c>
      <c r="J667" s="9" t="s">
        <v>43</v>
      </c>
      <c r="K667" s="5">
        <v>1</v>
      </c>
      <c r="L667" s="9" t="s">
        <v>49</v>
      </c>
      <c r="M667" s="9" t="s">
        <v>66</v>
      </c>
      <c r="N667" s="5" t="b">
        <v>1</v>
      </c>
      <c r="O667" s="5">
        <v>114</v>
      </c>
      <c r="P667" s="9" t="s">
        <v>50</v>
      </c>
      <c r="Q667" s="5">
        <v>6</v>
      </c>
      <c r="R667" s="5">
        <v>3</v>
      </c>
      <c r="S667" s="5">
        <v>1618</v>
      </c>
      <c r="T667" s="10" t="s">
        <v>30</v>
      </c>
      <c r="U667" t="str">
        <f>IF(OR(E667&lt;'Q1'!$E$13,E667&gt;'Q1'!$E$14),"Outliers","Not an Outliers")</f>
        <v>Not an Outliers</v>
      </c>
      <c r="V667" t="str">
        <f t="shared" si="10"/>
        <v>Weekday</v>
      </c>
    </row>
    <row r="668" spans="1:22" x14ac:dyDescent="0.3">
      <c r="A668" s="23">
        <v>45548</v>
      </c>
      <c r="B668" s="7" t="s">
        <v>74</v>
      </c>
      <c r="C668" s="7" t="s">
        <v>56</v>
      </c>
      <c r="D668" s="7" t="s">
        <v>22</v>
      </c>
      <c r="E668" s="4">
        <v>8530</v>
      </c>
      <c r="F668" s="4" t="b">
        <v>0</v>
      </c>
      <c r="G668" s="7" t="s">
        <v>64</v>
      </c>
      <c r="H668" s="7" t="s">
        <v>24</v>
      </c>
      <c r="I668" s="7" t="s">
        <v>59</v>
      </c>
      <c r="J668" s="7" t="s">
        <v>54</v>
      </c>
      <c r="K668" s="4">
        <v>1</v>
      </c>
      <c r="L668" s="7" t="s">
        <v>36</v>
      </c>
      <c r="M668" s="7" t="s">
        <v>73</v>
      </c>
      <c r="N668" s="4" t="b">
        <v>1</v>
      </c>
      <c r="O668" s="4">
        <v>28</v>
      </c>
      <c r="P668" s="7" t="s">
        <v>37</v>
      </c>
      <c r="Q668" s="4">
        <v>9</v>
      </c>
      <c r="R668" s="4">
        <v>2</v>
      </c>
      <c r="S668" s="4">
        <v>4643</v>
      </c>
      <c r="T668" s="8" t="s">
        <v>30</v>
      </c>
      <c r="U668" t="str">
        <f>IF(OR(E668&lt;'Q1'!$E$13,E668&gt;'Q1'!$E$14),"Outliers","Not an Outliers")</f>
        <v>Not an Outliers</v>
      </c>
      <c r="V668" t="str">
        <f t="shared" si="10"/>
        <v>Weekday</v>
      </c>
    </row>
    <row r="669" spans="1:22" x14ac:dyDescent="0.3">
      <c r="A669" s="24">
        <v>45549</v>
      </c>
      <c r="B669" s="9" t="s">
        <v>69</v>
      </c>
      <c r="C669" s="9" t="s">
        <v>60</v>
      </c>
      <c r="D669" s="9" t="s">
        <v>46</v>
      </c>
      <c r="E669" s="5">
        <v>4089</v>
      </c>
      <c r="F669" s="5" t="b">
        <v>0</v>
      </c>
      <c r="G669" s="9" t="s">
        <v>40</v>
      </c>
      <c r="H669" s="9" t="s">
        <v>24</v>
      </c>
      <c r="I669" s="9" t="s">
        <v>47</v>
      </c>
      <c r="J669" s="9" t="s">
        <v>48</v>
      </c>
      <c r="K669" s="5">
        <v>3</v>
      </c>
      <c r="L669" s="9" t="s">
        <v>36</v>
      </c>
      <c r="M669" s="9" t="s">
        <v>28</v>
      </c>
      <c r="N669" s="5" t="b">
        <v>1</v>
      </c>
      <c r="O669" s="5">
        <v>52</v>
      </c>
      <c r="P669" s="9" t="s">
        <v>37</v>
      </c>
      <c r="Q669" s="5">
        <v>10</v>
      </c>
      <c r="R669" s="5">
        <v>3</v>
      </c>
      <c r="S669" s="5">
        <v>2843</v>
      </c>
      <c r="T669" s="10" t="s">
        <v>38</v>
      </c>
      <c r="U669" t="str">
        <f>IF(OR(E669&lt;'Q1'!$E$13,E669&gt;'Q1'!$E$14),"Outliers","Not an Outliers")</f>
        <v>Not an Outliers</v>
      </c>
      <c r="V669" t="str">
        <f t="shared" si="10"/>
        <v>Weekend</v>
      </c>
    </row>
    <row r="670" spans="1:22" x14ac:dyDescent="0.3">
      <c r="A670" s="23">
        <v>45549</v>
      </c>
      <c r="B670" s="7" t="s">
        <v>55</v>
      </c>
      <c r="C670" s="7" t="s">
        <v>56</v>
      </c>
      <c r="D670" s="7" t="s">
        <v>22</v>
      </c>
      <c r="E670" s="4">
        <v>7762</v>
      </c>
      <c r="F670" s="4" t="b">
        <v>0</v>
      </c>
      <c r="G670" s="7" t="s">
        <v>23</v>
      </c>
      <c r="H670" s="7" t="s">
        <v>24</v>
      </c>
      <c r="I670" s="7" t="s">
        <v>47</v>
      </c>
      <c r="J670" s="7" t="s">
        <v>26</v>
      </c>
      <c r="K670" s="4">
        <v>2</v>
      </c>
      <c r="L670" s="7" t="s">
        <v>27</v>
      </c>
      <c r="M670" s="7" t="s">
        <v>73</v>
      </c>
      <c r="N670" s="4" t="b">
        <v>0</v>
      </c>
      <c r="O670" s="4">
        <v>34</v>
      </c>
      <c r="P670" s="7" t="s">
        <v>50</v>
      </c>
      <c r="Q670" s="4">
        <v>5</v>
      </c>
      <c r="R670" s="4">
        <v>2</v>
      </c>
      <c r="S670" s="4">
        <v>2581</v>
      </c>
      <c r="T670" s="8" t="s">
        <v>30</v>
      </c>
      <c r="U670" t="str">
        <f>IF(OR(E670&lt;'Q1'!$E$13,E670&gt;'Q1'!$E$14),"Outliers","Not an Outliers")</f>
        <v>Not an Outliers</v>
      </c>
      <c r="V670" t="str">
        <f t="shared" si="10"/>
        <v>Weekend</v>
      </c>
    </row>
    <row r="671" spans="1:22" x14ac:dyDescent="0.3">
      <c r="A671" s="24">
        <v>45549</v>
      </c>
      <c r="B671" s="9" t="s">
        <v>69</v>
      </c>
      <c r="C671" s="9" t="s">
        <v>21</v>
      </c>
      <c r="D671" s="9" t="s">
        <v>22</v>
      </c>
      <c r="E671" s="5">
        <v>9017</v>
      </c>
      <c r="F671" s="5" t="b">
        <v>1</v>
      </c>
      <c r="G671" s="9" t="s">
        <v>65</v>
      </c>
      <c r="H671" s="9" t="s">
        <v>70</v>
      </c>
      <c r="I671" s="9" t="s">
        <v>42</v>
      </c>
      <c r="J671" s="9" t="s">
        <v>43</v>
      </c>
      <c r="K671" s="5">
        <v>4</v>
      </c>
      <c r="L671" s="9" t="s">
        <v>36</v>
      </c>
      <c r="M671" s="9" t="s">
        <v>73</v>
      </c>
      <c r="N671" s="5" t="b">
        <v>1</v>
      </c>
      <c r="O671" s="5">
        <v>66</v>
      </c>
      <c r="P671" s="9" t="s">
        <v>29</v>
      </c>
      <c r="Q671" s="5">
        <v>1</v>
      </c>
      <c r="R671" s="5">
        <v>2</v>
      </c>
      <c r="S671" s="5">
        <v>3410</v>
      </c>
      <c r="T671" s="10" t="s">
        <v>38</v>
      </c>
      <c r="U671" t="str">
        <f>IF(OR(E671&lt;'Q1'!$E$13,E671&gt;'Q1'!$E$14),"Outliers","Not an Outliers")</f>
        <v>Not an Outliers</v>
      </c>
      <c r="V671" t="str">
        <f t="shared" si="10"/>
        <v>Weekend</v>
      </c>
    </row>
    <row r="672" spans="1:22" x14ac:dyDescent="0.3">
      <c r="A672" s="23">
        <v>45549</v>
      </c>
      <c r="B672" s="7" t="s">
        <v>72</v>
      </c>
      <c r="C672" s="7" t="s">
        <v>45</v>
      </c>
      <c r="D672" s="7" t="s">
        <v>53</v>
      </c>
      <c r="E672" s="4">
        <v>6926</v>
      </c>
      <c r="F672" s="4" t="b">
        <v>0</v>
      </c>
      <c r="G672" s="7" t="s">
        <v>23</v>
      </c>
      <c r="H672" s="7" t="s">
        <v>35</v>
      </c>
      <c r="I672" s="7" t="s">
        <v>59</v>
      </c>
      <c r="J672" s="7" t="s">
        <v>54</v>
      </c>
      <c r="K672" s="4">
        <v>3</v>
      </c>
      <c r="L672" s="7" t="s">
        <v>27</v>
      </c>
      <c r="M672" s="7" t="s">
        <v>58</v>
      </c>
      <c r="N672" s="4" t="b">
        <v>0</v>
      </c>
      <c r="O672" s="4">
        <v>9</v>
      </c>
      <c r="P672" s="7" t="s">
        <v>37</v>
      </c>
      <c r="Q672" s="4">
        <v>5</v>
      </c>
      <c r="R672" s="4">
        <v>1</v>
      </c>
      <c r="S672" s="4">
        <v>4008</v>
      </c>
      <c r="T672" s="8" t="s">
        <v>30</v>
      </c>
      <c r="U672" t="str">
        <f>IF(OR(E672&lt;'Q1'!$E$13,E672&gt;'Q1'!$E$14),"Outliers","Not an Outliers")</f>
        <v>Not an Outliers</v>
      </c>
      <c r="V672" t="str">
        <f t="shared" si="10"/>
        <v>Weekend</v>
      </c>
    </row>
    <row r="673" spans="1:22" x14ac:dyDescent="0.3">
      <c r="A673" s="24">
        <v>45549</v>
      </c>
      <c r="B673" s="9" t="s">
        <v>55</v>
      </c>
      <c r="C673" s="9" t="s">
        <v>32</v>
      </c>
      <c r="D673" s="9" t="s">
        <v>57</v>
      </c>
      <c r="E673" s="5">
        <v>1000</v>
      </c>
      <c r="F673" s="5" t="b">
        <v>0</v>
      </c>
      <c r="G673" s="9" t="s">
        <v>64</v>
      </c>
      <c r="H673" s="9" t="s">
        <v>24</v>
      </c>
      <c r="I673" s="9" t="s">
        <v>25</v>
      </c>
      <c r="J673" s="9" t="s">
        <v>26</v>
      </c>
      <c r="K673" s="5">
        <v>1</v>
      </c>
      <c r="L673" s="9" t="s">
        <v>49</v>
      </c>
      <c r="M673" s="9" t="s">
        <v>28</v>
      </c>
      <c r="N673" s="5" t="b">
        <v>0</v>
      </c>
      <c r="O673" s="5">
        <v>120</v>
      </c>
      <c r="P673" s="9" t="s">
        <v>37</v>
      </c>
      <c r="Q673" s="5">
        <v>1</v>
      </c>
      <c r="R673" s="5">
        <v>3</v>
      </c>
      <c r="S673" s="5">
        <v>1797</v>
      </c>
      <c r="T673" s="10" t="s">
        <v>30</v>
      </c>
      <c r="U673" t="str">
        <f>IF(OR(E673&lt;'Q1'!$E$13,E673&gt;'Q1'!$E$14),"Outliers","Not an Outliers")</f>
        <v>Not an Outliers</v>
      </c>
      <c r="V673" t="str">
        <f t="shared" si="10"/>
        <v>Weekend</v>
      </c>
    </row>
    <row r="674" spans="1:22" x14ac:dyDescent="0.3">
      <c r="A674" s="23">
        <v>45549</v>
      </c>
      <c r="B674" s="7" t="s">
        <v>77</v>
      </c>
      <c r="C674" s="7" t="s">
        <v>45</v>
      </c>
      <c r="D674" s="7" t="s">
        <v>33</v>
      </c>
      <c r="E674" s="4">
        <v>3477</v>
      </c>
      <c r="F674" s="4" t="b">
        <v>0</v>
      </c>
      <c r="G674" s="7" t="s">
        <v>40</v>
      </c>
      <c r="H674" s="7" t="s">
        <v>35</v>
      </c>
      <c r="I674" s="7" t="s">
        <v>59</v>
      </c>
      <c r="J674" s="7" t="s">
        <v>54</v>
      </c>
      <c r="K674" s="4">
        <v>4</v>
      </c>
      <c r="L674" s="7" t="s">
        <v>49</v>
      </c>
      <c r="M674" s="7" t="s">
        <v>58</v>
      </c>
      <c r="N674" s="4" t="b">
        <v>1</v>
      </c>
      <c r="O674" s="4">
        <v>43</v>
      </c>
      <c r="P674" s="7" t="s">
        <v>63</v>
      </c>
      <c r="Q674" s="4">
        <v>8</v>
      </c>
      <c r="R674" s="4">
        <v>1</v>
      </c>
      <c r="S674" s="4">
        <v>2887</v>
      </c>
      <c r="T674" s="8" t="s">
        <v>51</v>
      </c>
      <c r="U674" t="str">
        <f>IF(OR(E674&lt;'Q1'!$E$13,E674&gt;'Q1'!$E$14),"Outliers","Not an Outliers")</f>
        <v>Not an Outliers</v>
      </c>
      <c r="V674" t="str">
        <f t="shared" si="10"/>
        <v>Weekend</v>
      </c>
    </row>
    <row r="675" spans="1:22" x14ac:dyDescent="0.3">
      <c r="A675" s="24">
        <v>45550</v>
      </c>
      <c r="B675" s="9" t="s">
        <v>76</v>
      </c>
      <c r="C675" s="9" t="s">
        <v>60</v>
      </c>
      <c r="D675" s="9" t="s">
        <v>33</v>
      </c>
      <c r="E675" s="5">
        <v>4298</v>
      </c>
      <c r="F675" s="5" t="b">
        <v>0</v>
      </c>
      <c r="G675" s="9" t="s">
        <v>40</v>
      </c>
      <c r="H675" s="9" t="s">
        <v>35</v>
      </c>
      <c r="I675" s="9" t="s">
        <v>25</v>
      </c>
      <c r="J675" s="9" t="s">
        <v>54</v>
      </c>
      <c r="K675" s="5">
        <v>1</v>
      </c>
      <c r="L675" s="9" t="s">
        <v>36</v>
      </c>
      <c r="M675" s="9" t="s">
        <v>66</v>
      </c>
      <c r="N675" s="5" t="b">
        <v>1</v>
      </c>
      <c r="O675" s="5">
        <v>55</v>
      </c>
      <c r="P675" s="9" t="s">
        <v>29</v>
      </c>
      <c r="Q675" s="5">
        <v>10</v>
      </c>
      <c r="R675" s="5">
        <v>3</v>
      </c>
      <c r="S675" s="5">
        <v>2028</v>
      </c>
      <c r="T675" s="10" t="s">
        <v>51</v>
      </c>
      <c r="U675" t="str">
        <f>IF(OR(E675&lt;'Q1'!$E$13,E675&gt;'Q1'!$E$14),"Outliers","Not an Outliers")</f>
        <v>Not an Outliers</v>
      </c>
      <c r="V675" t="str">
        <f t="shared" si="10"/>
        <v>Weekend</v>
      </c>
    </row>
    <row r="676" spans="1:22" x14ac:dyDescent="0.3">
      <c r="A676" s="23">
        <v>45550</v>
      </c>
      <c r="B676" s="7" t="s">
        <v>68</v>
      </c>
      <c r="C676" s="7" t="s">
        <v>21</v>
      </c>
      <c r="D676" s="7" t="s">
        <v>57</v>
      </c>
      <c r="E676" s="4">
        <v>1000</v>
      </c>
      <c r="F676" s="4" t="b">
        <v>0</v>
      </c>
      <c r="G676" s="7" t="s">
        <v>34</v>
      </c>
      <c r="H676" s="7" t="s">
        <v>70</v>
      </c>
      <c r="I676" s="7" t="s">
        <v>47</v>
      </c>
      <c r="J676" s="7" t="s">
        <v>48</v>
      </c>
      <c r="K676" s="4">
        <v>5</v>
      </c>
      <c r="L676" s="7" t="s">
        <v>49</v>
      </c>
      <c r="M676" s="7" t="s">
        <v>28</v>
      </c>
      <c r="N676" s="4" t="b">
        <v>0</v>
      </c>
      <c r="O676" s="4">
        <v>77</v>
      </c>
      <c r="P676" s="7" t="s">
        <v>37</v>
      </c>
      <c r="Q676" s="4">
        <v>8</v>
      </c>
      <c r="R676" s="4">
        <v>3</v>
      </c>
      <c r="S676" s="4">
        <v>886</v>
      </c>
      <c r="T676" s="8" t="s">
        <v>30</v>
      </c>
      <c r="U676" t="str">
        <f>IF(OR(E676&lt;'Q1'!$E$13,E676&gt;'Q1'!$E$14),"Outliers","Not an Outliers")</f>
        <v>Not an Outliers</v>
      </c>
      <c r="V676" t="str">
        <f t="shared" si="10"/>
        <v>Weekend</v>
      </c>
    </row>
    <row r="677" spans="1:22" x14ac:dyDescent="0.3">
      <c r="A677" s="24">
        <v>45550</v>
      </c>
      <c r="B677" s="9" t="s">
        <v>44</v>
      </c>
      <c r="C677" s="9" t="s">
        <v>60</v>
      </c>
      <c r="D677" s="9" t="s">
        <v>61</v>
      </c>
      <c r="E677" s="5">
        <v>1000</v>
      </c>
      <c r="F677" s="5" t="b">
        <v>0</v>
      </c>
      <c r="G677" s="9" t="s">
        <v>65</v>
      </c>
      <c r="H677" s="9" t="s">
        <v>35</v>
      </c>
      <c r="I677" s="9" t="s">
        <v>25</v>
      </c>
      <c r="J677" s="9" t="s">
        <v>43</v>
      </c>
      <c r="K677" s="5">
        <v>2</v>
      </c>
      <c r="L677" s="9" t="s">
        <v>27</v>
      </c>
      <c r="M677" s="9" t="s">
        <v>73</v>
      </c>
      <c r="N677" s="5" t="b">
        <v>0</v>
      </c>
      <c r="O677" s="5">
        <v>14</v>
      </c>
      <c r="P677" s="9" t="s">
        <v>50</v>
      </c>
      <c r="Q677" s="5">
        <v>6</v>
      </c>
      <c r="R677" s="5">
        <v>3</v>
      </c>
      <c r="S677" s="5">
        <v>4150</v>
      </c>
      <c r="T677" s="10" t="s">
        <v>30</v>
      </c>
      <c r="U677" t="str">
        <f>IF(OR(E677&lt;'Q1'!$E$13,E677&gt;'Q1'!$E$14),"Outliers","Not an Outliers")</f>
        <v>Not an Outliers</v>
      </c>
      <c r="V677" t="str">
        <f t="shared" si="10"/>
        <v>Weekend</v>
      </c>
    </row>
    <row r="678" spans="1:22" x14ac:dyDescent="0.3">
      <c r="A678" s="23">
        <v>45550</v>
      </c>
      <c r="B678" s="7" t="s">
        <v>62</v>
      </c>
      <c r="C678" s="7" t="s">
        <v>60</v>
      </c>
      <c r="D678" s="7" t="s">
        <v>61</v>
      </c>
      <c r="E678" s="4">
        <v>1000</v>
      </c>
      <c r="F678" s="4" t="b">
        <v>1</v>
      </c>
      <c r="G678" s="7" t="s">
        <v>40</v>
      </c>
      <c r="H678" s="7" t="s">
        <v>70</v>
      </c>
      <c r="I678" s="7" t="s">
        <v>25</v>
      </c>
      <c r="J678" s="7" t="s">
        <v>26</v>
      </c>
      <c r="K678" s="4">
        <v>1</v>
      </c>
      <c r="L678" s="7" t="s">
        <v>27</v>
      </c>
      <c r="M678" s="7" t="s">
        <v>58</v>
      </c>
      <c r="N678" s="4" t="b">
        <v>1</v>
      </c>
      <c r="O678" s="4">
        <v>26</v>
      </c>
      <c r="P678" s="7" t="s">
        <v>67</v>
      </c>
      <c r="Q678" s="4">
        <v>5</v>
      </c>
      <c r="R678" s="4">
        <v>2</v>
      </c>
      <c r="S678" s="4">
        <v>2807</v>
      </c>
      <c r="T678" s="8" t="s">
        <v>38</v>
      </c>
      <c r="U678" t="str">
        <f>IF(OR(E678&lt;'Q1'!$E$13,E678&gt;'Q1'!$E$14),"Outliers","Not an Outliers")</f>
        <v>Not an Outliers</v>
      </c>
      <c r="V678" t="str">
        <f t="shared" si="10"/>
        <v>Weekend</v>
      </c>
    </row>
    <row r="679" spans="1:22" x14ac:dyDescent="0.3">
      <c r="A679" s="24">
        <v>45551</v>
      </c>
      <c r="B679" s="9" t="s">
        <v>55</v>
      </c>
      <c r="C679" s="9" t="s">
        <v>32</v>
      </c>
      <c r="D679" s="9" t="s">
        <v>46</v>
      </c>
      <c r="E679" s="5">
        <v>3556</v>
      </c>
      <c r="F679" s="5" t="b">
        <v>0</v>
      </c>
      <c r="G679" s="9" t="s">
        <v>65</v>
      </c>
      <c r="H679" s="9" t="s">
        <v>41</v>
      </c>
      <c r="I679" s="9" t="s">
        <v>47</v>
      </c>
      <c r="J679" s="9" t="s">
        <v>48</v>
      </c>
      <c r="K679" s="5">
        <v>1</v>
      </c>
      <c r="L679" s="9" t="s">
        <v>36</v>
      </c>
      <c r="M679" s="9" t="s">
        <v>28</v>
      </c>
      <c r="N679" s="5" t="b">
        <v>1</v>
      </c>
      <c r="O679" s="5">
        <v>27</v>
      </c>
      <c r="P679" s="9" t="s">
        <v>37</v>
      </c>
      <c r="Q679" s="5">
        <v>1</v>
      </c>
      <c r="R679" s="5">
        <v>3</v>
      </c>
      <c r="S679" s="5">
        <v>1123</v>
      </c>
      <c r="T679" s="10" t="s">
        <v>38</v>
      </c>
      <c r="U679" t="str">
        <f>IF(OR(E679&lt;'Q1'!$E$13,E679&gt;'Q1'!$E$14),"Outliers","Not an Outliers")</f>
        <v>Not an Outliers</v>
      </c>
      <c r="V679" t="str">
        <f t="shared" si="10"/>
        <v>Weekday</v>
      </c>
    </row>
    <row r="680" spans="1:22" x14ac:dyDescent="0.3">
      <c r="A680" s="23">
        <v>45552</v>
      </c>
      <c r="B680" s="7" t="s">
        <v>72</v>
      </c>
      <c r="C680" s="7" t="s">
        <v>45</v>
      </c>
      <c r="D680" s="7" t="s">
        <v>22</v>
      </c>
      <c r="E680" s="4">
        <v>7930</v>
      </c>
      <c r="F680" s="4" t="b">
        <v>1</v>
      </c>
      <c r="G680" s="7" t="s">
        <v>64</v>
      </c>
      <c r="H680" s="7" t="s">
        <v>35</v>
      </c>
      <c r="I680" s="7" t="s">
        <v>42</v>
      </c>
      <c r="J680" s="7" t="s">
        <v>48</v>
      </c>
      <c r="K680" s="4">
        <v>2</v>
      </c>
      <c r="L680" s="7" t="s">
        <v>36</v>
      </c>
      <c r="M680" s="7" t="s">
        <v>66</v>
      </c>
      <c r="N680" s="4" t="b">
        <v>0</v>
      </c>
      <c r="O680" s="4">
        <v>72</v>
      </c>
      <c r="P680" s="7" t="s">
        <v>50</v>
      </c>
      <c r="Q680" s="4">
        <v>5</v>
      </c>
      <c r="R680" s="4">
        <v>1</v>
      </c>
      <c r="S680" s="4">
        <v>3870</v>
      </c>
      <c r="T680" s="8" t="s">
        <v>38</v>
      </c>
      <c r="U680" t="str">
        <f>IF(OR(E680&lt;'Q1'!$E$13,E680&gt;'Q1'!$E$14),"Outliers","Not an Outliers")</f>
        <v>Not an Outliers</v>
      </c>
      <c r="V680" t="str">
        <f t="shared" si="10"/>
        <v>Weekday</v>
      </c>
    </row>
    <row r="681" spans="1:22" x14ac:dyDescent="0.3">
      <c r="A681" s="24">
        <v>45552</v>
      </c>
      <c r="B681" s="9" t="s">
        <v>75</v>
      </c>
      <c r="C681" s="9" t="s">
        <v>45</v>
      </c>
      <c r="D681" s="9" t="s">
        <v>53</v>
      </c>
      <c r="E681" s="5">
        <v>6029</v>
      </c>
      <c r="F681" s="5" t="b">
        <v>0</v>
      </c>
      <c r="G681" s="9" t="s">
        <v>23</v>
      </c>
      <c r="H681" s="9" t="s">
        <v>24</v>
      </c>
      <c r="I681" s="9" t="s">
        <v>25</v>
      </c>
      <c r="J681" s="9" t="s">
        <v>48</v>
      </c>
      <c r="K681" s="5">
        <v>5</v>
      </c>
      <c r="L681" s="9" t="s">
        <v>49</v>
      </c>
      <c r="M681" s="9" t="s">
        <v>73</v>
      </c>
      <c r="N681" s="5" t="b">
        <v>1</v>
      </c>
      <c r="O681" s="5">
        <v>3</v>
      </c>
      <c r="P681" s="9" t="s">
        <v>37</v>
      </c>
      <c r="Q681" s="5">
        <v>8</v>
      </c>
      <c r="R681" s="5">
        <v>3</v>
      </c>
      <c r="S681" s="5">
        <v>4799</v>
      </c>
      <c r="T681" s="10" t="s">
        <v>30</v>
      </c>
      <c r="U681" t="str">
        <f>IF(OR(E681&lt;'Q1'!$E$13,E681&gt;'Q1'!$E$14),"Outliers","Not an Outliers")</f>
        <v>Not an Outliers</v>
      </c>
      <c r="V681" t="str">
        <f t="shared" si="10"/>
        <v>Weekday</v>
      </c>
    </row>
    <row r="682" spans="1:22" x14ac:dyDescent="0.3">
      <c r="A682" s="23">
        <v>45553</v>
      </c>
      <c r="B682" s="7" t="s">
        <v>52</v>
      </c>
      <c r="C682" s="7" t="s">
        <v>56</v>
      </c>
      <c r="D682" s="7" t="s">
        <v>57</v>
      </c>
      <c r="E682" s="4">
        <v>1000</v>
      </c>
      <c r="F682" s="4" t="b">
        <v>1</v>
      </c>
      <c r="G682" s="7" t="s">
        <v>23</v>
      </c>
      <c r="H682" s="7" t="s">
        <v>70</v>
      </c>
      <c r="I682" s="7" t="s">
        <v>59</v>
      </c>
      <c r="J682" s="7" t="s">
        <v>26</v>
      </c>
      <c r="K682" s="4">
        <v>5</v>
      </c>
      <c r="L682" s="7" t="s">
        <v>36</v>
      </c>
      <c r="M682" s="7" t="s">
        <v>28</v>
      </c>
      <c r="N682" s="4" t="b">
        <v>0</v>
      </c>
      <c r="O682" s="4">
        <v>72</v>
      </c>
      <c r="P682" s="7" t="s">
        <v>29</v>
      </c>
      <c r="Q682" s="4">
        <v>7</v>
      </c>
      <c r="R682" s="4">
        <v>1</v>
      </c>
      <c r="S682" s="4">
        <v>3378</v>
      </c>
      <c r="T682" s="8" t="s">
        <v>51</v>
      </c>
      <c r="U682" t="str">
        <f>IF(OR(E682&lt;'Q1'!$E$13,E682&gt;'Q1'!$E$14),"Outliers","Not an Outliers")</f>
        <v>Not an Outliers</v>
      </c>
      <c r="V682" t="str">
        <f t="shared" si="10"/>
        <v>Weekday</v>
      </c>
    </row>
    <row r="683" spans="1:22" x14ac:dyDescent="0.3">
      <c r="A683" s="24">
        <v>45553</v>
      </c>
      <c r="B683" s="9" t="s">
        <v>69</v>
      </c>
      <c r="C683" s="9" t="s">
        <v>21</v>
      </c>
      <c r="D683" s="9" t="s">
        <v>53</v>
      </c>
      <c r="E683" s="5">
        <v>2234</v>
      </c>
      <c r="F683" s="5" t="b">
        <v>0</v>
      </c>
      <c r="G683" s="9" t="s">
        <v>40</v>
      </c>
      <c r="H683" s="9" t="s">
        <v>35</v>
      </c>
      <c r="I683" s="9" t="s">
        <v>25</v>
      </c>
      <c r="J683" s="9" t="s">
        <v>48</v>
      </c>
      <c r="K683" s="5">
        <v>5</v>
      </c>
      <c r="L683" s="9" t="s">
        <v>36</v>
      </c>
      <c r="M683" s="9" t="s">
        <v>66</v>
      </c>
      <c r="N683" s="5" t="b">
        <v>1</v>
      </c>
      <c r="O683" s="5">
        <v>110</v>
      </c>
      <c r="P683" s="9" t="s">
        <v>29</v>
      </c>
      <c r="Q683" s="5">
        <v>1</v>
      </c>
      <c r="R683" s="5">
        <v>2</v>
      </c>
      <c r="S683" s="5">
        <v>3984</v>
      </c>
      <c r="T683" s="10" t="s">
        <v>51</v>
      </c>
      <c r="U683" t="str">
        <f>IF(OR(E683&lt;'Q1'!$E$13,E683&gt;'Q1'!$E$14),"Outliers","Not an Outliers")</f>
        <v>Not an Outliers</v>
      </c>
      <c r="V683" t="str">
        <f t="shared" si="10"/>
        <v>Weekday</v>
      </c>
    </row>
    <row r="684" spans="1:22" x14ac:dyDescent="0.3">
      <c r="A684" s="23">
        <v>45553</v>
      </c>
      <c r="B684" s="7" t="s">
        <v>68</v>
      </c>
      <c r="C684" s="7" t="s">
        <v>60</v>
      </c>
      <c r="D684" s="7" t="s">
        <v>61</v>
      </c>
      <c r="E684" s="4">
        <v>1000</v>
      </c>
      <c r="F684" s="4" t="b">
        <v>0</v>
      </c>
      <c r="G684" s="7" t="s">
        <v>34</v>
      </c>
      <c r="H684" s="7" t="s">
        <v>24</v>
      </c>
      <c r="I684" s="7" t="s">
        <v>42</v>
      </c>
      <c r="J684" s="7" t="s">
        <v>26</v>
      </c>
      <c r="K684" s="4">
        <v>1</v>
      </c>
      <c r="L684" s="7" t="s">
        <v>49</v>
      </c>
      <c r="M684" s="7" t="s">
        <v>28</v>
      </c>
      <c r="N684" s="4" t="b">
        <v>0</v>
      </c>
      <c r="O684" s="4">
        <v>73</v>
      </c>
      <c r="P684" s="7" t="s">
        <v>29</v>
      </c>
      <c r="Q684" s="4">
        <v>1</v>
      </c>
      <c r="R684" s="4">
        <v>3</v>
      </c>
      <c r="S684" s="4">
        <v>912</v>
      </c>
      <c r="T684" s="8" t="s">
        <v>38</v>
      </c>
      <c r="U684" t="str">
        <f>IF(OR(E684&lt;'Q1'!$E$13,E684&gt;'Q1'!$E$14),"Outliers","Not an Outliers")</f>
        <v>Not an Outliers</v>
      </c>
      <c r="V684" t="str">
        <f t="shared" si="10"/>
        <v>Weekday</v>
      </c>
    </row>
    <row r="685" spans="1:22" x14ac:dyDescent="0.3">
      <c r="A685" s="24">
        <v>45555</v>
      </c>
      <c r="B685" s="9" t="s">
        <v>74</v>
      </c>
      <c r="C685" s="9" t="s">
        <v>60</v>
      </c>
      <c r="D685" s="9" t="s">
        <v>53</v>
      </c>
      <c r="E685" s="5">
        <v>4983</v>
      </c>
      <c r="F685" s="5" t="b">
        <v>1</v>
      </c>
      <c r="G685" s="9" t="s">
        <v>64</v>
      </c>
      <c r="H685" s="9" t="s">
        <v>70</v>
      </c>
      <c r="I685" s="9" t="s">
        <v>42</v>
      </c>
      <c r="J685" s="9" t="s">
        <v>43</v>
      </c>
      <c r="K685" s="5">
        <v>1</v>
      </c>
      <c r="L685" s="9" t="s">
        <v>27</v>
      </c>
      <c r="M685" s="9" t="s">
        <v>28</v>
      </c>
      <c r="N685" s="5" t="b">
        <v>0</v>
      </c>
      <c r="O685" s="5">
        <v>34</v>
      </c>
      <c r="P685" s="9" t="s">
        <v>50</v>
      </c>
      <c r="Q685" s="5">
        <v>10</v>
      </c>
      <c r="R685" s="5">
        <v>3</v>
      </c>
      <c r="S685" s="5">
        <v>1021</v>
      </c>
      <c r="T685" s="10" t="s">
        <v>51</v>
      </c>
      <c r="U685" t="str">
        <f>IF(OR(E685&lt;'Q1'!$E$13,E685&gt;'Q1'!$E$14),"Outliers","Not an Outliers")</f>
        <v>Not an Outliers</v>
      </c>
      <c r="V685" t="str">
        <f t="shared" si="10"/>
        <v>Weekday</v>
      </c>
    </row>
    <row r="686" spans="1:22" x14ac:dyDescent="0.3">
      <c r="A686" s="23">
        <v>45555</v>
      </c>
      <c r="B686" s="7" t="s">
        <v>55</v>
      </c>
      <c r="C686" s="7" t="s">
        <v>56</v>
      </c>
      <c r="D686" s="7" t="s">
        <v>33</v>
      </c>
      <c r="E686" s="4">
        <v>4873</v>
      </c>
      <c r="F686" s="4" t="b">
        <v>0</v>
      </c>
      <c r="G686" s="7" t="s">
        <v>64</v>
      </c>
      <c r="H686" s="7" t="s">
        <v>70</v>
      </c>
      <c r="I686" s="7" t="s">
        <v>47</v>
      </c>
      <c r="J686" s="7" t="s">
        <v>48</v>
      </c>
      <c r="K686" s="4">
        <v>12</v>
      </c>
      <c r="L686" s="7" t="s">
        <v>27</v>
      </c>
      <c r="M686" s="7" t="s">
        <v>28</v>
      </c>
      <c r="N686" s="4" t="b">
        <v>1</v>
      </c>
      <c r="O686" s="4">
        <v>42</v>
      </c>
      <c r="P686" s="7" t="s">
        <v>63</v>
      </c>
      <c r="Q686" s="4">
        <v>2</v>
      </c>
      <c r="R686" s="4">
        <v>2</v>
      </c>
      <c r="S686" s="4">
        <v>3044</v>
      </c>
      <c r="T686" s="8" t="s">
        <v>51</v>
      </c>
      <c r="U686" t="str">
        <f>IF(OR(E686&lt;'Q1'!$E$13,E686&gt;'Q1'!$E$14),"Outliers","Not an Outliers")</f>
        <v>Not an Outliers</v>
      </c>
      <c r="V686" t="str">
        <f t="shared" si="10"/>
        <v>Weekday</v>
      </c>
    </row>
    <row r="687" spans="1:22" x14ac:dyDescent="0.3">
      <c r="A687" s="24">
        <v>45555</v>
      </c>
      <c r="B687" s="9" t="s">
        <v>68</v>
      </c>
      <c r="C687" s="9" t="s">
        <v>56</v>
      </c>
      <c r="D687" s="9" t="s">
        <v>57</v>
      </c>
      <c r="E687" s="5">
        <v>1000</v>
      </c>
      <c r="F687" s="5" t="b">
        <v>0</v>
      </c>
      <c r="G687" s="9" t="s">
        <v>34</v>
      </c>
      <c r="H687" s="9" t="s">
        <v>41</v>
      </c>
      <c r="I687" s="9" t="s">
        <v>47</v>
      </c>
      <c r="J687" s="9" t="s">
        <v>43</v>
      </c>
      <c r="K687" s="5">
        <v>5</v>
      </c>
      <c r="L687" s="9" t="s">
        <v>36</v>
      </c>
      <c r="M687" s="9" t="s">
        <v>66</v>
      </c>
      <c r="N687" s="5" t="b">
        <v>1</v>
      </c>
      <c r="O687" s="5">
        <v>43</v>
      </c>
      <c r="P687" s="9" t="s">
        <v>63</v>
      </c>
      <c r="Q687" s="5">
        <v>5</v>
      </c>
      <c r="R687" s="5">
        <v>1</v>
      </c>
      <c r="S687" s="5">
        <v>1659</v>
      </c>
      <c r="T687" s="10" t="s">
        <v>30</v>
      </c>
      <c r="U687" t="str">
        <f>IF(OR(E687&lt;'Q1'!$E$13,E687&gt;'Q1'!$E$14),"Outliers","Not an Outliers")</f>
        <v>Not an Outliers</v>
      </c>
      <c r="V687" t="str">
        <f t="shared" si="10"/>
        <v>Weekday</v>
      </c>
    </row>
    <row r="688" spans="1:22" x14ac:dyDescent="0.3">
      <c r="A688" s="23">
        <v>45555</v>
      </c>
      <c r="B688" s="7" t="s">
        <v>39</v>
      </c>
      <c r="C688" s="7" t="s">
        <v>56</v>
      </c>
      <c r="D688" s="7" t="s">
        <v>22</v>
      </c>
      <c r="E688" s="4">
        <v>29000</v>
      </c>
      <c r="F688" s="4" t="b">
        <v>1</v>
      </c>
      <c r="G688" s="7" t="s">
        <v>34</v>
      </c>
      <c r="H688" s="7" t="s">
        <v>35</v>
      </c>
      <c r="I688" s="7" t="s">
        <v>42</v>
      </c>
      <c r="J688" s="7" t="s">
        <v>26</v>
      </c>
      <c r="K688" s="4">
        <v>3</v>
      </c>
      <c r="L688" s="7" t="s">
        <v>36</v>
      </c>
      <c r="M688" s="7" t="s">
        <v>58</v>
      </c>
      <c r="N688" s="4" t="b">
        <v>0</v>
      </c>
      <c r="O688" s="4">
        <v>10</v>
      </c>
      <c r="P688" s="7" t="s">
        <v>67</v>
      </c>
      <c r="Q688" s="4">
        <v>3</v>
      </c>
      <c r="R688" s="4">
        <v>3</v>
      </c>
      <c r="S688" s="4">
        <v>3491</v>
      </c>
      <c r="T688" s="8" t="s">
        <v>30</v>
      </c>
      <c r="U688" t="str">
        <f>IF(OR(E688&lt;'Q1'!$E$13,E688&gt;'Q1'!$E$14),"Outliers","Not an Outliers")</f>
        <v>Outliers</v>
      </c>
      <c r="V688" t="str">
        <f t="shared" si="10"/>
        <v>Weekday</v>
      </c>
    </row>
    <row r="689" spans="1:22" x14ac:dyDescent="0.3">
      <c r="A689" s="24">
        <v>45556</v>
      </c>
      <c r="B689" s="9" t="s">
        <v>62</v>
      </c>
      <c r="C689" s="9" t="s">
        <v>45</v>
      </c>
      <c r="D689" s="9" t="s">
        <v>57</v>
      </c>
      <c r="E689" s="5">
        <v>1000</v>
      </c>
      <c r="F689" s="5" t="b">
        <v>0</v>
      </c>
      <c r="G689" s="9" t="s">
        <v>40</v>
      </c>
      <c r="H689" s="9" t="s">
        <v>41</v>
      </c>
      <c r="I689" s="9" t="s">
        <v>25</v>
      </c>
      <c r="J689" s="9" t="s">
        <v>26</v>
      </c>
      <c r="K689" s="5">
        <v>3</v>
      </c>
      <c r="L689" s="9" t="s">
        <v>49</v>
      </c>
      <c r="M689" s="9" t="s">
        <v>58</v>
      </c>
      <c r="N689" s="5" t="b">
        <v>1</v>
      </c>
      <c r="O689" s="5">
        <v>48</v>
      </c>
      <c r="P689" s="9" t="s">
        <v>63</v>
      </c>
      <c r="Q689" s="5">
        <v>3</v>
      </c>
      <c r="R689" s="5">
        <v>1</v>
      </c>
      <c r="S689" s="5">
        <v>4468</v>
      </c>
      <c r="T689" s="10" t="s">
        <v>51</v>
      </c>
      <c r="U689" t="str">
        <f>IF(OR(E689&lt;'Q1'!$E$13,E689&gt;'Q1'!$E$14),"Outliers","Not an Outliers")</f>
        <v>Not an Outliers</v>
      </c>
      <c r="V689" t="str">
        <f t="shared" si="10"/>
        <v>Weekend</v>
      </c>
    </row>
    <row r="690" spans="1:22" x14ac:dyDescent="0.3">
      <c r="A690" s="23">
        <v>45556</v>
      </c>
      <c r="B690" s="7" t="s">
        <v>74</v>
      </c>
      <c r="C690" s="7" t="s">
        <v>56</v>
      </c>
      <c r="D690" s="7" t="s">
        <v>46</v>
      </c>
      <c r="E690" s="4">
        <v>2284</v>
      </c>
      <c r="F690" s="4" t="b">
        <v>1</v>
      </c>
      <c r="G690" s="7" t="s">
        <v>64</v>
      </c>
      <c r="H690" s="7" t="s">
        <v>35</v>
      </c>
      <c r="I690" s="7" t="s">
        <v>42</v>
      </c>
      <c r="J690" s="7" t="s">
        <v>54</v>
      </c>
      <c r="K690" s="4">
        <v>2</v>
      </c>
      <c r="L690" s="7" t="s">
        <v>27</v>
      </c>
      <c r="M690" s="7" t="s">
        <v>73</v>
      </c>
      <c r="N690" s="4" t="b">
        <v>1</v>
      </c>
      <c r="O690" s="4">
        <v>100</v>
      </c>
      <c r="P690" s="7" t="s">
        <v>63</v>
      </c>
      <c r="Q690" s="4">
        <v>3</v>
      </c>
      <c r="R690" s="4">
        <v>3</v>
      </c>
      <c r="S690" s="4">
        <v>2157</v>
      </c>
      <c r="T690" s="8" t="s">
        <v>51</v>
      </c>
      <c r="U690" t="str">
        <f>IF(OR(E690&lt;'Q1'!$E$13,E690&gt;'Q1'!$E$14),"Outliers","Not an Outliers")</f>
        <v>Not an Outliers</v>
      </c>
      <c r="V690" t="str">
        <f t="shared" si="10"/>
        <v>Weekend</v>
      </c>
    </row>
    <row r="691" spans="1:22" x14ac:dyDescent="0.3">
      <c r="A691" s="24">
        <v>45556</v>
      </c>
      <c r="B691" s="9" t="s">
        <v>52</v>
      </c>
      <c r="C691" s="9" t="s">
        <v>60</v>
      </c>
      <c r="D691" s="9" t="s">
        <v>33</v>
      </c>
      <c r="E691" s="5">
        <v>3490</v>
      </c>
      <c r="F691" s="5" t="b">
        <v>0</v>
      </c>
      <c r="G691" s="9" t="s">
        <v>64</v>
      </c>
      <c r="H691" s="9" t="s">
        <v>24</v>
      </c>
      <c r="I691" s="9" t="s">
        <v>25</v>
      </c>
      <c r="J691" s="9" t="s">
        <v>43</v>
      </c>
      <c r="K691" s="5">
        <v>1</v>
      </c>
      <c r="L691" s="9" t="s">
        <v>36</v>
      </c>
      <c r="M691" s="9" t="s">
        <v>73</v>
      </c>
      <c r="N691" s="5" t="b">
        <v>0</v>
      </c>
      <c r="O691" s="5">
        <v>89</v>
      </c>
      <c r="P691" s="9" t="s">
        <v>63</v>
      </c>
      <c r="Q691" s="5">
        <v>8</v>
      </c>
      <c r="R691" s="5">
        <v>1</v>
      </c>
      <c r="S691" s="5">
        <v>2396</v>
      </c>
      <c r="T691" s="10" t="s">
        <v>30</v>
      </c>
      <c r="U691" t="str">
        <f>IF(OR(E691&lt;'Q1'!$E$13,E691&gt;'Q1'!$E$14),"Outliers","Not an Outliers")</f>
        <v>Not an Outliers</v>
      </c>
      <c r="V691" t="str">
        <f t="shared" si="10"/>
        <v>Weekend</v>
      </c>
    </row>
    <row r="692" spans="1:22" x14ac:dyDescent="0.3">
      <c r="A692" s="23">
        <v>45556</v>
      </c>
      <c r="B692" s="7" t="s">
        <v>44</v>
      </c>
      <c r="C692" s="7" t="s">
        <v>60</v>
      </c>
      <c r="D692" s="7" t="s">
        <v>61</v>
      </c>
      <c r="E692" s="4">
        <v>1000</v>
      </c>
      <c r="F692" s="4" t="b">
        <v>0</v>
      </c>
      <c r="G692" s="7" t="s">
        <v>64</v>
      </c>
      <c r="H692" s="7" t="s">
        <v>41</v>
      </c>
      <c r="I692" s="7" t="s">
        <v>59</v>
      </c>
      <c r="J692" s="7" t="s">
        <v>43</v>
      </c>
      <c r="K692" s="4">
        <v>2</v>
      </c>
      <c r="L692" s="7" t="s">
        <v>27</v>
      </c>
      <c r="M692" s="7" t="s">
        <v>28</v>
      </c>
      <c r="N692" s="4" t="b">
        <v>1</v>
      </c>
      <c r="O692" s="4">
        <v>0</v>
      </c>
      <c r="P692" s="7" t="s">
        <v>67</v>
      </c>
      <c r="Q692" s="4">
        <v>4</v>
      </c>
      <c r="R692" s="4">
        <v>3</v>
      </c>
      <c r="S692" s="4">
        <v>2647</v>
      </c>
      <c r="T692" s="8" t="s">
        <v>51</v>
      </c>
      <c r="U692" t="str">
        <f>IF(OR(E692&lt;'Q1'!$E$13,E692&gt;'Q1'!$E$14),"Outliers","Not an Outliers")</f>
        <v>Not an Outliers</v>
      </c>
      <c r="V692" t="str">
        <f t="shared" si="10"/>
        <v>Weekend</v>
      </c>
    </row>
    <row r="693" spans="1:22" x14ac:dyDescent="0.3">
      <c r="A693" s="24">
        <v>45556</v>
      </c>
      <c r="B693" s="9" t="s">
        <v>75</v>
      </c>
      <c r="C693" s="9" t="s">
        <v>60</v>
      </c>
      <c r="D693" s="9" t="s">
        <v>61</v>
      </c>
      <c r="E693" s="5">
        <v>1000</v>
      </c>
      <c r="F693" s="5" t="b">
        <v>0</v>
      </c>
      <c r="G693" s="9" t="s">
        <v>34</v>
      </c>
      <c r="H693" s="9" t="s">
        <v>70</v>
      </c>
      <c r="I693" s="9" t="s">
        <v>59</v>
      </c>
      <c r="J693" s="9" t="s">
        <v>43</v>
      </c>
      <c r="K693" s="5">
        <v>1</v>
      </c>
      <c r="L693" s="9" t="s">
        <v>49</v>
      </c>
      <c r="M693" s="9" t="s">
        <v>73</v>
      </c>
      <c r="N693" s="5" t="b">
        <v>0</v>
      </c>
      <c r="O693" s="5">
        <v>30</v>
      </c>
      <c r="P693" s="9" t="s">
        <v>63</v>
      </c>
      <c r="Q693" s="5">
        <v>2</v>
      </c>
      <c r="R693" s="5">
        <v>2</v>
      </c>
      <c r="S693" s="5">
        <v>3588</v>
      </c>
      <c r="T693" s="10" t="s">
        <v>38</v>
      </c>
      <c r="U693" t="str">
        <f>IF(OR(E693&lt;'Q1'!$E$13,E693&gt;'Q1'!$E$14),"Outliers","Not an Outliers")</f>
        <v>Not an Outliers</v>
      </c>
      <c r="V693" t="str">
        <f t="shared" si="10"/>
        <v>Weekend</v>
      </c>
    </row>
    <row r="694" spans="1:22" x14ac:dyDescent="0.3">
      <c r="A694" s="23">
        <v>45556</v>
      </c>
      <c r="B694" s="7" t="s">
        <v>39</v>
      </c>
      <c r="C694" s="7" t="s">
        <v>56</v>
      </c>
      <c r="D694" s="7" t="s">
        <v>57</v>
      </c>
      <c r="E694" s="4">
        <v>1000</v>
      </c>
      <c r="F694" s="4" t="b">
        <v>0</v>
      </c>
      <c r="G694" s="7" t="s">
        <v>34</v>
      </c>
      <c r="H694" s="7" t="s">
        <v>24</v>
      </c>
      <c r="I694" s="7" t="s">
        <v>59</v>
      </c>
      <c r="J694" s="7" t="s">
        <v>43</v>
      </c>
      <c r="K694" s="4">
        <v>1</v>
      </c>
      <c r="L694" s="7" t="s">
        <v>27</v>
      </c>
      <c r="M694" s="7" t="s">
        <v>28</v>
      </c>
      <c r="N694" s="4" t="b">
        <v>0</v>
      </c>
      <c r="O694" s="4">
        <v>28</v>
      </c>
      <c r="P694" s="7" t="s">
        <v>63</v>
      </c>
      <c r="Q694" s="4">
        <v>7</v>
      </c>
      <c r="R694" s="4">
        <v>1</v>
      </c>
      <c r="S694" s="4">
        <v>3341</v>
      </c>
      <c r="T694" s="8" t="s">
        <v>30</v>
      </c>
      <c r="U694" t="str">
        <f>IF(OR(E694&lt;'Q1'!$E$13,E694&gt;'Q1'!$E$14),"Outliers","Not an Outliers")</f>
        <v>Not an Outliers</v>
      </c>
      <c r="V694" t="str">
        <f t="shared" si="10"/>
        <v>Weekend</v>
      </c>
    </row>
    <row r="695" spans="1:22" x14ac:dyDescent="0.3">
      <c r="A695" s="24">
        <v>45557</v>
      </c>
      <c r="B695" s="9" t="s">
        <v>69</v>
      </c>
      <c r="C695" s="9" t="s">
        <v>21</v>
      </c>
      <c r="D695" s="9" t="s">
        <v>53</v>
      </c>
      <c r="E695" s="5">
        <v>6322</v>
      </c>
      <c r="F695" s="5" t="b">
        <v>1</v>
      </c>
      <c r="G695" s="9" t="s">
        <v>34</v>
      </c>
      <c r="H695" s="9" t="s">
        <v>70</v>
      </c>
      <c r="I695" s="9" t="s">
        <v>25</v>
      </c>
      <c r="J695" s="9" t="s">
        <v>48</v>
      </c>
      <c r="K695" s="5">
        <v>2</v>
      </c>
      <c r="L695" s="9" t="s">
        <v>27</v>
      </c>
      <c r="M695" s="9" t="s">
        <v>58</v>
      </c>
      <c r="N695" s="5" t="b">
        <v>0</v>
      </c>
      <c r="O695" s="5">
        <v>86</v>
      </c>
      <c r="P695" s="9" t="s">
        <v>67</v>
      </c>
      <c r="Q695" s="5">
        <v>9</v>
      </c>
      <c r="R695" s="5">
        <v>3</v>
      </c>
      <c r="S695" s="5">
        <v>680</v>
      </c>
      <c r="T695" s="10" t="s">
        <v>51</v>
      </c>
      <c r="U695" t="str">
        <f>IF(OR(E695&lt;'Q1'!$E$13,E695&gt;'Q1'!$E$14),"Outliers","Not an Outliers")</f>
        <v>Not an Outliers</v>
      </c>
      <c r="V695" t="str">
        <f t="shared" si="10"/>
        <v>Weekend</v>
      </c>
    </row>
    <row r="696" spans="1:22" x14ac:dyDescent="0.3">
      <c r="A696" s="23">
        <v>45557</v>
      </c>
      <c r="B696" s="7" t="s">
        <v>44</v>
      </c>
      <c r="C696" s="7" t="s">
        <v>45</v>
      </c>
      <c r="D696" s="7" t="s">
        <v>33</v>
      </c>
      <c r="E696" s="4">
        <v>2362</v>
      </c>
      <c r="F696" s="4" t="b">
        <v>0</v>
      </c>
      <c r="G696" s="7" t="s">
        <v>23</v>
      </c>
      <c r="H696" s="7" t="s">
        <v>35</v>
      </c>
      <c r="I696" s="7" t="s">
        <v>42</v>
      </c>
      <c r="J696" s="7" t="s">
        <v>26</v>
      </c>
      <c r="K696" s="4">
        <v>2</v>
      </c>
      <c r="L696" s="7" t="s">
        <v>27</v>
      </c>
      <c r="M696" s="7" t="s">
        <v>66</v>
      </c>
      <c r="N696" s="4" t="b">
        <v>1</v>
      </c>
      <c r="O696" s="4">
        <v>102</v>
      </c>
      <c r="P696" s="7" t="s">
        <v>63</v>
      </c>
      <c r="Q696" s="4">
        <v>8</v>
      </c>
      <c r="R696" s="4">
        <v>2</v>
      </c>
      <c r="S696" s="4">
        <v>3975</v>
      </c>
      <c r="T696" s="8" t="s">
        <v>30</v>
      </c>
      <c r="U696" t="str">
        <f>IF(OR(E696&lt;'Q1'!$E$13,E696&gt;'Q1'!$E$14),"Outliers","Not an Outliers")</f>
        <v>Not an Outliers</v>
      </c>
      <c r="V696" t="str">
        <f t="shared" si="10"/>
        <v>Weekend</v>
      </c>
    </row>
    <row r="697" spans="1:22" x14ac:dyDescent="0.3">
      <c r="A697" s="24">
        <v>45557</v>
      </c>
      <c r="B697" s="9" t="s">
        <v>52</v>
      </c>
      <c r="C697" s="9" t="s">
        <v>56</v>
      </c>
      <c r="D697" s="9" t="s">
        <v>33</v>
      </c>
      <c r="E697" s="5">
        <v>2131</v>
      </c>
      <c r="F697" s="5" t="b">
        <v>1</v>
      </c>
      <c r="G697" s="9" t="s">
        <v>64</v>
      </c>
      <c r="H697" s="9" t="s">
        <v>41</v>
      </c>
      <c r="I697" s="9" t="s">
        <v>47</v>
      </c>
      <c r="J697" s="9" t="s">
        <v>43</v>
      </c>
      <c r="K697" s="5">
        <v>4</v>
      </c>
      <c r="L697" s="9" t="s">
        <v>49</v>
      </c>
      <c r="M697" s="9" t="s">
        <v>73</v>
      </c>
      <c r="N697" s="5" t="b">
        <v>1</v>
      </c>
      <c r="O697" s="5">
        <v>51</v>
      </c>
      <c r="P697" s="9" t="s">
        <v>50</v>
      </c>
      <c r="Q697" s="5">
        <v>6</v>
      </c>
      <c r="R697" s="5">
        <v>2</v>
      </c>
      <c r="S697" s="5">
        <v>1169</v>
      </c>
      <c r="T697" s="10" t="s">
        <v>38</v>
      </c>
      <c r="U697" t="str">
        <f>IF(OR(E697&lt;'Q1'!$E$13,E697&gt;'Q1'!$E$14),"Outliers","Not an Outliers")</f>
        <v>Not an Outliers</v>
      </c>
      <c r="V697" t="str">
        <f t="shared" si="10"/>
        <v>Weekend</v>
      </c>
    </row>
    <row r="698" spans="1:22" x14ac:dyDescent="0.3">
      <c r="A698" s="23">
        <v>45558</v>
      </c>
      <c r="B698" s="7" t="s">
        <v>72</v>
      </c>
      <c r="C698" s="7" t="s">
        <v>60</v>
      </c>
      <c r="D698" s="7" t="s">
        <v>53</v>
      </c>
      <c r="E698" s="4">
        <v>6324</v>
      </c>
      <c r="F698" s="4" t="b">
        <v>1</v>
      </c>
      <c r="G698" s="7" t="s">
        <v>23</v>
      </c>
      <c r="H698" s="7" t="s">
        <v>24</v>
      </c>
      <c r="I698" s="7" t="s">
        <v>47</v>
      </c>
      <c r="J698" s="7" t="s">
        <v>26</v>
      </c>
      <c r="K698" s="4">
        <v>3</v>
      </c>
      <c r="L698" s="7" t="s">
        <v>27</v>
      </c>
      <c r="M698" s="7" t="s">
        <v>58</v>
      </c>
      <c r="N698" s="4" t="b">
        <v>1</v>
      </c>
      <c r="O698" s="4">
        <v>41</v>
      </c>
      <c r="P698" s="7" t="s">
        <v>50</v>
      </c>
      <c r="Q698" s="4">
        <v>6</v>
      </c>
      <c r="R698" s="4">
        <v>2</v>
      </c>
      <c r="S698" s="4">
        <v>995</v>
      </c>
      <c r="T698" s="8" t="s">
        <v>51</v>
      </c>
      <c r="U698" t="str">
        <f>IF(OR(E698&lt;'Q1'!$E$13,E698&gt;'Q1'!$E$14),"Outliers","Not an Outliers")</f>
        <v>Not an Outliers</v>
      </c>
      <c r="V698" t="str">
        <f t="shared" si="10"/>
        <v>Weekday</v>
      </c>
    </row>
    <row r="699" spans="1:22" x14ac:dyDescent="0.3">
      <c r="A699" s="24">
        <v>45560</v>
      </c>
      <c r="B699" s="9" t="s">
        <v>55</v>
      </c>
      <c r="C699" s="9" t="s">
        <v>60</v>
      </c>
      <c r="D699" s="9" t="s">
        <v>61</v>
      </c>
      <c r="E699" s="5">
        <v>1000</v>
      </c>
      <c r="F699" s="5" t="b">
        <v>1</v>
      </c>
      <c r="G699" s="9" t="s">
        <v>23</v>
      </c>
      <c r="H699" s="9" t="s">
        <v>70</v>
      </c>
      <c r="I699" s="9" t="s">
        <v>47</v>
      </c>
      <c r="J699" s="9" t="s">
        <v>48</v>
      </c>
      <c r="K699" s="5">
        <v>2</v>
      </c>
      <c r="L699" s="9" t="s">
        <v>36</v>
      </c>
      <c r="M699" s="9" t="s">
        <v>28</v>
      </c>
      <c r="N699" s="5" t="b">
        <v>0</v>
      </c>
      <c r="O699" s="5">
        <v>28</v>
      </c>
      <c r="P699" s="9" t="s">
        <v>37</v>
      </c>
      <c r="Q699" s="5">
        <v>8</v>
      </c>
      <c r="R699" s="5">
        <v>1</v>
      </c>
      <c r="S699" s="5">
        <v>1978</v>
      </c>
      <c r="T699" s="10" t="s">
        <v>38</v>
      </c>
      <c r="U699" t="str">
        <f>IF(OR(E699&lt;'Q1'!$E$13,E699&gt;'Q1'!$E$14),"Outliers","Not an Outliers")</f>
        <v>Not an Outliers</v>
      </c>
      <c r="V699" t="str">
        <f t="shared" si="10"/>
        <v>Weekday</v>
      </c>
    </row>
    <row r="700" spans="1:22" x14ac:dyDescent="0.3">
      <c r="A700" s="23">
        <v>45560</v>
      </c>
      <c r="B700" s="7" t="s">
        <v>74</v>
      </c>
      <c r="C700" s="7" t="s">
        <v>60</v>
      </c>
      <c r="D700" s="7" t="s">
        <v>61</v>
      </c>
      <c r="E700" s="4">
        <v>1000</v>
      </c>
      <c r="F700" s="4" t="b">
        <v>1</v>
      </c>
      <c r="G700" s="7" t="s">
        <v>40</v>
      </c>
      <c r="H700" s="7" t="s">
        <v>24</v>
      </c>
      <c r="I700" s="7" t="s">
        <v>42</v>
      </c>
      <c r="J700" s="7" t="s">
        <v>26</v>
      </c>
      <c r="K700" s="4">
        <v>2</v>
      </c>
      <c r="L700" s="7" t="s">
        <v>49</v>
      </c>
      <c r="M700" s="7" t="s">
        <v>73</v>
      </c>
      <c r="N700" s="4" t="b">
        <v>1</v>
      </c>
      <c r="O700" s="4">
        <v>76</v>
      </c>
      <c r="P700" s="7" t="s">
        <v>50</v>
      </c>
      <c r="Q700" s="4">
        <v>4</v>
      </c>
      <c r="R700" s="4">
        <v>1</v>
      </c>
      <c r="S700" s="4">
        <v>1269</v>
      </c>
      <c r="T700" s="8" t="s">
        <v>30</v>
      </c>
      <c r="U700" t="str">
        <f>IF(OR(E700&lt;'Q1'!$E$13,E700&gt;'Q1'!$E$14),"Outliers","Not an Outliers")</f>
        <v>Not an Outliers</v>
      </c>
      <c r="V700" t="str">
        <f t="shared" si="10"/>
        <v>Weekday</v>
      </c>
    </row>
    <row r="701" spans="1:22" x14ac:dyDescent="0.3">
      <c r="A701" s="24">
        <v>45561</v>
      </c>
      <c r="B701" s="9" t="s">
        <v>44</v>
      </c>
      <c r="C701" s="9" t="s">
        <v>21</v>
      </c>
      <c r="D701" s="9" t="s">
        <v>22</v>
      </c>
      <c r="E701" s="5">
        <v>9449</v>
      </c>
      <c r="F701" s="5" t="b">
        <v>0</v>
      </c>
      <c r="G701" s="9" t="s">
        <v>23</v>
      </c>
      <c r="H701" s="9" t="s">
        <v>35</v>
      </c>
      <c r="I701" s="9" t="s">
        <v>25</v>
      </c>
      <c r="J701" s="9" t="s">
        <v>43</v>
      </c>
      <c r="K701" s="5">
        <v>3</v>
      </c>
      <c r="L701" s="9" t="s">
        <v>27</v>
      </c>
      <c r="M701" s="9" t="s">
        <v>73</v>
      </c>
      <c r="N701" s="5" t="b">
        <v>1</v>
      </c>
      <c r="O701" s="5">
        <v>73</v>
      </c>
      <c r="P701" s="9" t="s">
        <v>37</v>
      </c>
      <c r="Q701" s="5">
        <v>6</v>
      </c>
      <c r="R701" s="5">
        <v>3</v>
      </c>
      <c r="S701" s="5">
        <v>2100</v>
      </c>
      <c r="T701" s="10" t="s">
        <v>30</v>
      </c>
      <c r="U701" t="str">
        <f>IF(OR(E701&lt;'Q1'!$E$13,E701&gt;'Q1'!$E$14),"Outliers","Not an Outliers")</f>
        <v>Not an Outliers</v>
      </c>
      <c r="V701" t="str">
        <f t="shared" si="10"/>
        <v>Weekday</v>
      </c>
    </row>
    <row r="702" spans="1:22" x14ac:dyDescent="0.3">
      <c r="A702" s="23">
        <v>45561</v>
      </c>
      <c r="B702" s="7" t="s">
        <v>69</v>
      </c>
      <c r="C702" s="7" t="s">
        <v>56</v>
      </c>
      <c r="D702" s="7" t="s">
        <v>46</v>
      </c>
      <c r="E702" s="4">
        <v>4758</v>
      </c>
      <c r="F702" s="4" t="b">
        <v>1</v>
      </c>
      <c r="G702" s="7" t="s">
        <v>65</v>
      </c>
      <c r="H702" s="7" t="s">
        <v>35</v>
      </c>
      <c r="I702" s="7" t="s">
        <v>47</v>
      </c>
      <c r="J702" s="7" t="s">
        <v>48</v>
      </c>
      <c r="K702" s="4">
        <v>2</v>
      </c>
      <c r="L702" s="7" t="s">
        <v>49</v>
      </c>
      <c r="M702" s="7" t="s">
        <v>73</v>
      </c>
      <c r="N702" s="4" t="b">
        <v>1</v>
      </c>
      <c r="O702" s="4">
        <v>90</v>
      </c>
      <c r="P702" s="7" t="s">
        <v>63</v>
      </c>
      <c r="Q702" s="4">
        <v>2</v>
      </c>
      <c r="R702" s="4">
        <v>2</v>
      </c>
      <c r="S702" s="4">
        <v>3450</v>
      </c>
      <c r="T702" s="8" t="s">
        <v>30</v>
      </c>
      <c r="U702" t="str">
        <f>IF(OR(E702&lt;'Q1'!$E$13,E702&gt;'Q1'!$E$14),"Outliers","Not an Outliers")</f>
        <v>Not an Outliers</v>
      </c>
      <c r="V702" t="str">
        <f t="shared" si="10"/>
        <v>Weekday</v>
      </c>
    </row>
    <row r="703" spans="1:22" x14ac:dyDescent="0.3">
      <c r="A703" s="24">
        <v>45561</v>
      </c>
      <c r="B703" s="9" t="s">
        <v>74</v>
      </c>
      <c r="C703" s="9" t="s">
        <v>45</v>
      </c>
      <c r="D703" s="9" t="s">
        <v>33</v>
      </c>
      <c r="E703" s="5">
        <v>3024</v>
      </c>
      <c r="F703" s="5" t="b">
        <v>0</v>
      </c>
      <c r="G703" s="9" t="s">
        <v>64</v>
      </c>
      <c r="H703" s="9" t="s">
        <v>70</v>
      </c>
      <c r="I703" s="9" t="s">
        <v>47</v>
      </c>
      <c r="J703" s="9" t="s">
        <v>26</v>
      </c>
      <c r="K703" s="5">
        <v>0</v>
      </c>
      <c r="L703" s="9" t="s">
        <v>27</v>
      </c>
      <c r="M703" s="9" t="s">
        <v>28</v>
      </c>
      <c r="N703" s="5" t="b">
        <v>1</v>
      </c>
      <c r="O703" s="5">
        <v>32</v>
      </c>
      <c r="P703" s="9" t="s">
        <v>67</v>
      </c>
      <c r="Q703" s="5">
        <v>4</v>
      </c>
      <c r="R703" s="5">
        <v>2</v>
      </c>
      <c r="S703" s="5">
        <v>3209</v>
      </c>
      <c r="T703" s="10" t="s">
        <v>51</v>
      </c>
      <c r="U703" t="str">
        <f>IF(OR(E703&lt;'Q1'!$E$13,E703&gt;'Q1'!$E$14),"Outliers","Not an Outliers")</f>
        <v>Not an Outliers</v>
      </c>
      <c r="V703" t="str">
        <f t="shared" si="10"/>
        <v>Weekday</v>
      </c>
    </row>
    <row r="704" spans="1:22" x14ac:dyDescent="0.3">
      <c r="A704" s="23">
        <v>45561</v>
      </c>
      <c r="B704" s="7" t="s">
        <v>39</v>
      </c>
      <c r="C704" s="7" t="s">
        <v>56</v>
      </c>
      <c r="D704" s="7" t="s">
        <v>46</v>
      </c>
      <c r="E704" s="4">
        <v>1488</v>
      </c>
      <c r="F704" s="4" t="b">
        <v>0</v>
      </c>
      <c r="G704" s="7" t="s">
        <v>65</v>
      </c>
      <c r="H704" s="7" t="s">
        <v>41</v>
      </c>
      <c r="I704" s="7" t="s">
        <v>59</v>
      </c>
      <c r="J704" s="7" t="s">
        <v>26</v>
      </c>
      <c r="K704" s="4">
        <v>4</v>
      </c>
      <c r="L704" s="7" t="s">
        <v>27</v>
      </c>
      <c r="M704" s="7" t="s">
        <v>73</v>
      </c>
      <c r="N704" s="4" t="b">
        <v>1</v>
      </c>
      <c r="O704" s="4">
        <v>21</v>
      </c>
      <c r="P704" s="7" t="s">
        <v>67</v>
      </c>
      <c r="Q704" s="4">
        <v>4</v>
      </c>
      <c r="R704" s="4">
        <v>1</v>
      </c>
      <c r="S704" s="4">
        <v>2749</v>
      </c>
      <c r="T704" s="8" t="s">
        <v>38</v>
      </c>
      <c r="U704" t="str">
        <f>IF(OR(E704&lt;'Q1'!$E$13,E704&gt;'Q1'!$E$14),"Outliers","Not an Outliers")</f>
        <v>Not an Outliers</v>
      </c>
      <c r="V704" t="str">
        <f t="shared" si="10"/>
        <v>Weekday</v>
      </c>
    </row>
    <row r="705" spans="1:22" x14ac:dyDescent="0.3">
      <c r="A705" s="24">
        <v>45561</v>
      </c>
      <c r="B705" s="9" t="s">
        <v>71</v>
      </c>
      <c r="C705" s="9" t="s">
        <v>56</v>
      </c>
      <c r="D705" s="9" t="s">
        <v>57</v>
      </c>
      <c r="E705" s="5">
        <v>1000</v>
      </c>
      <c r="F705" s="5" t="b">
        <v>1</v>
      </c>
      <c r="G705" s="9" t="s">
        <v>40</v>
      </c>
      <c r="H705" s="9" t="s">
        <v>70</v>
      </c>
      <c r="I705" s="9" t="s">
        <v>25</v>
      </c>
      <c r="J705" s="9" t="s">
        <v>43</v>
      </c>
      <c r="K705" s="5">
        <v>4</v>
      </c>
      <c r="L705" s="9" t="s">
        <v>36</v>
      </c>
      <c r="M705" s="9" t="s">
        <v>66</v>
      </c>
      <c r="N705" s="5" t="b">
        <v>1</v>
      </c>
      <c r="O705" s="5">
        <v>113</v>
      </c>
      <c r="P705" s="9" t="s">
        <v>37</v>
      </c>
      <c r="Q705" s="5">
        <v>4</v>
      </c>
      <c r="R705" s="5">
        <v>1</v>
      </c>
      <c r="S705" s="5">
        <v>1925</v>
      </c>
      <c r="T705" s="10" t="s">
        <v>51</v>
      </c>
      <c r="U705" t="str">
        <f>IF(OR(E705&lt;'Q1'!$E$13,E705&gt;'Q1'!$E$14),"Outliers","Not an Outliers")</f>
        <v>Not an Outliers</v>
      </c>
      <c r="V705" t="str">
        <f t="shared" si="10"/>
        <v>Weekday</v>
      </c>
    </row>
    <row r="706" spans="1:22" x14ac:dyDescent="0.3">
      <c r="A706" s="23">
        <v>45562</v>
      </c>
      <c r="B706" s="7" t="s">
        <v>71</v>
      </c>
      <c r="C706" s="7" t="s">
        <v>21</v>
      </c>
      <c r="D706" s="7" t="s">
        <v>46</v>
      </c>
      <c r="E706" s="4">
        <v>4641</v>
      </c>
      <c r="F706" s="4" t="b">
        <v>0</v>
      </c>
      <c r="G706" s="7" t="s">
        <v>34</v>
      </c>
      <c r="H706" s="7" t="s">
        <v>24</v>
      </c>
      <c r="I706" s="7" t="s">
        <v>47</v>
      </c>
      <c r="J706" s="7" t="s">
        <v>48</v>
      </c>
      <c r="K706" s="4">
        <v>0</v>
      </c>
      <c r="L706" s="7" t="s">
        <v>27</v>
      </c>
      <c r="M706" s="7" t="s">
        <v>66</v>
      </c>
      <c r="N706" s="4" t="b">
        <v>1</v>
      </c>
      <c r="O706" s="4">
        <v>96</v>
      </c>
      <c r="P706" s="7" t="s">
        <v>37</v>
      </c>
      <c r="Q706" s="4">
        <v>9</v>
      </c>
      <c r="R706" s="4">
        <v>3</v>
      </c>
      <c r="S706" s="4">
        <v>2121</v>
      </c>
      <c r="T706" s="8" t="s">
        <v>38</v>
      </c>
      <c r="U706" t="str">
        <f>IF(OR(E706&lt;'Q1'!$E$13,E706&gt;'Q1'!$E$14),"Outliers","Not an Outliers")</f>
        <v>Not an Outliers</v>
      </c>
      <c r="V706" t="str">
        <f t="shared" si="10"/>
        <v>Weekday</v>
      </c>
    </row>
    <row r="707" spans="1:22" x14ac:dyDescent="0.3">
      <c r="A707" s="24">
        <v>45562</v>
      </c>
      <c r="B707" s="9" t="s">
        <v>44</v>
      </c>
      <c r="C707" s="9" t="s">
        <v>60</v>
      </c>
      <c r="D707" s="9" t="s">
        <v>46</v>
      </c>
      <c r="E707" s="5">
        <v>3177</v>
      </c>
      <c r="F707" s="5" t="b">
        <v>0</v>
      </c>
      <c r="G707" s="9" t="s">
        <v>23</v>
      </c>
      <c r="H707" s="9" t="s">
        <v>41</v>
      </c>
      <c r="I707" s="9" t="s">
        <v>59</v>
      </c>
      <c r="J707" s="9" t="s">
        <v>54</v>
      </c>
      <c r="K707" s="5">
        <v>2</v>
      </c>
      <c r="L707" s="9" t="s">
        <v>27</v>
      </c>
      <c r="M707" s="9" t="s">
        <v>66</v>
      </c>
      <c r="N707" s="5" t="b">
        <v>0</v>
      </c>
      <c r="O707" s="5">
        <v>103</v>
      </c>
      <c r="P707" s="9" t="s">
        <v>37</v>
      </c>
      <c r="Q707" s="5">
        <v>4</v>
      </c>
      <c r="R707" s="5">
        <v>2</v>
      </c>
      <c r="S707" s="5">
        <v>1385</v>
      </c>
      <c r="T707" s="10" t="s">
        <v>30</v>
      </c>
      <c r="U707" t="str">
        <f>IF(OR(E707&lt;'Q1'!$E$13,E707&gt;'Q1'!$E$14),"Outliers","Not an Outliers")</f>
        <v>Not an Outliers</v>
      </c>
      <c r="V707" t="str">
        <f t="shared" ref="V707:V770" si="11">IF(WEEKDAY(A707,2)&gt;5,"Weekend","Weekday")</f>
        <v>Weekday</v>
      </c>
    </row>
    <row r="708" spans="1:22" x14ac:dyDescent="0.3">
      <c r="A708" s="23">
        <v>45562</v>
      </c>
      <c r="B708" s="7" t="s">
        <v>75</v>
      </c>
      <c r="C708" s="7" t="s">
        <v>32</v>
      </c>
      <c r="D708" s="7" t="s">
        <v>57</v>
      </c>
      <c r="E708" s="4">
        <v>1000</v>
      </c>
      <c r="F708" s="4" t="b">
        <v>0</v>
      </c>
      <c r="G708" s="7" t="s">
        <v>65</v>
      </c>
      <c r="H708" s="7" t="s">
        <v>70</v>
      </c>
      <c r="I708" s="7" t="s">
        <v>42</v>
      </c>
      <c r="J708" s="7" t="s">
        <v>26</v>
      </c>
      <c r="K708" s="4">
        <v>2</v>
      </c>
      <c r="L708" s="7" t="s">
        <v>27</v>
      </c>
      <c r="M708" s="7" t="s">
        <v>73</v>
      </c>
      <c r="N708" s="4" t="b">
        <v>0</v>
      </c>
      <c r="O708" s="4">
        <v>18</v>
      </c>
      <c r="P708" s="7" t="s">
        <v>37</v>
      </c>
      <c r="Q708" s="4">
        <v>10</v>
      </c>
      <c r="R708" s="4">
        <v>3</v>
      </c>
      <c r="S708" s="4">
        <v>1755</v>
      </c>
      <c r="T708" s="8" t="s">
        <v>51</v>
      </c>
      <c r="U708" t="str">
        <f>IF(OR(E708&lt;'Q1'!$E$13,E708&gt;'Q1'!$E$14),"Outliers","Not an Outliers")</f>
        <v>Not an Outliers</v>
      </c>
      <c r="V708" t="str">
        <f t="shared" si="11"/>
        <v>Weekday</v>
      </c>
    </row>
    <row r="709" spans="1:22" x14ac:dyDescent="0.3">
      <c r="A709" s="24">
        <v>45563</v>
      </c>
      <c r="B709" s="9" t="s">
        <v>69</v>
      </c>
      <c r="C709" s="9" t="s">
        <v>56</v>
      </c>
      <c r="D709" s="9" t="s">
        <v>33</v>
      </c>
      <c r="E709" s="5">
        <v>2395</v>
      </c>
      <c r="F709" s="5" t="b">
        <v>1</v>
      </c>
      <c r="G709" s="9" t="s">
        <v>34</v>
      </c>
      <c r="H709" s="9" t="s">
        <v>24</v>
      </c>
      <c r="I709" s="9" t="s">
        <v>59</v>
      </c>
      <c r="J709" s="9" t="s">
        <v>43</v>
      </c>
      <c r="K709" s="5">
        <v>3</v>
      </c>
      <c r="L709" s="9" t="s">
        <v>36</v>
      </c>
      <c r="M709" s="9" t="s">
        <v>73</v>
      </c>
      <c r="N709" s="5" t="b">
        <v>1</v>
      </c>
      <c r="O709" s="5">
        <v>52</v>
      </c>
      <c r="P709" s="9" t="s">
        <v>29</v>
      </c>
      <c r="Q709" s="5">
        <v>5</v>
      </c>
      <c r="R709" s="5">
        <v>3</v>
      </c>
      <c r="S709" s="5">
        <v>2541</v>
      </c>
      <c r="T709" s="10" t="s">
        <v>30</v>
      </c>
      <c r="U709" t="str">
        <f>IF(OR(E709&lt;'Q1'!$E$13,E709&gt;'Q1'!$E$14),"Outliers","Not an Outliers")</f>
        <v>Not an Outliers</v>
      </c>
      <c r="V709" t="str">
        <f t="shared" si="11"/>
        <v>Weekend</v>
      </c>
    </row>
    <row r="710" spans="1:22" x14ac:dyDescent="0.3">
      <c r="A710" s="23">
        <v>45566</v>
      </c>
      <c r="B710" s="7" t="s">
        <v>20</v>
      </c>
      <c r="C710" s="7" t="s">
        <v>21</v>
      </c>
      <c r="D710" s="7" t="s">
        <v>53</v>
      </c>
      <c r="E710" s="4">
        <v>4594</v>
      </c>
      <c r="F710" s="4" t="b">
        <v>0</v>
      </c>
      <c r="G710" s="7" t="s">
        <v>40</v>
      </c>
      <c r="H710" s="7" t="s">
        <v>24</v>
      </c>
      <c r="I710" s="7" t="s">
        <v>42</v>
      </c>
      <c r="J710" s="7" t="s">
        <v>54</v>
      </c>
      <c r="K710" s="4">
        <v>5</v>
      </c>
      <c r="L710" s="7" t="s">
        <v>36</v>
      </c>
      <c r="M710" s="7" t="s">
        <v>58</v>
      </c>
      <c r="N710" s="4" t="b">
        <v>0</v>
      </c>
      <c r="O710" s="4">
        <v>117</v>
      </c>
      <c r="P710" s="7" t="s">
        <v>50</v>
      </c>
      <c r="Q710" s="4">
        <v>1</v>
      </c>
      <c r="R710" s="4">
        <v>2</v>
      </c>
      <c r="S710" s="4">
        <v>4672</v>
      </c>
      <c r="T710" s="8" t="s">
        <v>51</v>
      </c>
      <c r="U710" t="str">
        <f>IF(OR(E710&lt;'Q1'!$E$13,E710&gt;'Q1'!$E$14),"Outliers","Not an Outliers")</f>
        <v>Not an Outliers</v>
      </c>
      <c r="V710" t="str">
        <f t="shared" si="11"/>
        <v>Weekday</v>
      </c>
    </row>
    <row r="711" spans="1:22" x14ac:dyDescent="0.3">
      <c r="A711" s="24">
        <v>45566</v>
      </c>
      <c r="B711" s="9" t="s">
        <v>44</v>
      </c>
      <c r="C711" s="9" t="s">
        <v>21</v>
      </c>
      <c r="D711" s="9" t="s">
        <v>46</v>
      </c>
      <c r="E711" s="5">
        <v>2855</v>
      </c>
      <c r="F711" s="5" t="b">
        <v>0</v>
      </c>
      <c r="G711" s="9" t="s">
        <v>64</v>
      </c>
      <c r="H711" s="9" t="s">
        <v>35</v>
      </c>
      <c r="I711" s="9" t="s">
        <v>47</v>
      </c>
      <c r="J711" s="9" t="s">
        <v>26</v>
      </c>
      <c r="K711" s="5">
        <v>5</v>
      </c>
      <c r="L711" s="9" t="s">
        <v>36</v>
      </c>
      <c r="M711" s="9" t="s">
        <v>58</v>
      </c>
      <c r="N711" s="5" t="b">
        <v>1</v>
      </c>
      <c r="O711" s="5">
        <v>76</v>
      </c>
      <c r="P711" s="9" t="s">
        <v>63</v>
      </c>
      <c r="Q711" s="5">
        <v>6</v>
      </c>
      <c r="R711" s="5">
        <v>1</v>
      </c>
      <c r="S711" s="5">
        <v>1088</v>
      </c>
      <c r="T711" s="10" t="s">
        <v>51</v>
      </c>
      <c r="U711" t="str">
        <f>IF(OR(E711&lt;'Q1'!$E$13,E711&gt;'Q1'!$E$14),"Outliers","Not an Outliers")</f>
        <v>Not an Outliers</v>
      </c>
      <c r="V711" t="str">
        <f t="shared" si="11"/>
        <v>Weekday</v>
      </c>
    </row>
    <row r="712" spans="1:22" x14ac:dyDescent="0.3">
      <c r="A712" s="23">
        <v>45566</v>
      </c>
      <c r="B712" s="7" t="s">
        <v>31</v>
      </c>
      <c r="C712" s="7" t="s">
        <v>45</v>
      </c>
      <c r="D712" s="7" t="s">
        <v>53</v>
      </c>
      <c r="E712" s="4">
        <v>2570</v>
      </c>
      <c r="F712" s="4" t="b">
        <v>0</v>
      </c>
      <c r="G712" s="7" t="s">
        <v>65</v>
      </c>
      <c r="H712" s="7" t="s">
        <v>41</v>
      </c>
      <c r="I712" s="7" t="s">
        <v>59</v>
      </c>
      <c r="J712" s="7" t="s">
        <v>26</v>
      </c>
      <c r="K712" s="4">
        <v>2</v>
      </c>
      <c r="L712" s="7" t="s">
        <v>36</v>
      </c>
      <c r="M712" s="7" t="s">
        <v>58</v>
      </c>
      <c r="N712" s="4" t="b">
        <v>0</v>
      </c>
      <c r="O712" s="4">
        <v>114</v>
      </c>
      <c r="P712" s="7" t="s">
        <v>29</v>
      </c>
      <c r="Q712" s="4">
        <v>3</v>
      </c>
      <c r="R712" s="4">
        <v>2</v>
      </c>
      <c r="S712" s="4">
        <v>4169</v>
      </c>
      <c r="T712" s="8" t="s">
        <v>38</v>
      </c>
      <c r="U712" t="str">
        <f>IF(OR(E712&lt;'Q1'!$E$13,E712&gt;'Q1'!$E$14),"Outliers","Not an Outliers")</f>
        <v>Not an Outliers</v>
      </c>
      <c r="V712" t="str">
        <f t="shared" si="11"/>
        <v>Weekday</v>
      </c>
    </row>
    <row r="713" spans="1:22" x14ac:dyDescent="0.3">
      <c r="A713" s="24">
        <v>45567</v>
      </c>
      <c r="B713" s="9" t="s">
        <v>68</v>
      </c>
      <c r="C713" s="9" t="s">
        <v>21</v>
      </c>
      <c r="D713" s="9" t="s">
        <v>33</v>
      </c>
      <c r="E713" s="5">
        <v>1536</v>
      </c>
      <c r="F713" s="5" t="b">
        <v>1</v>
      </c>
      <c r="G713" s="9" t="s">
        <v>64</v>
      </c>
      <c r="H713" s="9" t="s">
        <v>24</v>
      </c>
      <c r="I713" s="9" t="s">
        <v>59</v>
      </c>
      <c r="J713" s="9" t="s">
        <v>43</v>
      </c>
      <c r="K713" s="5">
        <v>1</v>
      </c>
      <c r="L713" s="9" t="s">
        <v>36</v>
      </c>
      <c r="M713" s="9" t="s">
        <v>28</v>
      </c>
      <c r="N713" s="5" t="b">
        <v>0</v>
      </c>
      <c r="O713" s="5">
        <v>46</v>
      </c>
      <c r="P713" s="9" t="s">
        <v>67</v>
      </c>
      <c r="Q713" s="5">
        <v>2</v>
      </c>
      <c r="R713" s="5">
        <v>2</v>
      </c>
      <c r="S713" s="5">
        <v>3610</v>
      </c>
      <c r="T713" s="10" t="s">
        <v>51</v>
      </c>
      <c r="U713" t="str">
        <f>IF(OR(E713&lt;'Q1'!$E$13,E713&gt;'Q1'!$E$14),"Outliers","Not an Outliers")</f>
        <v>Not an Outliers</v>
      </c>
      <c r="V713" t="str">
        <f t="shared" si="11"/>
        <v>Weekday</v>
      </c>
    </row>
    <row r="714" spans="1:22" x14ac:dyDescent="0.3">
      <c r="A714" s="23">
        <v>45568</v>
      </c>
      <c r="B714" s="7" t="s">
        <v>55</v>
      </c>
      <c r="C714" s="7" t="s">
        <v>45</v>
      </c>
      <c r="D714" s="7" t="s">
        <v>46</v>
      </c>
      <c r="E714" s="4">
        <v>1017</v>
      </c>
      <c r="F714" s="4" t="b">
        <v>0</v>
      </c>
      <c r="G714" s="7" t="s">
        <v>64</v>
      </c>
      <c r="H714" s="7" t="s">
        <v>24</v>
      </c>
      <c r="I714" s="7" t="s">
        <v>47</v>
      </c>
      <c r="J714" s="7" t="s">
        <v>26</v>
      </c>
      <c r="K714" s="4">
        <v>1</v>
      </c>
      <c r="L714" s="7" t="s">
        <v>49</v>
      </c>
      <c r="M714" s="7" t="s">
        <v>66</v>
      </c>
      <c r="N714" s="4" t="b">
        <v>0</v>
      </c>
      <c r="O714" s="4">
        <v>35</v>
      </c>
      <c r="P714" s="7" t="s">
        <v>63</v>
      </c>
      <c r="Q714" s="4">
        <v>2</v>
      </c>
      <c r="R714" s="4">
        <v>1</v>
      </c>
      <c r="S714" s="4">
        <v>4876</v>
      </c>
      <c r="T714" s="8" t="s">
        <v>30</v>
      </c>
      <c r="U714" t="str">
        <f>IF(OR(E714&lt;'Q1'!$E$13,E714&gt;'Q1'!$E$14),"Outliers","Not an Outliers")</f>
        <v>Not an Outliers</v>
      </c>
      <c r="V714" t="str">
        <f t="shared" si="11"/>
        <v>Weekday</v>
      </c>
    </row>
    <row r="715" spans="1:22" x14ac:dyDescent="0.3">
      <c r="A715" s="24">
        <v>45568</v>
      </c>
      <c r="B715" s="9" t="s">
        <v>77</v>
      </c>
      <c r="C715" s="9" t="s">
        <v>21</v>
      </c>
      <c r="D715" s="9" t="s">
        <v>53</v>
      </c>
      <c r="E715" s="5">
        <v>4358</v>
      </c>
      <c r="F715" s="5" t="b">
        <v>0</v>
      </c>
      <c r="G715" s="9" t="s">
        <v>65</v>
      </c>
      <c r="H715" s="9" t="s">
        <v>24</v>
      </c>
      <c r="I715" s="9" t="s">
        <v>47</v>
      </c>
      <c r="J715" s="9" t="s">
        <v>54</v>
      </c>
      <c r="K715" s="5">
        <v>3</v>
      </c>
      <c r="L715" s="9" t="s">
        <v>27</v>
      </c>
      <c r="M715" s="9" t="s">
        <v>58</v>
      </c>
      <c r="N715" s="5" t="b">
        <v>1</v>
      </c>
      <c r="O715" s="5">
        <v>89</v>
      </c>
      <c r="P715" s="9" t="s">
        <v>29</v>
      </c>
      <c r="Q715" s="5">
        <v>2</v>
      </c>
      <c r="R715" s="5">
        <v>2</v>
      </c>
      <c r="S715" s="5">
        <v>1719</v>
      </c>
      <c r="T715" s="10" t="s">
        <v>51</v>
      </c>
      <c r="U715" t="str">
        <f>IF(OR(E715&lt;'Q1'!$E$13,E715&gt;'Q1'!$E$14),"Outliers","Not an Outliers")</f>
        <v>Not an Outliers</v>
      </c>
      <c r="V715" t="str">
        <f t="shared" si="11"/>
        <v>Weekday</v>
      </c>
    </row>
    <row r="716" spans="1:22" x14ac:dyDescent="0.3">
      <c r="A716" s="23">
        <v>45568</v>
      </c>
      <c r="B716" s="7" t="s">
        <v>76</v>
      </c>
      <c r="C716" s="7" t="s">
        <v>45</v>
      </c>
      <c r="D716" s="7" t="s">
        <v>57</v>
      </c>
      <c r="E716" s="4">
        <v>1000</v>
      </c>
      <c r="F716" s="4" t="b">
        <v>0</v>
      </c>
      <c r="G716" s="7" t="s">
        <v>40</v>
      </c>
      <c r="H716" s="7" t="s">
        <v>24</v>
      </c>
      <c r="I716" s="7" t="s">
        <v>25</v>
      </c>
      <c r="J716" s="7" t="s">
        <v>54</v>
      </c>
      <c r="K716" s="4">
        <v>4</v>
      </c>
      <c r="L716" s="7" t="s">
        <v>27</v>
      </c>
      <c r="M716" s="7" t="s">
        <v>73</v>
      </c>
      <c r="N716" s="4" t="b">
        <v>0</v>
      </c>
      <c r="O716" s="4">
        <v>82</v>
      </c>
      <c r="P716" s="7" t="s">
        <v>37</v>
      </c>
      <c r="Q716" s="4">
        <v>7</v>
      </c>
      <c r="R716" s="4">
        <v>1</v>
      </c>
      <c r="S716" s="4">
        <v>3918</v>
      </c>
      <c r="T716" s="8" t="s">
        <v>30</v>
      </c>
      <c r="U716" t="str">
        <f>IF(OR(E716&lt;'Q1'!$E$13,E716&gt;'Q1'!$E$14),"Outliers","Not an Outliers")</f>
        <v>Not an Outliers</v>
      </c>
      <c r="V716" t="str">
        <f t="shared" si="11"/>
        <v>Weekday</v>
      </c>
    </row>
    <row r="717" spans="1:22" x14ac:dyDescent="0.3">
      <c r="A717" s="24">
        <v>45569</v>
      </c>
      <c r="B717" s="9" t="s">
        <v>71</v>
      </c>
      <c r="C717" s="9" t="s">
        <v>45</v>
      </c>
      <c r="D717" s="9" t="s">
        <v>46</v>
      </c>
      <c r="E717" s="5">
        <v>3141</v>
      </c>
      <c r="F717" s="5" t="b">
        <v>1</v>
      </c>
      <c r="G717" s="9" t="s">
        <v>65</v>
      </c>
      <c r="H717" s="9" t="s">
        <v>41</v>
      </c>
      <c r="I717" s="9" t="s">
        <v>59</v>
      </c>
      <c r="J717" s="9" t="s">
        <v>43</v>
      </c>
      <c r="K717" s="5">
        <v>3</v>
      </c>
      <c r="L717" s="9" t="s">
        <v>36</v>
      </c>
      <c r="M717" s="9" t="s">
        <v>28</v>
      </c>
      <c r="N717" s="5" t="b">
        <v>0</v>
      </c>
      <c r="O717" s="5">
        <v>20</v>
      </c>
      <c r="P717" s="9" t="s">
        <v>37</v>
      </c>
      <c r="Q717" s="5">
        <v>6</v>
      </c>
      <c r="R717" s="5">
        <v>2</v>
      </c>
      <c r="S717" s="5">
        <v>3072</v>
      </c>
      <c r="T717" s="10" t="s">
        <v>51</v>
      </c>
      <c r="U717" t="str">
        <f>IF(OR(E717&lt;'Q1'!$E$13,E717&gt;'Q1'!$E$14),"Outliers","Not an Outliers")</f>
        <v>Not an Outliers</v>
      </c>
      <c r="V717" t="str">
        <f t="shared" si="11"/>
        <v>Weekday</v>
      </c>
    </row>
    <row r="718" spans="1:22" x14ac:dyDescent="0.3">
      <c r="A718" s="23">
        <v>45569</v>
      </c>
      <c r="B718" s="7" t="s">
        <v>31</v>
      </c>
      <c r="C718" s="7" t="s">
        <v>56</v>
      </c>
      <c r="D718" s="7" t="s">
        <v>53</v>
      </c>
      <c r="E718" s="4">
        <v>6780</v>
      </c>
      <c r="F718" s="4" t="b">
        <v>0</v>
      </c>
      <c r="G718" s="7" t="s">
        <v>23</v>
      </c>
      <c r="H718" s="7" t="s">
        <v>35</v>
      </c>
      <c r="I718" s="7" t="s">
        <v>42</v>
      </c>
      <c r="J718" s="7" t="s">
        <v>54</v>
      </c>
      <c r="K718" s="4">
        <v>3</v>
      </c>
      <c r="L718" s="7" t="s">
        <v>36</v>
      </c>
      <c r="M718" s="7" t="s">
        <v>73</v>
      </c>
      <c r="N718" s="4" t="b">
        <v>0</v>
      </c>
      <c r="O718" s="4">
        <v>14</v>
      </c>
      <c r="P718" s="7" t="s">
        <v>37</v>
      </c>
      <c r="Q718" s="4">
        <v>1</v>
      </c>
      <c r="R718" s="4">
        <v>2</v>
      </c>
      <c r="S718" s="4">
        <v>3988</v>
      </c>
      <c r="T718" s="8" t="s">
        <v>38</v>
      </c>
      <c r="U718" t="str">
        <f>IF(OR(E718&lt;'Q1'!$E$13,E718&gt;'Q1'!$E$14),"Outliers","Not an Outliers")</f>
        <v>Not an Outliers</v>
      </c>
      <c r="V718" t="str">
        <f t="shared" si="11"/>
        <v>Weekday</v>
      </c>
    </row>
    <row r="719" spans="1:22" x14ac:dyDescent="0.3">
      <c r="A719" s="24">
        <v>45569</v>
      </c>
      <c r="B719" s="9" t="s">
        <v>44</v>
      </c>
      <c r="C719" s="9" t="s">
        <v>21</v>
      </c>
      <c r="D719" s="9" t="s">
        <v>46</v>
      </c>
      <c r="E719" s="5">
        <v>2014</v>
      </c>
      <c r="F719" s="5" t="b">
        <v>0</v>
      </c>
      <c r="G719" s="9" t="s">
        <v>64</v>
      </c>
      <c r="H719" s="9" t="s">
        <v>41</v>
      </c>
      <c r="I719" s="9" t="s">
        <v>47</v>
      </c>
      <c r="J719" s="9" t="s">
        <v>43</v>
      </c>
      <c r="K719" s="5">
        <v>1</v>
      </c>
      <c r="L719" s="9" t="s">
        <v>49</v>
      </c>
      <c r="M719" s="9" t="s">
        <v>73</v>
      </c>
      <c r="N719" s="5" t="b">
        <v>0</v>
      </c>
      <c r="O719" s="5">
        <v>90</v>
      </c>
      <c r="P719" s="9" t="s">
        <v>63</v>
      </c>
      <c r="Q719" s="5">
        <v>6</v>
      </c>
      <c r="R719" s="5">
        <v>2</v>
      </c>
      <c r="S719" s="5">
        <v>3989</v>
      </c>
      <c r="T719" s="10" t="s">
        <v>30</v>
      </c>
      <c r="U719" t="str">
        <f>IF(OR(E719&lt;'Q1'!$E$13,E719&gt;'Q1'!$E$14),"Outliers","Not an Outliers")</f>
        <v>Not an Outliers</v>
      </c>
      <c r="V719" t="str">
        <f t="shared" si="11"/>
        <v>Weekday</v>
      </c>
    </row>
    <row r="720" spans="1:22" x14ac:dyDescent="0.3">
      <c r="A720" s="23">
        <v>45569</v>
      </c>
      <c r="B720" s="7" t="s">
        <v>39</v>
      </c>
      <c r="C720" s="7" t="s">
        <v>45</v>
      </c>
      <c r="D720" s="7" t="s">
        <v>57</v>
      </c>
      <c r="E720" s="4">
        <v>1000</v>
      </c>
      <c r="F720" s="4" t="b">
        <v>0</v>
      </c>
      <c r="G720" s="7" t="s">
        <v>64</v>
      </c>
      <c r="H720" s="7" t="s">
        <v>35</v>
      </c>
      <c r="I720" s="7" t="s">
        <v>25</v>
      </c>
      <c r="J720" s="7" t="s">
        <v>26</v>
      </c>
      <c r="K720" s="4">
        <v>2</v>
      </c>
      <c r="L720" s="7" t="s">
        <v>27</v>
      </c>
      <c r="M720" s="7" t="s">
        <v>28</v>
      </c>
      <c r="N720" s="4" t="b">
        <v>1</v>
      </c>
      <c r="O720" s="4">
        <v>61</v>
      </c>
      <c r="P720" s="7" t="s">
        <v>67</v>
      </c>
      <c r="Q720" s="4">
        <v>5</v>
      </c>
      <c r="R720" s="4">
        <v>1</v>
      </c>
      <c r="S720" s="4">
        <v>1604</v>
      </c>
      <c r="T720" s="8" t="s">
        <v>30</v>
      </c>
      <c r="U720" t="str">
        <f>IF(OR(E720&lt;'Q1'!$E$13,E720&gt;'Q1'!$E$14),"Outliers","Not an Outliers")</f>
        <v>Not an Outliers</v>
      </c>
      <c r="V720" t="str">
        <f t="shared" si="11"/>
        <v>Weekday</v>
      </c>
    </row>
    <row r="721" spans="1:22" x14ac:dyDescent="0.3">
      <c r="A721" s="24">
        <v>45570</v>
      </c>
      <c r="B721" s="9" t="s">
        <v>74</v>
      </c>
      <c r="C721" s="9" t="s">
        <v>21</v>
      </c>
      <c r="D721" s="9" t="s">
        <v>46</v>
      </c>
      <c r="E721" s="5">
        <v>2247</v>
      </c>
      <c r="F721" s="5" t="b">
        <v>1</v>
      </c>
      <c r="G721" s="9" t="s">
        <v>23</v>
      </c>
      <c r="H721" s="9" t="s">
        <v>35</v>
      </c>
      <c r="I721" s="9" t="s">
        <v>25</v>
      </c>
      <c r="J721" s="9" t="s">
        <v>43</v>
      </c>
      <c r="K721" s="5">
        <v>2</v>
      </c>
      <c r="L721" s="9" t="s">
        <v>27</v>
      </c>
      <c r="M721" s="9" t="s">
        <v>73</v>
      </c>
      <c r="N721" s="5" t="b">
        <v>0</v>
      </c>
      <c r="O721" s="5">
        <v>55</v>
      </c>
      <c r="P721" s="9" t="s">
        <v>67</v>
      </c>
      <c r="Q721" s="5">
        <v>10</v>
      </c>
      <c r="R721" s="5">
        <v>3</v>
      </c>
      <c r="S721" s="5">
        <v>2422</v>
      </c>
      <c r="T721" s="10" t="s">
        <v>51</v>
      </c>
      <c r="U721" t="str">
        <f>IF(OR(E721&lt;'Q1'!$E$13,E721&gt;'Q1'!$E$14),"Outliers","Not an Outliers")</f>
        <v>Not an Outliers</v>
      </c>
      <c r="V721" t="str">
        <f t="shared" si="11"/>
        <v>Weekend</v>
      </c>
    </row>
    <row r="722" spans="1:22" x14ac:dyDescent="0.3">
      <c r="A722" s="23">
        <v>45570</v>
      </c>
      <c r="B722" s="7" t="s">
        <v>68</v>
      </c>
      <c r="C722" s="7" t="s">
        <v>45</v>
      </c>
      <c r="D722" s="7" t="s">
        <v>53</v>
      </c>
      <c r="E722" s="4">
        <v>3922</v>
      </c>
      <c r="F722" s="4" t="b">
        <v>0</v>
      </c>
      <c r="G722" s="7" t="s">
        <v>40</v>
      </c>
      <c r="H722" s="7" t="s">
        <v>24</v>
      </c>
      <c r="I722" s="7" t="s">
        <v>47</v>
      </c>
      <c r="J722" s="7" t="s">
        <v>48</v>
      </c>
      <c r="K722" s="4">
        <v>5</v>
      </c>
      <c r="L722" s="7" t="s">
        <v>49</v>
      </c>
      <c r="M722" s="7" t="s">
        <v>73</v>
      </c>
      <c r="N722" s="4" t="b">
        <v>1</v>
      </c>
      <c r="O722" s="4">
        <v>42</v>
      </c>
      <c r="P722" s="7" t="s">
        <v>29</v>
      </c>
      <c r="Q722" s="4">
        <v>2</v>
      </c>
      <c r="R722" s="4">
        <v>1</v>
      </c>
      <c r="S722" s="4">
        <v>3077</v>
      </c>
      <c r="T722" s="8" t="s">
        <v>51</v>
      </c>
      <c r="U722" t="str">
        <f>IF(OR(E722&lt;'Q1'!$E$13,E722&gt;'Q1'!$E$14),"Outliers","Not an Outliers")</f>
        <v>Not an Outliers</v>
      </c>
      <c r="V722" t="str">
        <f t="shared" si="11"/>
        <v>Weekend</v>
      </c>
    </row>
    <row r="723" spans="1:22" x14ac:dyDescent="0.3">
      <c r="A723" s="24">
        <v>45570</v>
      </c>
      <c r="B723" s="9" t="s">
        <v>74</v>
      </c>
      <c r="C723" s="9" t="s">
        <v>21</v>
      </c>
      <c r="D723" s="9" t="s">
        <v>53</v>
      </c>
      <c r="E723" s="5">
        <v>4678</v>
      </c>
      <c r="F723" s="5" t="b">
        <v>1</v>
      </c>
      <c r="G723" s="9" t="s">
        <v>34</v>
      </c>
      <c r="H723" s="9" t="s">
        <v>24</v>
      </c>
      <c r="I723" s="9" t="s">
        <v>47</v>
      </c>
      <c r="J723" s="9" t="s">
        <v>43</v>
      </c>
      <c r="K723" s="5">
        <v>2</v>
      </c>
      <c r="L723" s="9" t="s">
        <v>27</v>
      </c>
      <c r="M723" s="9" t="s">
        <v>58</v>
      </c>
      <c r="N723" s="5" t="b">
        <v>1</v>
      </c>
      <c r="O723" s="5">
        <v>86</v>
      </c>
      <c r="P723" s="9" t="s">
        <v>29</v>
      </c>
      <c r="Q723" s="5">
        <v>4</v>
      </c>
      <c r="R723" s="5">
        <v>1</v>
      </c>
      <c r="S723" s="5">
        <v>1750</v>
      </c>
      <c r="T723" s="10" t="s">
        <v>38</v>
      </c>
      <c r="U723" t="str">
        <f>IF(OR(E723&lt;'Q1'!$E$13,E723&gt;'Q1'!$E$14),"Outliers","Not an Outliers")</f>
        <v>Not an Outliers</v>
      </c>
      <c r="V723" t="str">
        <f t="shared" si="11"/>
        <v>Weekend</v>
      </c>
    </row>
    <row r="724" spans="1:22" x14ac:dyDescent="0.3">
      <c r="A724" s="23">
        <v>45571</v>
      </c>
      <c r="B724" s="7" t="s">
        <v>75</v>
      </c>
      <c r="C724" s="7" t="s">
        <v>21</v>
      </c>
      <c r="D724" s="7" t="s">
        <v>57</v>
      </c>
      <c r="E724" s="4">
        <v>1000</v>
      </c>
      <c r="F724" s="4" t="b">
        <v>0</v>
      </c>
      <c r="G724" s="7" t="s">
        <v>34</v>
      </c>
      <c r="H724" s="7" t="s">
        <v>35</v>
      </c>
      <c r="I724" s="7" t="s">
        <v>59</v>
      </c>
      <c r="J724" s="7" t="s">
        <v>43</v>
      </c>
      <c r="K724" s="4">
        <v>2</v>
      </c>
      <c r="L724" s="7" t="s">
        <v>36</v>
      </c>
      <c r="M724" s="7" t="s">
        <v>73</v>
      </c>
      <c r="N724" s="4" t="b">
        <v>0</v>
      </c>
      <c r="O724" s="4">
        <v>101</v>
      </c>
      <c r="P724" s="7" t="s">
        <v>50</v>
      </c>
      <c r="Q724" s="4">
        <v>6</v>
      </c>
      <c r="R724" s="4">
        <v>3</v>
      </c>
      <c r="S724" s="4">
        <v>559</v>
      </c>
      <c r="T724" s="8" t="s">
        <v>30</v>
      </c>
      <c r="U724" t="str">
        <f>IF(OR(E724&lt;'Q1'!$E$13,E724&gt;'Q1'!$E$14),"Outliers","Not an Outliers")</f>
        <v>Not an Outliers</v>
      </c>
      <c r="V724" t="str">
        <f t="shared" si="11"/>
        <v>Weekend</v>
      </c>
    </row>
    <row r="725" spans="1:22" x14ac:dyDescent="0.3">
      <c r="A725" s="24">
        <v>45571</v>
      </c>
      <c r="B725" s="9" t="s">
        <v>77</v>
      </c>
      <c r="C725" s="9" t="s">
        <v>45</v>
      </c>
      <c r="D725" s="9" t="s">
        <v>57</v>
      </c>
      <c r="E725" s="5">
        <v>1000</v>
      </c>
      <c r="F725" s="5" t="b">
        <v>1</v>
      </c>
      <c r="G725" s="9" t="s">
        <v>64</v>
      </c>
      <c r="H725" s="9" t="s">
        <v>35</v>
      </c>
      <c r="I725" s="9" t="s">
        <v>59</v>
      </c>
      <c r="J725" s="9" t="s">
        <v>54</v>
      </c>
      <c r="K725" s="5">
        <v>2</v>
      </c>
      <c r="L725" s="9" t="s">
        <v>36</v>
      </c>
      <c r="M725" s="9" t="s">
        <v>58</v>
      </c>
      <c r="N725" s="5" t="b">
        <v>0</v>
      </c>
      <c r="O725" s="5">
        <v>2</v>
      </c>
      <c r="P725" s="9" t="s">
        <v>37</v>
      </c>
      <c r="Q725" s="5">
        <v>7</v>
      </c>
      <c r="R725" s="5">
        <v>1</v>
      </c>
      <c r="S725" s="5">
        <v>756</v>
      </c>
      <c r="T725" s="10" t="s">
        <v>30</v>
      </c>
      <c r="U725" t="str">
        <f>IF(OR(E725&lt;'Q1'!$E$13,E725&gt;'Q1'!$E$14),"Outliers","Not an Outliers")</f>
        <v>Not an Outliers</v>
      </c>
      <c r="V725" t="str">
        <f t="shared" si="11"/>
        <v>Weekend</v>
      </c>
    </row>
    <row r="726" spans="1:22" x14ac:dyDescent="0.3">
      <c r="A726" s="23">
        <v>45571</v>
      </c>
      <c r="B726" s="7" t="s">
        <v>20</v>
      </c>
      <c r="C726" s="7" t="s">
        <v>45</v>
      </c>
      <c r="D726" s="7" t="s">
        <v>57</v>
      </c>
      <c r="E726" s="4">
        <v>1000</v>
      </c>
      <c r="F726" s="4" t="b">
        <v>0</v>
      </c>
      <c r="G726" s="7" t="s">
        <v>64</v>
      </c>
      <c r="H726" s="7" t="s">
        <v>70</v>
      </c>
      <c r="I726" s="7" t="s">
        <v>42</v>
      </c>
      <c r="J726" s="7" t="s">
        <v>48</v>
      </c>
      <c r="K726" s="4">
        <v>2</v>
      </c>
      <c r="L726" s="7" t="s">
        <v>49</v>
      </c>
      <c r="M726" s="7" t="s">
        <v>58</v>
      </c>
      <c r="N726" s="4" t="b">
        <v>0</v>
      </c>
      <c r="O726" s="4">
        <v>57</v>
      </c>
      <c r="P726" s="7" t="s">
        <v>67</v>
      </c>
      <c r="Q726" s="4">
        <v>2</v>
      </c>
      <c r="R726" s="4">
        <v>2</v>
      </c>
      <c r="S726" s="4">
        <v>2967</v>
      </c>
      <c r="T726" s="8" t="s">
        <v>38</v>
      </c>
      <c r="U726" t="str">
        <f>IF(OR(E726&lt;'Q1'!$E$13,E726&gt;'Q1'!$E$14),"Outliers","Not an Outliers")</f>
        <v>Not an Outliers</v>
      </c>
      <c r="V726" t="str">
        <f t="shared" si="11"/>
        <v>Weekend</v>
      </c>
    </row>
    <row r="727" spans="1:22" x14ac:dyDescent="0.3">
      <c r="A727" s="24">
        <v>45571</v>
      </c>
      <c r="B727" s="9" t="s">
        <v>62</v>
      </c>
      <c r="C727" s="9" t="s">
        <v>60</v>
      </c>
      <c r="D727" s="9" t="s">
        <v>33</v>
      </c>
      <c r="E727" s="5">
        <v>2895</v>
      </c>
      <c r="F727" s="5" t="b">
        <v>0</v>
      </c>
      <c r="G727" s="9" t="s">
        <v>23</v>
      </c>
      <c r="H727" s="9" t="s">
        <v>35</v>
      </c>
      <c r="I727" s="9" t="s">
        <v>25</v>
      </c>
      <c r="J727" s="9" t="s">
        <v>54</v>
      </c>
      <c r="K727" s="5">
        <v>2</v>
      </c>
      <c r="L727" s="9" t="s">
        <v>49</v>
      </c>
      <c r="M727" s="9" t="s">
        <v>73</v>
      </c>
      <c r="N727" s="5" t="b">
        <v>1</v>
      </c>
      <c r="O727" s="5">
        <v>60</v>
      </c>
      <c r="P727" s="9" t="s">
        <v>50</v>
      </c>
      <c r="Q727" s="5">
        <v>4</v>
      </c>
      <c r="R727" s="5">
        <v>2</v>
      </c>
      <c r="S727" s="5">
        <v>2829</v>
      </c>
      <c r="T727" s="10" t="s">
        <v>38</v>
      </c>
      <c r="U727" t="str">
        <f>IF(OR(E727&lt;'Q1'!$E$13,E727&gt;'Q1'!$E$14),"Outliers","Not an Outliers")</f>
        <v>Not an Outliers</v>
      </c>
      <c r="V727" t="str">
        <f t="shared" si="11"/>
        <v>Weekend</v>
      </c>
    </row>
    <row r="728" spans="1:22" x14ac:dyDescent="0.3">
      <c r="A728" s="23">
        <v>45571</v>
      </c>
      <c r="B728" s="7" t="s">
        <v>76</v>
      </c>
      <c r="C728" s="7" t="s">
        <v>32</v>
      </c>
      <c r="D728" s="7" t="s">
        <v>57</v>
      </c>
      <c r="E728" s="4">
        <v>1000</v>
      </c>
      <c r="F728" s="4" t="b">
        <v>0</v>
      </c>
      <c r="G728" s="7" t="s">
        <v>23</v>
      </c>
      <c r="H728" s="7" t="s">
        <v>41</v>
      </c>
      <c r="I728" s="7" t="s">
        <v>59</v>
      </c>
      <c r="J728" s="7" t="s">
        <v>48</v>
      </c>
      <c r="K728" s="4">
        <v>1</v>
      </c>
      <c r="L728" s="7" t="s">
        <v>49</v>
      </c>
      <c r="M728" s="7" t="s">
        <v>28</v>
      </c>
      <c r="N728" s="4" t="b">
        <v>1</v>
      </c>
      <c r="O728" s="4">
        <v>72</v>
      </c>
      <c r="P728" s="7" t="s">
        <v>50</v>
      </c>
      <c r="Q728" s="4">
        <v>3</v>
      </c>
      <c r="R728" s="4">
        <v>3</v>
      </c>
      <c r="S728" s="4">
        <v>4272</v>
      </c>
      <c r="T728" s="8" t="s">
        <v>38</v>
      </c>
      <c r="U728" t="str">
        <f>IF(OR(E728&lt;'Q1'!$E$13,E728&gt;'Q1'!$E$14),"Outliers","Not an Outliers")</f>
        <v>Not an Outliers</v>
      </c>
      <c r="V728" t="str">
        <f t="shared" si="11"/>
        <v>Weekend</v>
      </c>
    </row>
    <row r="729" spans="1:22" x14ac:dyDescent="0.3">
      <c r="A729" s="24">
        <v>45572</v>
      </c>
      <c r="B729" s="9" t="s">
        <v>55</v>
      </c>
      <c r="C729" s="9" t="s">
        <v>60</v>
      </c>
      <c r="D729" s="9" t="s">
        <v>22</v>
      </c>
      <c r="E729" s="5">
        <v>8239</v>
      </c>
      <c r="F729" s="5" t="b">
        <v>1</v>
      </c>
      <c r="G729" s="9" t="s">
        <v>34</v>
      </c>
      <c r="H729" s="9" t="s">
        <v>41</v>
      </c>
      <c r="I729" s="9" t="s">
        <v>25</v>
      </c>
      <c r="J729" s="9" t="s">
        <v>54</v>
      </c>
      <c r="K729" s="5">
        <v>3</v>
      </c>
      <c r="L729" s="9" t="s">
        <v>49</v>
      </c>
      <c r="M729" s="9" t="s">
        <v>58</v>
      </c>
      <c r="N729" s="5" t="b">
        <v>1</v>
      </c>
      <c r="O729" s="5">
        <v>118</v>
      </c>
      <c r="P729" s="9" t="s">
        <v>37</v>
      </c>
      <c r="Q729" s="5">
        <v>5</v>
      </c>
      <c r="R729" s="5">
        <v>2</v>
      </c>
      <c r="S729" s="5">
        <v>518</v>
      </c>
      <c r="T729" s="10" t="s">
        <v>38</v>
      </c>
      <c r="U729" t="str">
        <f>IF(OR(E729&lt;'Q1'!$E$13,E729&gt;'Q1'!$E$14),"Outliers","Not an Outliers")</f>
        <v>Not an Outliers</v>
      </c>
      <c r="V729" t="str">
        <f t="shared" si="11"/>
        <v>Weekday</v>
      </c>
    </row>
    <row r="730" spans="1:22" x14ac:dyDescent="0.3">
      <c r="A730" s="23">
        <v>45573</v>
      </c>
      <c r="B730" s="7" t="s">
        <v>62</v>
      </c>
      <c r="C730" s="7" t="s">
        <v>45</v>
      </c>
      <c r="D730" s="7" t="s">
        <v>57</v>
      </c>
      <c r="E730" s="4">
        <v>1000</v>
      </c>
      <c r="F730" s="4" t="b">
        <v>1</v>
      </c>
      <c r="G730" s="7" t="s">
        <v>23</v>
      </c>
      <c r="H730" s="7" t="s">
        <v>70</v>
      </c>
      <c r="I730" s="7" t="s">
        <v>47</v>
      </c>
      <c r="J730" s="7" t="s">
        <v>43</v>
      </c>
      <c r="K730" s="4">
        <v>1</v>
      </c>
      <c r="L730" s="7" t="s">
        <v>36</v>
      </c>
      <c r="M730" s="7" t="s">
        <v>28</v>
      </c>
      <c r="N730" s="4" t="b">
        <v>1</v>
      </c>
      <c r="O730" s="4">
        <v>5</v>
      </c>
      <c r="P730" s="7" t="s">
        <v>63</v>
      </c>
      <c r="Q730" s="4">
        <v>6</v>
      </c>
      <c r="R730" s="4">
        <v>1</v>
      </c>
      <c r="S730" s="4">
        <v>3057</v>
      </c>
      <c r="T730" s="8" t="s">
        <v>30</v>
      </c>
      <c r="U730" t="str">
        <f>IF(OR(E730&lt;'Q1'!$E$13,E730&gt;'Q1'!$E$14),"Outliers","Not an Outliers")</f>
        <v>Not an Outliers</v>
      </c>
      <c r="V730" t="str">
        <f t="shared" si="11"/>
        <v>Weekday</v>
      </c>
    </row>
    <row r="731" spans="1:22" x14ac:dyDescent="0.3">
      <c r="A731" s="24">
        <v>45573</v>
      </c>
      <c r="B731" s="9" t="s">
        <v>71</v>
      </c>
      <c r="C731" s="9" t="s">
        <v>21</v>
      </c>
      <c r="D731" s="9" t="s">
        <v>53</v>
      </c>
      <c r="E731" s="5">
        <v>4337</v>
      </c>
      <c r="F731" s="5" t="b">
        <v>1</v>
      </c>
      <c r="G731" s="9" t="s">
        <v>34</v>
      </c>
      <c r="H731" s="9" t="s">
        <v>41</v>
      </c>
      <c r="I731" s="9" t="s">
        <v>59</v>
      </c>
      <c r="J731" s="9" t="s">
        <v>48</v>
      </c>
      <c r="K731" s="5">
        <v>3</v>
      </c>
      <c r="L731" s="9" t="s">
        <v>49</v>
      </c>
      <c r="M731" s="9" t="s">
        <v>28</v>
      </c>
      <c r="N731" s="5" t="b">
        <v>0</v>
      </c>
      <c r="O731" s="5">
        <v>111</v>
      </c>
      <c r="P731" s="9" t="s">
        <v>67</v>
      </c>
      <c r="Q731" s="5">
        <v>6</v>
      </c>
      <c r="R731" s="5">
        <v>3</v>
      </c>
      <c r="S731" s="5">
        <v>4851</v>
      </c>
      <c r="T731" s="10" t="s">
        <v>30</v>
      </c>
      <c r="U731" t="str">
        <f>IF(OR(E731&lt;'Q1'!$E$13,E731&gt;'Q1'!$E$14),"Outliers","Not an Outliers")</f>
        <v>Not an Outliers</v>
      </c>
      <c r="V731" t="str">
        <f t="shared" si="11"/>
        <v>Weekday</v>
      </c>
    </row>
    <row r="732" spans="1:22" x14ac:dyDescent="0.3">
      <c r="A732" s="23">
        <v>45574</v>
      </c>
      <c r="B732" s="7" t="s">
        <v>44</v>
      </c>
      <c r="C732" s="7" t="s">
        <v>21</v>
      </c>
      <c r="D732" s="7" t="s">
        <v>57</v>
      </c>
      <c r="E732" s="4">
        <v>1000</v>
      </c>
      <c r="F732" s="4" t="b">
        <v>0</v>
      </c>
      <c r="G732" s="7" t="s">
        <v>64</v>
      </c>
      <c r="H732" s="7" t="s">
        <v>35</v>
      </c>
      <c r="I732" s="7" t="s">
        <v>47</v>
      </c>
      <c r="J732" s="7" t="s">
        <v>26</v>
      </c>
      <c r="K732" s="4">
        <v>2</v>
      </c>
      <c r="L732" s="7" t="s">
        <v>36</v>
      </c>
      <c r="M732" s="7" t="s">
        <v>28</v>
      </c>
      <c r="N732" s="4" t="b">
        <v>1</v>
      </c>
      <c r="O732" s="4">
        <v>24</v>
      </c>
      <c r="P732" s="7" t="s">
        <v>29</v>
      </c>
      <c r="Q732" s="4">
        <v>6</v>
      </c>
      <c r="R732" s="4">
        <v>1</v>
      </c>
      <c r="S732" s="4">
        <v>4600</v>
      </c>
      <c r="T732" s="8" t="s">
        <v>30</v>
      </c>
      <c r="U732" t="str">
        <f>IF(OR(E732&lt;'Q1'!$E$13,E732&gt;'Q1'!$E$14),"Outliers","Not an Outliers")</f>
        <v>Not an Outliers</v>
      </c>
      <c r="V732" t="str">
        <f t="shared" si="11"/>
        <v>Weekday</v>
      </c>
    </row>
    <row r="733" spans="1:22" x14ac:dyDescent="0.3">
      <c r="A733" s="24">
        <v>45574</v>
      </c>
      <c r="B733" s="9" t="s">
        <v>76</v>
      </c>
      <c r="C733" s="9" t="s">
        <v>32</v>
      </c>
      <c r="D733" s="9" t="s">
        <v>46</v>
      </c>
      <c r="E733" s="5">
        <v>3516</v>
      </c>
      <c r="F733" s="5" t="b">
        <v>1</v>
      </c>
      <c r="G733" s="9" t="s">
        <v>64</v>
      </c>
      <c r="H733" s="9" t="s">
        <v>70</v>
      </c>
      <c r="I733" s="9" t="s">
        <v>59</v>
      </c>
      <c r="J733" s="9" t="s">
        <v>26</v>
      </c>
      <c r="K733" s="5">
        <v>2</v>
      </c>
      <c r="L733" s="9" t="s">
        <v>36</v>
      </c>
      <c r="M733" s="9" t="s">
        <v>66</v>
      </c>
      <c r="N733" s="5" t="b">
        <v>1</v>
      </c>
      <c r="O733" s="5">
        <v>10</v>
      </c>
      <c r="P733" s="9" t="s">
        <v>37</v>
      </c>
      <c r="Q733" s="5">
        <v>6</v>
      </c>
      <c r="R733" s="5">
        <v>3</v>
      </c>
      <c r="S733" s="5">
        <v>1623</v>
      </c>
      <c r="T733" s="10" t="s">
        <v>38</v>
      </c>
      <c r="U733" t="str">
        <f>IF(OR(E733&lt;'Q1'!$E$13,E733&gt;'Q1'!$E$14),"Outliers","Not an Outliers")</f>
        <v>Not an Outliers</v>
      </c>
      <c r="V733" t="str">
        <f t="shared" si="11"/>
        <v>Weekday</v>
      </c>
    </row>
    <row r="734" spans="1:22" x14ac:dyDescent="0.3">
      <c r="A734" s="23">
        <v>45576</v>
      </c>
      <c r="B734" s="7" t="s">
        <v>74</v>
      </c>
      <c r="C734" s="7" t="s">
        <v>56</v>
      </c>
      <c r="D734" s="7" t="s">
        <v>33</v>
      </c>
      <c r="E734" s="4">
        <v>2260</v>
      </c>
      <c r="F734" s="4" t="b">
        <v>0</v>
      </c>
      <c r="G734" s="7" t="s">
        <v>23</v>
      </c>
      <c r="H734" s="7" t="s">
        <v>35</v>
      </c>
      <c r="I734" s="7" t="s">
        <v>25</v>
      </c>
      <c r="J734" s="7" t="s">
        <v>54</v>
      </c>
      <c r="K734" s="4">
        <v>3</v>
      </c>
      <c r="L734" s="7" t="s">
        <v>36</v>
      </c>
      <c r="M734" s="7" t="s">
        <v>28</v>
      </c>
      <c r="N734" s="4" t="b">
        <v>0</v>
      </c>
      <c r="O734" s="4">
        <v>30</v>
      </c>
      <c r="P734" s="7" t="s">
        <v>37</v>
      </c>
      <c r="Q734" s="4">
        <v>3</v>
      </c>
      <c r="R734" s="4">
        <v>2</v>
      </c>
      <c r="S734" s="4">
        <v>2793</v>
      </c>
      <c r="T734" s="8" t="s">
        <v>30</v>
      </c>
      <c r="U734" t="str">
        <f>IF(OR(E734&lt;'Q1'!$E$13,E734&gt;'Q1'!$E$14),"Outliers","Not an Outliers")</f>
        <v>Not an Outliers</v>
      </c>
      <c r="V734" t="str">
        <f t="shared" si="11"/>
        <v>Weekday</v>
      </c>
    </row>
    <row r="735" spans="1:22" x14ac:dyDescent="0.3">
      <c r="A735" s="24">
        <v>45576</v>
      </c>
      <c r="B735" s="9" t="s">
        <v>72</v>
      </c>
      <c r="C735" s="9" t="s">
        <v>32</v>
      </c>
      <c r="D735" s="9" t="s">
        <v>33</v>
      </c>
      <c r="E735" s="5">
        <v>1849</v>
      </c>
      <c r="F735" s="5" t="b">
        <v>1</v>
      </c>
      <c r="G735" s="9" t="s">
        <v>23</v>
      </c>
      <c r="H735" s="9" t="s">
        <v>70</v>
      </c>
      <c r="I735" s="9" t="s">
        <v>47</v>
      </c>
      <c r="J735" s="9" t="s">
        <v>48</v>
      </c>
      <c r="K735" s="5">
        <v>1</v>
      </c>
      <c r="L735" s="9" t="s">
        <v>27</v>
      </c>
      <c r="M735" s="9" t="s">
        <v>58</v>
      </c>
      <c r="N735" s="5" t="b">
        <v>1</v>
      </c>
      <c r="O735" s="5">
        <v>32</v>
      </c>
      <c r="P735" s="9" t="s">
        <v>37</v>
      </c>
      <c r="Q735" s="5">
        <v>9</v>
      </c>
      <c r="R735" s="5">
        <v>2</v>
      </c>
      <c r="S735" s="5">
        <v>1231</v>
      </c>
      <c r="T735" s="10" t="s">
        <v>51</v>
      </c>
      <c r="U735" t="str">
        <f>IF(OR(E735&lt;'Q1'!$E$13,E735&gt;'Q1'!$E$14),"Outliers","Not an Outliers")</f>
        <v>Not an Outliers</v>
      </c>
      <c r="V735" t="str">
        <f t="shared" si="11"/>
        <v>Weekday</v>
      </c>
    </row>
    <row r="736" spans="1:22" x14ac:dyDescent="0.3">
      <c r="A736" s="23">
        <v>45576</v>
      </c>
      <c r="B736" s="7" t="s">
        <v>74</v>
      </c>
      <c r="C736" s="7" t="s">
        <v>60</v>
      </c>
      <c r="D736" s="7" t="s">
        <v>53</v>
      </c>
      <c r="E736" s="4">
        <v>2752</v>
      </c>
      <c r="F736" s="4" t="b">
        <v>0</v>
      </c>
      <c r="G736" s="7" t="s">
        <v>65</v>
      </c>
      <c r="H736" s="7" t="s">
        <v>35</v>
      </c>
      <c r="I736" s="7" t="s">
        <v>47</v>
      </c>
      <c r="J736" s="7" t="s">
        <v>48</v>
      </c>
      <c r="K736" s="4">
        <v>2</v>
      </c>
      <c r="L736" s="7" t="s">
        <v>27</v>
      </c>
      <c r="M736" s="7" t="s">
        <v>66</v>
      </c>
      <c r="N736" s="4" t="b">
        <v>1</v>
      </c>
      <c r="O736" s="4">
        <v>9</v>
      </c>
      <c r="P736" s="7" t="s">
        <v>67</v>
      </c>
      <c r="Q736" s="4">
        <v>7</v>
      </c>
      <c r="R736" s="4">
        <v>3</v>
      </c>
      <c r="S736" s="4">
        <v>3604</v>
      </c>
      <c r="T736" s="8" t="s">
        <v>38</v>
      </c>
      <c r="U736" t="str">
        <f>IF(OR(E736&lt;'Q1'!$E$13,E736&gt;'Q1'!$E$14),"Outliers","Not an Outliers")</f>
        <v>Not an Outliers</v>
      </c>
      <c r="V736" t="str">
        <f t="shared" si="11"/>
        <v>Weekday</v>
      </c>
    </row>
    <row r="737" spans="1:22" x14ac:dyDescent="0.3">
      <c r="A737" s="24">
        <v>45576</v>
      </c>
      <c r="B737" s="9" t="s">
        <v>55</v>
      </c>
      <c r="C737" s="9" t="s">
        <v>56</v>
      </c>
      <c r="D737" s="9" t="s">
        <v>53</v>
      </c>
      <c r="E737" s="5">
        <v>7304</v>
      </c>
      <c r="F737" s="5" t="b">
        <v>1</v>
      </c>
      <c r="G737" s="9" t="s">
        <v>64</v>
      </c>
      <c r="H737" s="9" t="s">
        <v>70</v>
      </c>
      <c r="I737" s="9" t="s">
        <v>42</v>
      </c>
      <c r="J737" s="9" t="s">
        <v>48</v>
      </c>
      <c r="K737" s="5">
        <v>2</v>
      </c>
      <c r="L737" s="9" t="s">
        <v>49</v>
      </c>
      <c r="M737" s="9" t="s">
        <v>58</v>
      </c>
      <c r="N737" s="5" t="b">
        <v>0</v>
      </c>
      <c r="O737" s="5">
        <v>60</v>
      </c>
      <c r="P737" s="9" t="s">
        <v>63</v>
      </c>
      <c r="Q737" s="5">
        <v>7</v>
      </c>
      <c r="R737" s="5">
        <v>3</v>
      </c>
      <c r="S737" s="5">
        <v>2651</v>
      </c>
      <c r="T737" s="10" t="s">
        <v>30</v>
      </c>
      <c r="U737" t="str">
        <f>IF(OR(E737&lt;'Q1'!$E$13,E737&gt;'Q1'!$E$14),"Outliers","Not an Outliers")</f>
        <v>Not an Outliers</v>
      </c>
      <c r="V737" t="str">
        <f t="shared" si="11"/>
        <v>Weekday</v>
      </c>
    </row>
    <row r="738" spans="1:22" x14ac:dyDescent="0.3">
      <c r="A738" s="23">
        <v>45577</v>
      </c>
      <c r="B738" s="7" t="s">
        <v>76</v>
      </c>
      <c r="C738" s="7" t="s">
        <v>56</v>
      </c>
      <c r="D738" s="7" t="s">
        <v>57</v>
      </c>
      <c r="E738" s="4">
        <v>1000</v>
      </c>
      <c r="F738" s="4" t="b">
        <v>0</v>
      </c>
      <c r="G738" s="7" t="s">
        <v>34</v>
      </c>
      <c r="H738" s="7" t="s">
        <v>24</v>
      </c>
      <c r="I738" s="7" t="s">
        <v>25</v>
      </c>
      <c r="J738" s="7" t="s">
        <v>54</v>
      </c>
      <c r="K738" s="4">
        <v>5</v>
      </c>
      <c r="L738" s="7" t="s">
        <v>27</v>
      </c>
      <c r="M738" s="7" t="s">
        <v>28</v>
      </c>
      <c r="N738" s="4" t="b">
        <v>0</v>
      </c>
      <c r="O738" s="4">
        <v>117</v>
      </c>
      <c r="P738" s="7" t="s">
        <v>37</v>
      </c>
      <c r="Q738" s="4">
        <v>9</v>
      </c>
      <c r="R738" s="4">
        <v>2</v>
      </c>
      <c r="S738" s="4">
        <v>2924</v>
      </c>
      <c r="T738" s="8" t="s">
        <v>51</v>
      </c>
      <c r="U738" t="str">
        <f>IF(OR(E738&lt;'Q1'!$E$13,E738&gt;'Q1'!$E$14),"Outliers","Not an Outliers")</f>
        <v>Not an Outliers</v>
      </c>
      <c r="V738" t="str">
        <f t="shared" si="11"/>
        <v>Weekend</v>
      </c>
    </row>
    <row r="739" spans="1:22" x14ac:dyDescent="0.3">
      <c r="A739" s="24">
        <v>45577</v>
      </c>
      <c r="B739" s="9" t="s">
        <v>44</v>
      </c>
      <c r="C739" s="9" t="s">
        <v>56</v>
      </c>
      <c r="D739" s="9" t="s">
        <v>53</v>
      </c>
      <c r="E739" s="5">
        <v>7488</v>
      </c>
      <c r="F739" s="5" t="b">
        <v>0</v>
      </c>
      <c r="G739" s="9" t="s">
        <v>65</v>
      </c>
      <c r="H739" s="9" t="s">
        <v>24</v>
      </c>
      <c r="I739" s="9" t="s">
        <v>47</v>
      </c>
      <c r="J739" s="9" t="s">
        <v>43</v>
      </c>
      <c r="K739" s="5">
        <v>4</v>
      </c>
      <c r="L739" s="9" t="s">
        <v>27</v>
      </c>
      <c r="M739" s="9" t="s">
        <v>58</v>
      </c>
      <c r="N739" s="5" t="b">
        <v>1</v>
      </c>
      <c r="O739" s="5">
        <v>56</v>
      </c>
      <c r="P739" s="9" t="s">
        <v>50</v>
      </c>
      <c r="Q739" s="5">
        <v>2</v>
      </c>
      <c r="R739" s="5">
        <v>3</v>
      </c>
      <c r="S739" s="5">
        <v>3838</v>
      </c>
      <c r="T739" s="10" t="s">
        <v>30</v>
      </c>
      <c r="U739" t="str">
        <f>IF(OR(E739&lt;'Q1'!$E$13,E739&gt;'Q1'!$E$14),"Outliers","Not an Outliers")</f>
        <v>Not an Outliers</v>
      </c>
      <c r="V739" t="str">
        <f t="shared" si="11"/>
        <v>Weekend</v>
      </c>
    </row>
    <row r="740" spans="1:22" x14ac:dyDescent="0.3">
      <c r="A740" s="23">
        <v>45577</v>
      </c>
      <c r="B740" s="7" t="s">
        <v>39</v>
      </c>
      <c r="C740" s="7" t="s">
        <v>21</v>
      </c>
      <c r="D740" s="7" t="s">
        <v>22</v>
      </c>
      <c r="E740" s="4">
        <v>7704</v>
      </c>
      <c r="F740" s="4" t="b">
        <v>0</v>
      </c>
      <c r="G740" s="7" t="s">
        <v>23</v>
      </c>
      <c r="H740" s="7" t="s">
        <v>70</v>
      </c>
      <c r="I740" s="7" t="s">
        <v>59</v>
      </c>
      <c r="J740" s="7" t="s">
        <v>43</v>
      </c>
      <c r="K740" s="4">
        <v>4</v>
      </c>
      <c r="L740" s="7" t="s">
        <v>49</v>
      </c>
      <c r="M740" s="7" t="s">
        <v>73</v>
      </c>
      <c r="N740" s="4" t="b">
        <v>0</v>
      </c>
      <c r="O740" s="4">
        <v>86</v>
      </c>
      <c r="P740" s="7" t="s">
        <v>63</v>
      </c>
      <c r="Q740" s="4">
        <v>1</v>
      </c>
      <c r="R740" s="4">
        <v>2</v>
      </c>
      <c r="S740" s="4">
        <v>4082</v>
      </c>
      <c r="T740" s="8" t="s">
        <v>38</v>
      </c>
      <c r="U740" t="str">
        <f>IF(OR(E740&lt;'Q1'!$E$13,E740&gt;'Q1'!$E$14),"Outliers","Not an Outliers")</f>
        <v>Not an Outliers</v>
      </c>
      <c r="V740" t="str">
        <f t="shared" si="11"/>
        <v>Weekend</v>
      </c>
    </row>
    <row r="741" spans="1:22" x14ac:dyDescent="0.3">
      <c r="A741" s="24">
        <v>45578</v>
      </c>
      <c r="B741" s="9" t="s">
        <v>69</v>
      </c>
      <c r="C741" s="9" t="s">
        <v>45</v>
      </c>
      <c r="D741" s="9" t="s">
        <v>57</v>
      </c>
      <c r="E741" s="5">
        <v>1000</v>
      </c>
      <c r="F741" s="5" t="b">
        <v>0</v>
      </c>
      <c r="G741" s="9" t="s">
        <v>23</v>
      </c>
      <c r="H741" s="9" t="s">
        <v>24</v>
      </c>
      <c r="I741" s="9" t="s">
        <v>59</v>
      </c>
      <c r="J741" s="9" t="s">
        <v>54</v>
      </c>
      <c r="K741" s="5">
        <v>0</v>
      </c>
      <c r="L741" s="9" t="s">
        <v>27</v>
      </c>
      <c r="M741" s="9" t="s">
        <v>66</v>
      </c>
      <c r="N741" s="5" t="b">
        <v>0</v>
      </c>
      <c r="O741" s="5">
        <v>43</v>
      </c>
      <c r="P741" s="9" t="s">
        <v>37</v>
      </c>
      <c r="Q741" s="5">
        <v>2</v>
      </c>
      <c r="R741" s="5">
        <v>1</v>
      </c>
      <c r="S741" s="5">
        <v>3371</v>
      </c>
      <c r="T741" s="10" t="s">
        <v>38</v>
      </c>
      <c r="U741" t="str">
        <f>IF(OR(E741&lt;'Q1'!$E$13,E741&gt;'Q1'!$E$14),"Outliers","Not an Outliers")</f>
        <v>Not an Outliers</v>
      </c>
      <c r="V741" t="str">
        <f t="shared" si="11"/>
        <v>Weekend</v>
      </c>
    </row>
    <row r="742" spans="1:22" x14ac:dyDescent="0.3">
      <c r="A742" s="23">
        <v>45578</v>
      </c>
      <c r="B742" s="7" t="s">
        <v>77</v>
      </c>
      <c r="C742" s="7" t="s">
        <v>32</v>
      </c>
      <c r="D742" s="7" t="s">
        <v>57</v>
      </c>
      <c r="E742" s="4">
        <v>1000</v>
      </c>
      <c r="F742" s="4" t="b">
        <v>1</v>
      </c>
      <c r="G742" s="7" t="s">
        <v>34</v>
      </c>
      <c r="H742" s="7" t="s">
        <v>70</v>
      </c>
      <c r="I742" s="7" t="s">
        <v>42</v>
      </c>
      <c r="J742" s="7" t="s">
        <v>43</v>
      </c>
      <c r="K742" s="4">
        <v>0</v>
      </c>
      <c r="L742" s="7" t="s">
        <v>27</v>
      </c>
      <c r="M742" s="7" t="s">
        <v>28</v>
      </c>
      <c r="N742" s="4" t="b">
        <v>0</v>
      </c>
      <c r="O742" s="4">
        <v>0</v>
      </c>
      <c r="P742" s="7" t="s">
        <v>67</v>
      </c>
      <c r="Q742" s="4">
        <v>3</v>
      </c>
      <c r="R742" s="4">
        <v>2</v>
      </c>
      <c r="S742" s="4">
        <v>3554</v>
      </c>
      <c r="T742" s="8" t="s">
        <v>30</v>
      </c>
      <c r="U742" t="str">
        <f>IF(OR(E742&lt;'Q1'!$E$13,E742&gt;'Q1'!$E$14),"Outliers","Not an Outliers")</f>
        <v>Not an Outliers</v>
      </c>
      <c r="V742" t="str">
        <f t="shared" si="11"/>
        <v>Weekend</v>
      </c>
    </row>
    <row r="743" spans="1:22" x14ac:dyDescent="0.3">
      <c r="A743" s="24">
        <v>45578</v>
      </c>
      <c r="B743" s="9" t="s">
        <v>74</v>
      </c>
      <c r="C743" s="9" t="s">
        <v>60</v>
      </c>
      <c r="D743" s="9" t="s">
        <v>33</v>
      </c>
      <c r="E743" s="5">
        <v>3982</v>
      </c>
      <c r="F743" s="5" t="b">
        <v>0</v>
      </c>
      <c r="G743" s="9" t="s">
        <v>23</v>
      </c>
      <c r="H743" s="9" t="s">
        <v>70</v>
      </c>
      <c r="I743" s="9" t="s">
        <v>47</v>
      </c>
      <c r="J743" s="9" t="s">
        <v>43</v>
      </c>
      <c r="K743" s="5">
        <v>0</v>
      </c>
      <c r="L743" s="9" t="s">
        <v>27</v>
      </c>
      <c r="M743" s="9" t="s">
        <v>73</v>
      </c>
      <c r="N743" s="5" t="b">
        <v>1</v>
      </c>
      <c r="O743" s="5">
        <v>37</v>
      </c>
      <c r="P743" s="9" t="s">
        <v>37</v>
      </c>
      <c r="Q743" s="5">
        <v>5</v>
      </c>
      <c r="R743" s="5">
        <v>1</v>
      </c>
      <c r="S743" s="5">
        <v>3224</v>
      </c>
      <c r="T743" s="10" t="s">
        <v>51</v>
      </c>
      <c r="U743" t="str">
        <f>IF(OR(E743&lt;'Q1'!$E$13,E743&gt;'Q1'!$E$14),"Outliers","Not an Outliers")</f>
        <v>Not an Outliers</v>
      </c>
      <c r="V743" t="str">
        <f t="shared" si="11"/>
        <v>Weekend</v>
      </c>
    </row>
    <row r="744" spans="1:22" x14ac:dyDescent="0.3">
      <c r="A744" s="23">
        <v>45578</v>
      </c>
      <c r="B744" s="7" t="s">
        <v>71</v>
      </c>
      <c r="C744" s="7" t="s">
        <v>56</v>
      </c>
      <c r="D744" s="7" t="s">
        <v>22</v>
      </c>
      <c r="E744" s="4">
        <v>8150</v>
      </c>
      <c r="F744" s="4" t="b">
        <v>0</v>
      </c>
      <c r="G744" s="7" t="s">
        <v>65</v>
      </c>
      <c r="H744" s="7" t="s">
        <v>70</v>
      </c>
      <c r="I744" s="7" t="s">
        <v>25</v>
      </c>
      <c r="J744" s="7" t="s">
        <v>54</v>
      </c>
      <c r="K744" s="4">
        <v>0</v>
      </c>
      <c r="L744" s="7" t="s">
        <v>36</v>
      </c>
      <c r="M744" s="7" t="s">
        <v>66</v>
      </c>
      <c r="N744" s="4" t="b">
        <v>1</v>
      </c>
      <c r="O744" s="4">
        <v>29</v>
      </c>
      <c r="P744" s="7" t="s">
        <v>29</v>
      </c>
      <c r="Q744" s="4">
        <v>5</v>
      </c>
      <c r="R744" s="4">
        <v>1</v>
      </c>
      <c r="S744" s="4">
        <v>3596</v>
      </c>
      <c r="T744" s="8" t="s">
        <v>38</v>
      </c>
      <c r="U744" t="str">
        <f>IF(OR(E744&lt;'Q1'!$E$13,E744&gt;'Q1'!$E$14),"Outliers","Not an Outliers")</f>
        <v>Not an Outliers</v>
      </c>
      <c r="V744" t="str">
        <f t="shared" si="11"/>
        <v>Weekend</v>
      </c>
    </row>
    <row r="745" spans="1:22" x14ac:dyDescent="0.3">
      <c r="A745" s="24">
        <v>45578</v>
      </c>
      <c r="B745" s="9" t="s">
        <v>75</v>
      </c>
      <c r="C745" s="9" t="s">
        <v>32</v>
      </c>
      <c r="D745" s="9" t="s">
        <v>46</v>
      </c>
      <c r="E745" s="5">
        <v>1417</v>
      </c>
      <c r="F745" s="5" t="b">
        <v>0</v>
      </c>
      <c r="G745" s="9" t="s">
        <v>23</v>
      </c>
      <c r="H745" s="9" t="s">
        <v>70</v>
      </c>
      <c r="I745" s="9" t="s">
        <v>42</v>
      </c>
      <c r="J745" s="9" t="s">
        <v>54</v>
      </c>
      <c r="K745" s="5">
        <v>2</v>
      </c>
      <c r="L745" s="9" t="s">
        <v>49</v>
      </c>
      <c r="M745" s="9" t="s">
        <v>73</v>
      </c>
      <c r="N745" s="5" t="b">
        <v>0</v>
      </c>
      <c r="O745" s="5">
        <v>14</v>
      </c>
      <c r="P745" s="9" t="s">
        <v>67</v>
      </c>
      <c r="Q745" s="5">
        <v>4</v>
      </c>
      <c r="R745" s="5">
        <v>2</v>
      </c>
      <c r="S745" s="5">
        <v>1817</v>
      </c>
      <c r="T745" s="10" t="s">
        <v>30</v>
      </c>
      <c r="U745" t="str">
        <f>IF(OR(E745&lt;'Q1'!$E$13,E745&gt;'Q1'!$E$14),"Outliers","Not an Outliers")</f>
        <v>Not an Outliers</v>
      </c>
      <c r="V745" t="str">
        <f t="shared" si="11"/>
        <v>Weekend</v>
      </c>
    </row>
    <row r="746" spans="1:22" x14ac:dyDescent="0.3">
      <c r="A746" s="23">
        <v>45579</v>
      </c>
      <c r="B746" s="7" t="s">
        <v>76</v>
      </c>
      <c r="C746" s="7" t="s">
        <v>60</v>
      </c>
      <c r="D746" s="7" t="s">
        <v>22</v>
      </c>
      <c r="E746" s="4">
        <v>7993</v>
      </c>
      <c r="F746" s="4" t="b">
        <v>0</v>
      </c>
      <c r="G746" s="7" t="s">
        <v>40</v>
      </c>
      <c r="H746" s="7" t="s">
        <v>70</v>
      </c>
      <c r="I746" s="7" t="s">
        <v>59</v>
      </c>
      <c r="J746" s="7" t="s">
        <v>54</v>
      </c>
      <c r="K746" s="4">
        <v>0</v>
      </c>
      <c r="L746" s="7" t="s">
        <v>49</v>
      </c>
      <c r="M746" s="7" t="s">
        <v>73</v>
      </c>
      <c r="N746" s="4" t="b">
        <v>0</v>
      </c>
      <c r="O746" s="4">
        <v>88</v>
      </c>
      <c r="P746" s="7" t="s">
        <v>67</v>
      </c>
      <c r="Q746" s="4">
        <v>3</v>
      </c>
      <c r="R746" s="4">
        <v>1</v>
      </c>
      <c r="S746" s="4">
        <v>2626</v>
      </c>
      <c r="T746" s="8" t="s">
        <v>30</v>
      </c>
      <c r="U746" t="str">
        <f>IF(OR(E746&lt;'Q1'!$E$13,E746&gt;'Q1'!$E$14),"Outliers","Not an Outliers")</f>
        <v>Not an Outliers</v>
      </c>
      <c r="V746" t="str">
        <f t="shared" si="11"/>
        <v>Weekday</v>
      </c>
    </row>
    <row r="747" spans="1:22" x14ac:dyDescent="0.3">
      <c r="A747" s="24">
        <v>45580</v>
      </c>
      <c r="B747" s="9" t="s">
        <v>52</v>
      </c>
      <c r="C747" s="9" t="s">
        <v>60</v>
      </c>
      <c r="D747" s="9" t="s">
        <v>33</v>
      </c>
      <c r="E747" s="5">
        <v>3342</v>
      </c>
      <c r="F747" s="5" t="b">
        <v>1</v>
      </c>
      <c r="G747" s="9" t="s">
        <v>34</v>
      </c>
      <c r="H747" s="9" t="s">
        <v>35</v>
      </c>
      <c r="I747" s="9" t="s">
        <v>25</v>
      </c>
      <c r="J747" s="9" t="s">
        <v>26</v>
      </c>
      <c r="K747" s="5">
        <v>3</v>
      </c>
      <c r="L747" s="9" t="s">
        <v>49</v>
      </c>
      <c r="M747" s="9" t="s">
        <v>28</v>
      </c>
      <c r="N747" s="5" t="b">
        <v>0</v>
      </c>
      <c r="O747" s="5">
        <v>95</v>
      </c>
      <c r="P747" s="9" t="s">
        <v>67</v>
      </c>
      <c r="Q747" s="5">
        <v>7</v>
      </c>
      <c r="R747" s="5">
        <v>2</v>
      </c>
      <c r="S747" s="5">
        <v>4857</v>
      </c>
      <c r="T747" s="10" t="s">
        <v>38</v>
      </c>
      <c r="U747" t="str">
        <f>IF(OR(E747&lt;'Q1'!$E$13,E747&gt;'Q1'!$E$14),"Outliers","Not an Outliers")</f>
        <v>Not an Outliers</v>
      </c>
      <c r="V747" t="str">
        <f t="shared" si="11"/>
        <v>Weekday</v>
      </c>
    </row>
    <row r="748" spans="1:22" x14ac:dyDescent="0.3">
      <c r="A748" s="23">
        <v>45580</v>
      </c>
      <c r="B748" s="7" t="s">
        <v>39</v>
      </c>
      <c r="C748" s="7" t="s">
        <v>45</v>
      </c>
      <c r="D748" s="7" t="s">
        <v>46</v>
      </c>
      <c r="E748" s="4">
        <v>2283</v>
      </c>
      <c r="F748" s="4" t="b">
        <v>0</v>
      </c>
      <c r="G748" s="7" t="s">
        <v>34</v>
      </c>
      <c r="H748" s="7" t="s">
        <v>41</v>
      </c>
      <c r="I748" s="7" t="s">
        <v>25</v>
      </c>
      <c r="J748" s="7" t="s">
        <v>43</v>
      </c>
      <c r="K748" s="4">
        <v>1</v>
      </c>
      <c r="L748" s="7" t="s">
        <v>27</v>
      </c>
      <c r="M748" s="7" t="s">
        <v>66</v>
      </c>
      <c r="N748" s="4" t="b">
        <v>0</v>
      </c>
      <c r="O748" s="4">
        <v>79</v>
      </c>
      <c r="P748" s="7" t="s">
        <v>37</v>
      </c>
      <c r="Q748" s="4">
        <v>3</v>
      </c>
      <c r="R748" s="4">
        <v>2</v>
      </c>
      <c r="S748" s="4">
        <v>3849</v>
      </c>
      <c r="T748" s="8" t="s">
        <v>51</v>
      </c>
      <c r="U748" t="str">
        <f>IF(OR(E748&lt;'Q1'!$E$13,E748&gt;'Q1'!$E$14),"Outliers","Not an Outliers")</f>
        <v>Not an Outliers</v>
      </c>
      <c r="V748" t="str">
        <f t="shared" si="11"/>
        <v>Weekday</v>
      </c>
    </row>
    <row r="749" spans="1:22" x14ac:dyDescent="0.3">
      <c r="A749" s="24">
        <v>45580</v>
      </c>
      <c r="B749" s="9" t="s">
        <v>39</v>
      </c>
      <c r="C749" s="9" t="s">
        <v>45</v>
      </c>
      <c r="D749" s="9" t="s">
        <v>33</v>
      </c>
      <c r="E749" s="5">
        <v>1929</v>
      </c>
      <c r="F749" s="5" t="b">
        <v>0</v>
      </c>
      <c r="G749" s="9" t="s">
        <v>65</v>
      </c>
      <c r="H749" s="9" t="s">
        <v>41</v>
      </c>
      <c r="I749" s="9" t="s">
        <v>47</v>
      </c>
      <c r="J749" s="9" t="s">
        <v>54</v>
      </c>
      <c r="K749" s="5">
        <v>1</v>
      </c>
      <c r="L749" s="9" t="s">
        <v>36</v>
      </c>
      <c r="M749" s="9" t="s">
        <v>58</v>
      </c>
      <c r="N749" s="5" t="b">
        <v>0</v>
      </c>
      <c r="O749" s="5">
        <v>8</v>
      </c>
      <c r="P749" s="9" t="s">
        <v>37</v>
      </c>
      <c r="Q749" s="5">
        <v>1</v>
      </c>
      <c r="R749" s="5">
        <v>1</v>
      </c>
      <c r="S749" s="5">
        <v>4354</v>
      </c>
      <c r="T749" s="10" t="s">
        <v>51</v>
      </c>
      <c r="U749" t="str">
        <f>IF(OR(E749&lt;'Q1'!$E$13,E749&gt;'Q1'!$E$14),"Outliers","Not an Outliers")</f>
        <v>Not an Outliers</v>
      </c>
      <c r="V749" t="str">
        <f t="shared" si="11"/>
        <v>Weekday</v>
      </c>
    </row>
    <row r="750" spans="1:22" x14ac:dyDescent="0.3">
      <c r="A750" s="23">
        <v>45580</v>
      </c>
      <c r="B750" s="7" t="s">
        <v>72</v>
      </c>
      <c r="C750" s="7" t="s">
        <v>56</v>
      </c>
      <c r="D750" s="7" t="s">
        <v>53</v>
      </c>
      <c r="E750" s="4">
        <v>4136</v>
      </c>
      <c r="F750" s="4" t="b">
        <v>0</v>
      </c>
      <c r="G750" s="7" t="s">
        <v>64</v>
      </c>
      <c r="H750" s="7" t="s">
        <v>70</v>
      </c>
      <c r="I750" s="7" t="s">
        <v>47</v>
      </c>
      <c r="J750" s="7" t="s">
        <v>48</v>
      </c>
      <c r="K750" s="4">
        <v>0</v>
      </c>
      <c r="L750" s="7" t="s">
        <v>49</v>
      </c>
      <c r="M750" s="7" t="s">
        <v>66</v>
      </c>
      <c r="N750" s="4" t="b">
        <v>0</v>
      </c>
      <c r="O750" s="4">
        <v>68</v>
      </c>
      <c r="P750" s="7" t="s">
        <v>29</v>
      </c>
      <c r="Q750" s="4">
        <v>8</v>
      </c>
      <c r="R750" s="4">
        <v>3</v>
      </c>
      <c r="S750" s="4">
        <v>3531</v>
      </c>
      <c r="T750" s="8" t="s">
        <v>51</v>
      </c>
      <c r="U750" t="str">
        <f>IF(OR(E750&lt;'Q1'!$E$13,E750&gt;'Q1'!$E$14),"Outliers","Not an Outliers")</f>
        <v>Not an Outliers</v>
      </c>
      <c r="V750" t="str">
        <f t="shared" si="11"/>
        <v>Weekday</v>
      </c>
    </row>
    <row r="751" spans="1:22" x14ac:dyDescent="0.3">
      <c r="A751" s="24">
        <v>45581</v>
      </c>
      <c r="B751" s="9" t="s">
        <v>71</v>
      </c>
      <c r="C751" s="9" t="s">
        <v>32</v>
      </c>
      <c r="D751" s="9" t="s">
        <v>57</v>
      </c>
      <c r="E751" s="5">
        <v>1000</v>
      </c>
      <c r="F751" s="5" t="b">
        <v>0</v>
      </c>
      <c r="G751" s="9" t="s">
        <v>23</v>
      </c>
      <c r="H751" s="9" t="s">
        <v>41</v>
      </c>
      <c r="I751" s="9" t="s">
        <v>25</v>
      </c>
      <c r="J751" s="9" t="s">
        <v>48</v>
      </c>
      <c r="K751" s="5">
        <v>2</v>
      </c>
      <c r="L751" s="9" t="s">
        <v>27</v>
      </c>
      <c r="M751" s="9" t="s">
        <v>73</v>
      </c>
      <c r="N751" s="5" t="b">
        <v>1</v>
      </c>
      <c r="O751" s="5">
        <v>70</v>
      </c>
      <c r="P751" s="9" t="s">
        <v>67</v>
      </c>
      <c r="Q751" s="5">
        <v>9</v>
      </c>
      <c r="R751" s="5">
        <v>2</v>
      </c>
      <c r="S751" s="5">
        <v>4947</v>
      </c>
      <c r="T751" s="10" t="s">
        <v>51</v>
      </c>
      <c r="U751" t="str">
        <f>IF(OR(E751&lt;'Q1'!$E$13,E751&gt;'Q1'!$E$14),"Outliers","Not an Outliers")</f>
        <v>Not an Outliers</v>
      </c>
      <c r="V751" t="str">
        <f t="shared" si="11"/>
        <v>Weekday</v>
      </c>
    </row>
    <row r="752" spans="1:22" x14ac:dyDescent="0.3">
      <c r="A752" s="23">
        <v>45581</v>
      </c>
      <c r="B752" s="7" t="s">
        <v>39</v>
      </c>
      <c r="C752" s="7" t="s">
        <v>21</v>
      </c>
      <c r="D752" s="7" t="s">
        <v>33</v>
      </c>
      <c r="E752" s="4">
        <v>2950</v>
      </c>
      <c r="F752" s="4" t="b">
        <v>0</v>
      </c>
      <c r="G752" s="7" t="s">
        <v>23</v>
      </c>
      <c r="H752" s="7" t="s">
        <v>24</v>
      </c>
      <c r="I752" s="7" t="s">
        <v>42</v>
      </c>
      <c r="J752" s="7" t="s">
        <v>26</v>
      </c>
      <c r="K752" s="4">
        <v>2</v>
      </c>
      <c r="L752" s="7" t="s">
        <v>36</v>
      </c>
      <c r="M752" s="7" t="s">
        <v>66</v>
      </c>
      <c r="N752" s="4" t="b">
        <v>0</v>
      </c>
      <c r="O752" s="4">
        <v>77</v>
      </c>
      <c r="P752" s="7" t="s">
        <v>50</v>
      </c>
      <c r="Q752" s="4">
        <v>9</v>
      </c>
      <c r="R752" s="4">
        <v>3</v>
      </c>
      <c r="S752" s="4">
        <v>1835</v>
      </c>
      <c r="T752" s="8" t="s">
        <v>38</v>
      </c>
      <c r="U752" t="str">
        <f>IF(OR(E752&lt;'Q1'!$E$13,E752&gt;'Q1'!$E$14),"Outliers","Not an Outliers")</f>
        <v>Not an Outliers</v>
      </c>
      <c r="V752" t="str">
        <f t="shared" si="11"/>
        <v>Weekday</v>
      </c>
    </row>
    <row r="753" spans="1:22" x14ac:dyDescent="0.3">
      <c r="A753" s="24">
        <v>45581</v>
      </c>
      <c r="B753" s="9" t="s">
        <v>72</v>
      </c>
      <c r="C753" s="9" t="s">
        <v>32</v>
      </c>
      <c r="D753" s="9" t="s">
        <v>57</v>
      </c>
      <c r="E753" s="5">
        <v>1000</v>
      </c>
      <c r="F753" s="5" t="b">
        <v>0</v>
      </c>
      <c r="G753" s="9" t="s">
        <v>65</v>
      </c>
      <c r="H753" s="9" t="s">
        <v>24</v>
      </c>
      <c r="I753" s="9" t="s">
        <v>42</v>
      </c>
      <c r="J753" s="9" t="s">
        <v>48</v>
      </c>
      <c r="K753" s="5">
        <v>0</v>
      </c>
      <c r="L753" s="9" t="s">
        <v>36</v>
      </c>
      <c r="M753" s="9" t="s">
        <v>73</v>
      </c>
      <c r="N753" s="5" t="b">
        <v>1</v>
      </c>
      <c r="O753" s="5">
        <v>19</v>
      </c>
      <c r="P753" s="9" t="s">
        <v>29</v>
      </c>
      <c r="Q753" s="5">
        <v>10</v>
      </c>
      <c r="R753" s="5">
        <v>1</v>
      </c>
      <c r="S753" s="5">
        <v>4795</v>
      </c>
      <c r="T753" s="10" t="s">
        <v>38</v>
      </c>
      <c r="U753" t="str">
        <f>IF(OR(E753&lt;'Q1'!$E$13,E753&gt;'Q1'!$E$14),"Outliers","Not an Outliers")</f>
        <v>Not an Outliers</v>
      </c>
      <c r="V753" t="str">
        <f t="shared" si="11"/>
        <v>Weekday</v>
      </c>
    </row>
    <row r="754" spans="1:22" x14ac:dyDescent="0.3">
      <c r="A754" s="23">
        <v>45581</v>
      </c>
      <c r="B754" s="7" t="s">
        <v>69</v>
      </c>
      <c r="C754" s="7" t="s">
        <v>56</v>
      </c>
      <c r="D754" s="7" t="s">
        <v>53</v>
      </c>
      <c r="E754" s="4">
        <v>2039</v>
      </c>
      <c r="F754" s="4" t="b">
        <v>0</v>
      </c>
      <c r="G754" s="7" t="s">
        <v>34</v>
      </c>
      <c r="H754" s="7" t="s">
        <v>24</v>
      </c>
      <c r="I754" s="7" t="s">
        <v>59</v>
      </c>
      <c r="J754" s="7" t="s">
        <v>26</v>
      </c>
      <c r="K754" s="4">
        <v>25</v>
      </c>
      <c r="L754" s="7" t="s">
        <v>36</v>
      </c>
      <c r="M754" s="7" t="s">
        <v>66</v>
      </c>
      <c r="N754" s="4" t="b">
        <v>0</v>
      </c>
      <c r="O754" s="4">
        <v>36</v>
      </c>
      <c r="P754" s="7" t="s">
        <v>37</v>
      </c>
      <c r="Q754" s="4">
        <v>7</v>
      </c>
      <c r="R754" s="4">
        <v>2</v>
      </c>
      <c r="S754" s="4">
        <v>1636</v>
      </c>
      <c r="T754" s="8" t="s">
        <v>38</v>
      </c>
      <c r="U754" t="str">
        <f>IF(OR(E754&lt;'Q1'!$E$13,E754&gt;'Q1'!$E$14),"Outliers","Not an Outliers")</f>
        <v>Not an Outliers</v>
      </c>
      <c r="V754" t="str">
        <f t="shared" si="11"/>
        <v>Weekday</v>
      </c>
    </row>
    <row r="755" spans="1:22" x14ac:dyDescent="0.3">
      <c r="A755" s="24">
        <v>45581</v>
      </c>
      <c r="B755" s="9" t="s">
        <v>55</v>
      </c>
      <c r="C755" s="9" t="s">
        <v>60</v>
      </c>
      <c r="D755" s="9" t="s">
        <v>22</v>
      </c>
      <c r="E755" s="5">
        <v>5980</v>
      </c>
      <c r="F755" s="5" t="b">
        <v>0</v>
      </c>
      <c r="G755" s="9" t="s">
        <v>40</v>
      </c>
      <c r="H755" s="9" t="s">
        <v>41</v>
      </c>
      <c r="I755" s="9" t="s">
        <v>59</v>
      </c>
      <c r="J755" s="9" t="s">
        <v>54</v>
      </c>
      <c r="K755" s="5">
        <v>1</v>
      </c>
      <c r="L755" s="9" t="s">
        <v>27</v>
      </c>
      <c r="M755" s="9" t="s">
        <v>58</v>
      </c>
      <c r="N755" s="5" t="b">
        <v>0</v>
      </c>
      <c r="O755" s="5">
        <v>95</v>
      </c>
      <c r="P755" s="9" t="s">
        <v>29</v>
      </c>
      <c r="Q755" s="5">
        <v>9</v>
      </c>
      <c r="R755" s="5">
        <v>3</v>
      </c>
      <c r="S755" s="5">
        <v>2472</v>
      </c>
      <c r="T755" s="10" t="s">
        <v>38</v>
      </c>
      <c r="U755" t="str">
        <f>IF(OR(E755&lt;'Q1'!$E$13,E755&gt;'Q1'!$E$14),"Outliers","Not an Outliers")</f>
        <v>Not an Outliers</v>
      </c>
      <c r="V755" t="str">
        <f t="shared" si="11"/>
        <v>Weekday</v>
      </c>
    </row>
    <row r="756" spans="1:22" x14ac:dyDescent="0.3">
      <c r="A756" s="23">
        <v>45582</v>
      </c>
      <c r="B756" s="7" t="s">
        <v>20</v>
      </c>
      <c r="C756" s="7" t="s">
        <v>60</v>
      </c>
      <c r="D756" s="7" t="s">
        <v>22</v>
      </c>
      <c r="E756" s="4">
        <v>6392</v>
      </c>
      <c r="F756" s="4" t="b">
        <v>0</v>
      </c>
      <c r="G756" s="7" t="s">
        <v>23</v>
      </c>
      <c r="H756" s="7" t="s">
        <v>41</v>
      </c>
      <c r="I756" s="7" t="s">
        <v>47</v>
      </c>
      <c r="J756" s="7" t="s">
        <v>54</v>
      </c>
      <c r="K756" s="4">
        <v>2</v>
      </c>
      <c r="L756" s="7" t="s">
        <v>36</v>
      </c>
      <c r="M756" s="7" t="s">
        <v>58</v>
      </c>
      <c r="N756" s="4" t="b">
        <v>0</v>
      </c>
      <c r="O756" s="4">
        <v>58</v>
      </c>
      <c r="P756" s="7" t="s">
        <v>50</v>
      </c>
      <c r="Q756" s="4">
        <v>6</v>
      </c>
      <c r="R756" s="4">
        <v>2</v>
      </c>
      <c r="S756" s="4">
        <v>4968</v>
      </c>
      <c r="T756" s="8" t="s">
        <v>51</v>
      </c>
      <c r="U756" t="str">
        <f>IF(OR(E756&lt;'Q1'!$E$13,E756&gt;'Q1'!$E$14),"Outliers","Not an Outliers")</f>
        <v>Not an Outliers</v>
      </c>
      <c r="V756" t="str">
        <f t="shared" si="11"/>
        <v>Weekday</v>
      </c>
    </row>
    <row r="757" spans="1:22" x14ac:dyDescent="0.3">
      <c r="A757" s="24">
        <v>45583</v>
      </c>
      <c r="B757" s="9" t="s">
        <v>71</v>
      </c>
      <c r="C757" s="9" t="s">
        <v>60</v>
      </c>
      <c r="D757" s="9" t="s">
        <v>46</v>
      </c>
      <c r="E757" s="5">
        <v>1193</v>
      </c>
      <c r="F757" s="5" t="b">
        <v>0</v>
      </c>
      <c r="G757" s="9" t="s">
        <v>40</v>
      </c>
      <c r="H757" s="9" t="s">
        <v>35</v>
      </c>
      <c r="I757" s="9" t="s">
        <v>42</v>
      </c>
      <c r="J757" s="9" t="s">
        <v>26</v>
      </c>
      <c r="K757" s="5">
        <v>0</v>
      </c>
      <c r="L757" s="9" t="s">
        <v>27</v>
      </c>
      <c r="M757" s="9" t="s">
        <v>66</v>
      </c>
      <c r="N757" s="5" t="b">
        <v>0</v>
      </c>
      <c r="O757" s="5">
        <v>43</v>
      </c>
      <c r="P757" s="9" t="s">
        <v>29</v>
      </c>
      <c r="Q757" s="5">
        <v>5</v>
      </c>
      <c r="R757" s="5">
        <v>1</v>
      </c>
      <c r="S757" s="5">
        <v>2063</v>
      </c>
      <c r="T757" s="10" t="s">
        <v>30</v>
      </c>
      <c r="U757" t="str">
        <f>IF(OR(E757&lt;'Q1'!$E$13,E757&gt;'Q1'!$E$14),"Outliers","Not an Outliers")</f>
        <v>Not an Outliers</v>
      </c>
      <c r="V757" t="str">
        <f t="shared" si="11"/>
        <v>Weekday</v>
      </c>
    </row>
    <row r="758" spans="1:22" x14ac:dyDescent="0.3">
      <c r="A758" s="23">
        <v>45583</v>
      </c>
      <c r="B758" s="7" t="s">
        <v>44</v>
      </c>
      <c r="C758" s="7" t="s">
        <v>56</v>
      </c>
      <c r="D758" s="7" t="s">
        <v>53</v>
      </c>
      <c r="E758" s="4">
        <v>7471</v>
      </c>
      <c r="F758" s="4" t="b">
        <v>0</v>
      </c>
      <c r="G758" s="7" t="s">
        <v>34</v>
      </c>
      <c r="H758" s="7" t="s">
        <v>70</v>
      </c>
      <c r="I758" s="7" t="s">
        <v>47</v>
      </c>
      <c r="J758" s="7" t="s">
        <v>48</v>
      </c>
      <c r="K758" s="4">
        <v>24</v>
      </c>
      <c r="L758" s="7" t="s">
        <v>27</v>
      </c>
      <c r="M758" s="7" t="s">
        <v>58</v>
      </c>
      <c r="N758" s="4" t="b">
        <v>1</v>
      </c>
      <c r="O758" s="4">
        <v>70</v>
      </c>
      <c r="P758" s="7" t="s">
        <v>29</v>
      </c>
      <c r="Q758" s="4">
        <v>9</v>
      </c>
      <c r="R758" s="4">
        <v>1</v>
      </c>
      <c r="S758" s="4">
        <v>1329</v>
      </c>
      <c r="T758" s="8" t="s">
        <v>38</v>
      </c>
      <c r="U758" t="str">
        <f>IF(OR(E758&lt;'Q1'!$E$13,E758&gt;'Q1'!$E$14),"Outliers","Not an Outliers")</f>
        <v>Not an Outliers</v>
      </c>
      <c r="V758" t="str">
        <f t="shared" si="11"/>
        <v>Weekday</v>
      </c>
    </row>
    <row r="759" spans="1:22" x14ac:dyDescent="0.3">
      <c r="A759" s="24">
        <v>45583</v>
      </c>
      <c r="B759" s="9" t="s">
        <v>74</v>
      </c>
      <c r="C759" s="9" t="s">
        <v>21</v>
      </c>
      <c r="D759" s="9" t="s">
        <v>22</v>
      </c>
      <c r="E759" s="5">
        <v>5054</v>
      </c>
      <c r="F759" s="5" t="b">
        <v>1</v>
      </c>
      <c r="G759" s="9" t="s">
        <v>40</v>
      </c>
      <c r="H759" s="9" t="s">
        <v>41</v>
      </c>
      <c r="I759" s="9" t="s">
        <v>42</v>
      </c>
      <c r="J759" s="9" t="s">
        <v>54</v>
      </c>
      <c r="K759" s="5">
        <v>3</v>
      </c>
      <c r="L759" s="9" t="s">
        <v>49</v>
      </c>
      <c r="M759" s="9" t="s">
        <v>58</v>
      </c>
      <c r="N759" s="5" t="b">
        <v>1</v>
      </c>
      <c r="O759" s="5">
        <v>26</v>
      </c>
      <c r="P759" s="9" t="s">
        <v>37</v>
      </c>
      <c r="Q759" s="5">
        <v>2</v>
      </c>
      <c r="R759" s="5">
        <v>1</v>
      </c>
      <c r="S759" s="5">
        <v>4817</v>
      </c>
      <c r="T759" s="10" t="s">
        <v>38</v>
      </c>
      <c r="U759" t="str">
        <f>IF(OR(E759&lt;'Q1'!$E$13,E759&gt;'Q1'!$E$14),"Outliers","Not an Outliers")</f>
        <v>Not an Outliers</v>
      </c>
      <c r="V759" t="str">
        <f t="shared" si="11"/>
        <v>Weekday</v>
      </c>
    </row>
    <row r="760" spans="1:22" x14ac:dyDescent="0.3">
      <c r="A760" s="23">
        <v>45583</v>
      </c>
      <c r="B760" s="7" t="s">
        <v>62</v>
      </c>
      <c r="C760" s="7" t="s">
        <v>32</v>
      </c>
      <c r="D760" s="7" t="s">
        <v>46</v>
      </c>
      <c r="E760" s="4">
        <v>4309</v>
      </c>
      <c r="F760" s="4" t="b">
        <v>0</v>
      </c>
      <c r="G760" s="7" t="s">
        <v>34</v>
      </c>
      <c r="H760" s="7" t="s">
        <v>41</v>
      </c>
      <c r="I760" s="7" t="s">
        <v>59</v>
      </c>
      <c r="J760" s="7" t="s">
        <v>54</v>
      </c>
      <c r="K760" s="4">
        <v>2</v>
      </c>
      <c r="L760" s="7" t="s">
        <v>27</v>
      </c>
      <c r="M760" s="7" t="s">
        <v>28</v>
      </c>
      <c r="N760" s="4" t="b">
        <v>1</v>
      </c>
      <c r="O760" s="4">
        <v>14</v>
      </c>
      <c r="P760" s="7" t="s">
        <v>37</v>
      </c>
      <c r="Q760" s="4">
        <v>1</v>
      </c>
      <c r="R760" s="4">
        <v>1</v>
      </c>
      <c r="S760" s="4">
        <v>4586</v>
      </c>
      <c r="T760" s="8" t="s">
        <v>38</v>
      </c>
      <c r="U760" t="str">
        <f>IF(OR(E760&lt;'Q1'!$E$13,E760&gt;'Q1'!$E$14),"Outliers","Not an Outliers")</f>
        <v>Not an Outliers</v>
      </c>
      <c r="V760" t="str">
        <f t="shared" si="11"/>
        <v>Weekday</v>
      </c>
    </row>
    <row r="761" spans="1:22" x14ac:dyDescent="0.3">
      <c r="A761" s="24">
        <v>45583</v>
      </c>
      <c r="B761" s="9" t="s">
        <v>71</v>
      </c>
      <c r="C761" s="9" t="s">
        <v>45</v>
      </c>
      <c r="D761" s="9" t="s">
        <v>46</v>
      </c>
      <c r="E761" s="5">
        <v>1192</v>
      </c>
      <c r="F761" s="5" t="b">
        <v>0</v>
      </c>
      <c r="G761" s="9" t="s">
        <v>34</v>
      </c>
      <c r="H761" s="9" t="s">
        <v>41</v>
      </c>
      <c r="I761" s="9" t="s">
        <v>47</v>
      </c>
      <c r="J761" s="9" t="s">
        <v>26</v>
      </c>
      <c r="K761" s="5">
        <v>1</v>
      </c>
      <c r="L761" s="9" t="s">
        <v>36</v>
      </c>
      <c r="M761" s="9" t="s">
        <v>58</v>
      </c>
      <c r="N761" s="5" t="b">
        <v>1</v>
      </c>
      <c r="O761" s="5">
        <v>72</v>
      </c>
      <c r="P761" s="9" t="s">
        <v>67</v>
      </c>
      <c r="Q761" s="5">
        <v>2</v>
      </c>
      <c r="R761" s="5">
        <v>2</v>
      </c>
      <c r="S761" s="5">
        <v>2897</v>
      </c>
      <c r="T761" s="10" t="s">
        <v>30</v>
      </c>
      <c r="U761" t="str">
        <f>IF(OR(E761&lt;'Q1'!$E$13,E761&gt;'Q1'!$E$14),"Outliers","Not an Outliers")</f>
        <v>Not an Outliers</v>
      </c>
      <c r="V761" t="str">
        <f t="shared" si="11"/>
        <v>Weekday</v>
      </c>
    </row>
    <row r="762" spans="1:22" x14ac:dyDescent="0.3">
      <c r="A762" s="23">
        <v>45584</v>
      </c>
      <c r="B762" s="7" t="s">
        <v>39</v>
      </c>
      <c r="C762" s="7" t="s">
        <v>45</v>
      </c>
      <c r="D762" s="7" t="s">
        <v>22</v>
      </c>
      <c r="E762" s="4">
        <v>5558</v>
      </c>
      <c r="F762" s="4" t="b">
        <v>1</v>
      </c>
      <c r="G762" s="7" t="s">
        <v>23</v>
      </c>
      <c r="H762" s="7" t="s">
        <v>41</v>
      </c>
      <c r="I762" s="7" t="s">
        <v>42</v>
      </c>
      <c r="J762" s="7" t="s">
        <v>43</v>
      </c>
      <c r="K762" s="4">
        <v>3</v>
      </c>
      <c r="L762" s="7" t="s">
        <v>27</v>
      </c>
      <c r="M762" s="7" t="s">
        <v>73</v>
      </c>
      <c r="N762" s="4" t="b">
        <v>1</v>
      </c>
      <c r="O762" s="4">
        <v>97</v>
      </c>
      <c r="P762" s="7" t="s">
        <v>50</v>
      </c>
      <c r="Q762" s="4">
        <v>1</v>
      </c>
      <c r="R762" s="4">
        <v>3</v>
      </c>
      <c r="S762" s="4">
        <v>2770</v>
      </c>
      <c r="T762" s="8" t="s">
        <v>51</v>
      </c>
      <c r="U762" t="str">
        <f>IF(OR(E762&lt;'Q1'!$E$13,E762&gt;'Q1'!$E$14),"Outliers","Not an Outliers")</f>
        <v>Not an Outliers</v>
      </c>
      <c r="V762" t="str">
        <f t="shared" si="11"/>
        <v>Weekend</v>
      </c>
    </row>
    <row r="763" spans="1:22" x14ac:dyDescent="0.3">
      <c r="A763" s="24">
        <v>45585</v>
      </c>
      <c r="B763" s="9" t="s">
        <v>31</v>
      </c>
      <c r="C763" s="9" t="s">
        <v>32</v>
      </c>
      <c r="D763" s="9" t="s">
        <v>53</v>
      </c>
      <c r="E763" s="5">
        <v>2284</v>
      </c>
      <c r="F763" s="5" t="b">
        <v>0</v>
      </c>
      <c r="G763" s="9" t="s">
        <v>34</v>
      </c>
      <c r="H763" s="9" t="s">
        <v>70</v>
      </c>
      <c r="I763" s="9" t="s">
        <v>25</v>
      </c>
      <c r="J763" s="9" t="s">
        <v>26</v>
      </c>
      <c r="K763" s="5">
        <v>5</v>
      </c>
      <c r="L763" s="9" t="s">
        <v>36</v>
      </c>
      <c r="M763" s="9" t="s">
        <v>28</v>
      </c>
      <c r="N763" s="5" t="b">
        <v>1</v>
      </c>
      <c r="O763" s="5">
        <v>110</v>
      </c>
      <c r="P763" s="9" t="s">
        <v>67</v>
      </c>
      <c r="Q763" s="5">
        <v>2</v>
      </c>
      <c r="R763" s="5">
        <v>1</v>
      </c>
      <c r="S763" s="5">
        <v>2145</v>
      </c>
      <c r="T763" s="10" t="s">
        <v>38</v>
      </c>
      <c r="U763" t="str">
        <f>IF(OR(E763&lt;'Q1'!$E$13,E763&gt;'Q1'!$E$14),"Outliers","Not an Outliers")</f>
        <v>Not an Outliers</v>
      </c>
      <c r="V763" t="str">
        <f t="shared" si="11"/>
        <v>Weekend</v>
      </c>
    </row>
    <row r="764" spans="1:22" x14ac:dyDescent="0.3">
      <c r="A764" s="23">
        <v>45586</v>
      </c>
      <c r="B764" s="7" t="s">
        <v>71</v>
      </c>
      <c r="C764" s="7" t="s">
        <v>60</v>
      </c>
      <c r="D764" s="7" t="s">
        <v>33</v>
      </c>
      <c r="E764" s="4">
        <v>4854</v>
      </c>
      <c r="F764" s="4" t="b">
        <v>0</v>
      </c>
      <c r="G764" s="7" t="s">
        <v>64</v>
      </c>
      <c r="H764" s="7" t="s">
        <v>24</v>
      </c>
      <c r="I764" s="7" t="s">
        <v>47</v>
      </c>
      <c r="J764" s="7" t="s">
        <v>48</v>
      </c>
      <c r="K764" s="4">
        <v>3</v>
      </c>
      <c r="L764" s="7" t="s">
        <v>27</v>
      </c>
      <c r="M764" s="7" t="s">
        <v>58</v>
      </c>
      <c r="N764" s="4" t="b">
        <v>0</v>
      </c>
      <c r="O764" s="4">
        <v>62</v>
      </c>
      <c r="P764" s="7" t="s">
        <v>37</v>
      </c>
      <c r="Q764" s="4">
        <v>4</v>
      </c>
      <c r="R764" s="4">
        <v>2</v>
      </c>
      <c r="S764" s="4">
        <v>1219</v>
      </c>
      <c r="T764" s="8" t="s">
        <v>38</v>
      </c>
      <c r="U764" t="str">
        <f>IF(OR(E764&lt;'Q1'!$E$13,E764&gt;'Q1'!$E$14),"Outliers","Not an Outliers")</f>
        <v>Not an Outliers</v>
      </c>
      <c r="V764" t="str">
        <f t="shared" si="11"/>
        <v>Weekday</v>
      </c>
    </row>
    <row r="765" spans="1:22" x14ac:dyDescent="0.3">
      <c r="A765" s="24">
        <v>45586</v>
      </c>
      <c r="B765" s="9" t="s">
        <v>20</v>
      </c>
      <c r="C765" s="9" t="s">
        <v>21</v>
      </c>
      <c r="D765" s="9" t="s">
        <v>33</v>
      </c>
      <c r="E765" s="5">
        <v>3504</v>
      </c>
      <c r="F765" s="5" t="b">
        <v>0</v>
      </c>
      <c r="G765" s="9" t="s">
        <v>65</v>
      </c>
      <c r="H765" s="9" t="s">
        <v>41</v>
      </c>
      <c r="I765" s="9" t="s">
        <v>47</v>
      </c>
      <c r="J765" s="9" t="s">
        <v>54</v>
      </c>
      <c r="K765" s="5">
        <v>5</v>
      </c>
      <c r="L765" s="9" t="s">
        <v>49</v>
      </c>
      <c r="M765" s="9" t="s">
        <v>73</v>
      </c>
      <c r="N765" s="5" t="b">
        <v>0</v>
      </c>
      <c r="O765" s="5">
        <v>28</v>
      </c>
      <c r="P765" s="9" t="s">
        <v>50</v>
      </c>
      <c r="Q765" s="5">
        <v>5</v>
      </c>
      <c r="R765" s="5">
        <v>2</v>
      </c>
      <c r="S765" s="5">
        <v>2470</v>
      </c>
      <c r="T765" s="10" t="s">
        <v>38</v>
      </c>
      <c r="U765" t="str">
        <f>IF(OR(E765&lt;'Q1'!$E$13,E765&gt;'Q1'!$E$14),"Outliers","Not an Outliers")</f>
        <v>Not an Outliers</v>
      </c>
      <c r="V765" t="str">
        <f t="shared" si="11"/>
        <v>Weekday</v>
      </c>
    </row>
    <row r="766" spans="1:22" x14ac:dyDescent="0.3">
      <c r="A766" s="23">
        <v>45586</v>
      </c>
      <c r="B766" s="7" t="s">
        <v>52</v>
      </c>
      <c r="C766" s="7" t="s">
        <v>21</v>
      </c>
      <c r="D766" s="7" t="s">
        <v>22</v>
      </c>
      <c r="E766" s="4">
        <v>5357</v>
      </c>
      <c r="F766" s="4" t="b">
        <v>0</v>
      </c>
      <c r="G766" s="7" t="s">
        <v>64</v>
      </c>
      <c r="H766" s="7" t="s">
        <v>41</v>
      </c>
      <c r="I766" s="7" t="s">
        <v>25</v>
      </c>
      <c r="J766" s="7" t="s">
        <v>26</v>
      </c>
      <c r="K766" s="4">
        <v>3</v>
      </c>
      <c r="L766" s="7" t="s">
        <v>49</v>
      </c>
      <c r="M766" s="7" t="s">
        <v>28</v>
      </c>
      <c r="N766" s="4" t="b">
        <v>0</v>
      </c>
      <c r="O766" s="4">
        <v>56</v>
      </c>
      <c r="P766" s="7" t="s">
        <v>37</v>
      </c>
      <c r="Q766" s="4">
        <v>2</v>
      </c>
      <c r="R766" s="4">
        <v>2</v>
      </c>
      <c r="S766" s="4">
        <v>889</v>
      </c>
      <c r="T766" s="8" t="s">
        <v>38</v>
      </c>
      <c r="U766" t="str">
        <f>IF(OR(E766&lt;'Q1'!$E$13,E766&gt;'Q1'!$E$14),"Outliers","Not an Outliers")</f>
        <v>Not an Outliers</v>
      </c>
      <c r="V766" t="str">
        <f t="shared" si="11"/>
        <v>Weekday</v>
      </c>
    </row>
    <row r="767" spans="1:22" x14ac:dyDescent="0.3">
      <c r="A767" s="24">
        <v>45587</v>
      </c>
      <c r="B767" s="9" t="s">
        <v>39</v>
      </c>
      <c r="C767" s="9" t="s">
        <v>32</v>
      </c>
      <c r="D767" s="9" t="s">
        <v>53</v>
      </c>
      <c r="E767" s="5">
        <v>4865</v>
      </c>
      <c r="F767" s="5" t="b">
        <v>1</v>
      </c>
      <c r="G767" s="9" t="s">
        <v>40</v>
      </c>
      <c r="H767" s="9" t="s">
        <v>24</v>
      </c>
      <c r="I767" s="9" t="s">
        <v>42</v>
      </c>
      <c r="J767" s="9" t="s">
        <v>54</v>
      </c>
      <c r="K767" s="5">
        <v>2</v>
      </c>
      <c r="L767" s="9" t="s">
        <v>36</v>
      </c>
      <c r="M767" s="9" t="s">
        <v>66</v>
      </c>
      <c r="N767" s="5" t="b">
        <v>1</v>
      </c>
      <c r="O767" s="5">
        <v>80</v>
      </c>
      <c r="P767" s="9" t="s">
        <v>67</v>
      </c>
      <c r="Q767" s="5">
        <v>7</v>
      </c>
      <c r="R767" s="5">
        <v>2</v>
      </c>
      <c r="S767" s="5">
        <v>3601</v>
      </c>
      <c r="T767" s="10" t="s">
        <v>51</v>
      </c>
      <c r="U767" t="str">
        <f>IF(OR(E767&lt;'Q1'!$E$13,E767&gt;'Q1'!$E$14),"Outliers","Not an Outliers")</f>
        <v>Not an Outliers</v>
      </c>
      <c r="V767" t="str">
        <f t="shared" si="11"/>
        <v>Weekday</v>
      </c>
    </row>
    <row r="768" spans="1:22" x14ac:dyDescent="0.3">
      <c r="A768" s="23">
        <v>45587</v>
      </c>
      <c r="B768" s="7" t="s">
        <v>74</v>
      </c>
      <c r="C768" s="7" t="s">
        <v>56</v>
      </c>
      <c r="D768" s="7" t="s">
        <v>46</v>
      </c>
      <c r="E768" s="4">
        <v>2402</v>
      </c>
      <c r="F768" s="4" t="b">
        <v>1</v>
      </c>
      <c r="G768" s="7" t="s">
        <v>34</v>
      </c>
      <c r="H768" s="7" t="s">
        <v>24</v>
      </c>
      <c r="I768" s="7" t="s">
        <v>47</v>
      </c>
      <c r="J768" s="7" t="s">
        <v>43</v>
      </c>
      <c r="K768" s="4">
        <v>2</v>
      </c>
      <c r="L768" s="7" t="s">
        <v>36</v>
      </c>
      <c r="M768" s="7" t="s">
        <v>28</v>
      </c>
      <c r="N768" s="4" t="b">
        <v>1</v>
      </c>
      <c r="O768" s="4">
        <v>71</v>
      </c>
      <c r="P768" s="7" t="s">
        <v>63</v>
      </c>
      <c r="Q768" s="4">
        <v>5</v>
      </c>
      <c r="R768" s="4">
        <v>2</v>
      </c>
      <c r="S768" s="4">
        <v>2027</v>
      </c>
      <c r="T768" s="8" t="s">
        <v>30</v>
      </c>
      <c r="U768" t="str">
        <f>IF(OR(E768&lt;'Q1'!$E$13,E768&gt;'Q1'!$E$14),"Outliers","Not an Outliers")</f>
        <v>Not an Outliers</v>
      </c>
      <c r="V768" t="str">
        <f t="shared" si="11"/>
        <v>Weekday</v>
      </c>
    </row>
    <row r="769" spans="1:22" x14ac:dyDescent="0.3">
      <c r="A769" s="24">
        <v>45587</v>
      </c>
      <c r="B769" s="9" t="s">
        <v>76</v>
      </c>
      <c r="C769" s="9" t="s">
        <v>56</v>
      </c>
      <c r="D769" s="9" t="s">
        <v>33</v>
      </c>
      <c r="E769" s="5">
        <v>2720</v>
      </c>
      <c r="F769" s="5" t="b">
        <v>0</v>
      </c>
      <c r="G769" s="9" t="s">
        <v>40</v>
      </c>
      <c r="H769" s="9" t="s">
        <v>24</v>
      </c>
      <c r="I769" s="9" t="s">
        <v>25</v>
      </c>
      <c r="J769" s="9" t="s">
        <v>26</v>
      </c>
      <c r="K769" s="5">
        <v>5</v>
      </c>
      <c r="L769" s="9" t="s">
        <v>49</v>
      </c>
      <c r="M769" s="9" t="s">
        <v>66</v>
      </c>
      <c r="N769" s="5" t="b">
        <v>1</v>
      </c>
      <c r="O769" s="5">
        <v>40</v>
      </c>
      <c r="P769" s="9" t="s">
        <v>37</v>
      </c>
      <c r="Q769" s="5">
        <v>5</v>
      </c>
      <c r="R769" s="5">
        <v>2</v>
      </c>
      <c r="S769" s="5">
        <v>2340</v>
      </c>
      <c r="T769" s="10" t="s">
        <v>51</v>
      </c>
      <c r="U769" t="str">
        <f>IF(OR(E769&lt;'Q1'!$E$13,E769&gt;'Q1'!$E$14),"Outliers","Not an Outliers")</f>
        <v>Not an Outliers</v>
      </c>
      <c r="V769" t="str">
        <f t="shared" si="11"/>
        <v>Weekday</v>
      </c>
    </row>
    <row r="770" spans="1:22" x14ac:dyDescent="0.3">
      <c r="A770" s="23">
        <v>45587</v>
      </c>
      <c r="B770" s="7" t="s">
        <v>20</v>
      </c>
      <c r="C770" s="7" t="s">
        <v>32</v>
      </c>
      <c r="D770" s="7" t="s">
        <v>57</v>
      </c>
      <c r="E770" s="4">
        <v>1000</v>
      </c>
      <c r="F770" s="4" t="b">
        <v>1</v>
      </c>
      <c r="G770" s="7" t="s">
        <v>65</v>
      </c>
      <c r="H770" s="7" t="s">
        <v>35</v>
      </c>
      <c r="I770" s="7" t="s">
        <v>59</v>
      </c>
      <c r="J770" s="7" t="s">
        <v>48</v>
      </c>
      <c r="K770" s="4">
        <v>4</v>
      </c>
      <c r="L770" s="7" t="s">
        <v>36</v>
      </c>
      <c r="M770" s="7" t="s">
        <v>28</v>
      </c>
      <c r="N770" s="4" t="b">
        <v>1</v>
      </c>
      <c r="O770" s="4">
        <v>44</v>
      </c>
      <c r="P770" s="7" t="s">
        <v>29</v>
      </c>
      <c r="Q770" s="4">
        <v>5</v>
      </c>
      <c r="R770" s="4">
        <v>2</v>
      </c>
      <c r="S770" s="4">
        <v>702</v>
      </c>
      <c r="T770" s="8" t="s">
        <v>51</v>
      </c>
      <c r="U770" t="str">
        <f>IF(OR(E770&lt;'Q1'!$E$13,E770&gt;'Q1'!$E$14),"Outliers","Not an Outliers")</f>
        <v>Not an Outliers</v>
      </c>
      <c r="V770" t="str">
        <f t="shared" si="11"/>
        <v>Weekday</v>
      </c>
    </row>
    <row r="771" spans="1:22" x14ac:dyDescent="0.3">
      <c r="A771" s="24">
        <v>45589</v>
      </c>
      <c r="B771" s="9" t="s">
        <v>74</v>
      </c>
      <c r="C771" s="9" t="s">
        <v>60</v>
      </c>
      <c r="D771" s="9" t="s">
        <v>33</v>
      </c>
      <c r="E771" s="5">
        <v>2479</v>
      </c>
      <c r="F771" s="5" t="b">
        <v>0</v>
      </c>
      <c r="G771" s="9" t="s">
        <v>34</v>
      </c>
      <c r="H771" s="9" t="s">
        <v>35</v>
      </c>
      <c r="I771" s="9" t="s">
        <v>47</v>
      </c>
      <c r="J771" s="9" t="s">
        <v>26</v>
      </c>
      <c r="K771" s="5">
        <v>2</v>
      </c>
      <c r="L771" s="9" t="s">
        <v>49</v>
      </c>
      <c r="M771" s="9" t="s">
        <v>58</v>
      </c>
      <c r="N771" s="5" t="b">
        <v>1</v>
      </c>
      <c r="O771" s="5">
        <v>9</v>
      </c>
      <c r="P771" s="9" t="s">
        <v>50</v>
      </c>
      <c r="Q771" s="5">
        <v>7</v>
      </c>
      <c r="R771" s="5">
        <v>3</v>
      </c>
      <c r="S771" s="5">
        <v>3011</v>
      </c>
      <c r="T771" s="10" t="s">
        <v>51</v>
      </c>
      <c r="U771" t="str">
        <f>IF(OR(E771&lt;'Q1'!$E$13,E771&gt;'Q1'!$E$14),"Outliers","Not an Outliers")</f>
        <v>Not an Outliers</v>
      </c>
      <c r="V771" t="str">
        <f t="shared" ref="V771:V834" si="12">IF(WEEKDAY(A771,2)&gt;5,"Weekend","Weekday")</f>
        <v>Weekday</v>
      </c>
    </row>
    <row r="772" spans="1:22" x14ac:dyDescent="0.3">
      <c r="A772" s="23">
        <v>45589</v>
      </c>
      <c r="B772" s="7" t="s">
        <v>71</v>
      </c>
      <c r="C772" s="7" t="s">
        <v>21</v>
      </c>
      <c r="D772" s="7" t="s">
        <v>53</v>
      </c>
      <c r="E772" s="4">
        <v>5605</v>
      </c>
      <c r="F772" s="4" t="b">
        <v>1</v>
      </c>
      <c r="G772" s="7" t="s">
        <v>40</v>
      </c>
      <c r="H772" s="7" t="s">
        <v>24</v>
      </c>
      <c r="I772" s="7" t="s">
        <v>42</v>
      </c>
      <c r="J772" s="7" t="s">
        <v>48</v>
      </c>
      <c r="K772" s="4">
        <v>2</v>
      </c>
      <c r="L772" s="7" t="s">
        <v>27</v>
      </c>
      <c r="M772" s="7" t="s">
        <v>73</v>
      </c>
      <c r="N772" s="4" t="b">
        <v>0</v>
      </c>
      <c r="O772" s="4">
        <v>80</v>
      </c>
      <c r="P772" s="7" t="s">
        <v>29</v>
      </c>
      <c r="Q772" s="4">
        <v>2</v>
      </c>
      <c r="R772" s="4">
        <v>3</v>
      </c>
      <c r="S772" s="4">
        <v>4150</v>
      </c>
      <c r="T772" s="8" t="s">
        <v>38</v>
      </c>
      <c r="U772" t="str">
        <f>IF(OR(E772&lt;'Q1'!$E$13,E772&gt;'Q1'!$E$14),"Outliers","Not an Outliers")</f>
        <v>Not an Outliers</v>
      </c>
      <c r="V772" t="str">
        <f t="shared" si="12"/>
        <v>Weekday</v>
      </c>
    </row>
    <row r="773" spans="1:22" x14ac:dyDescent="0.3">
      <c r="A773" s="24">
        <v>45590</v>
      </c>
      <c r="B773" s="9" t="s">
        <v>77</v>
      </c>
      <c r="C773" s="9" t="s">
        <v>21</v>
      </c>
      <c r="D773" s="9" t="s">
        <v>53</v>
      </c>
      <c r="E773" s="5">
        <v>5904</v>
      </c>
      <c r="F773" s="5" t="b">
        <v>1</v>
      </c>
      <c r="G773" s="9" t="s">
        <v>34</v>
      </c>
      <c r="H773" s="9" t="s">
        <v>35</v>
      </c>
      <c r="I773" s="9" t="s">
        <v>25</v>
      </c>
      <c r="J773" s="9" t="s">
        <v>26</v>
      </c>
      <c r="K773" s="5">
        <v>1</v>
      </c>
      <c r="L773" s="9" t="s">
        <v>49</v>
      </c>
      <c r="M773" s="9" t="s">
        <v>58</v>
      </c>
      <c r="N773" s="5" t="b">
        <v>0</v>
      </c>
      <c r="O773" s="5">
        <v>17</v>
      </c>
      <c r="P773" s="9" t="s">
        <v>50</v>
      </c>
      <c r="Q773" s="5">
        <v>7</v>
      </c>
      <c r="R773" s="5">
        <v>1</v>
      </c>
      <c r="S773" s="5">
        <v>1259</v>
      </c>
      <c r="T773" s="10" t="s">
        <v>38</v>
      </c>
      <c r="U773" t="str">
        <f>IF(OR(E773&lt;'Q1'!$E$13,E773&gt;'Q1'!$E$14),"Outliers","Not an Outliers")</f>
        <v>Not an Outliers</v>
      </c>
      <c r="V773" t="str">
        <f t="shared" si="12"/>
        <v>Weekday</v>
      </c>
    </row>
    <row r="774" spans="1:22" x14ac:dyDescent="0.3">
      <c r="A774" s="23">
        <v>45591</v>
      </c>
      <c r="B774" s="7" t="s">
        <v>44</v>
      </c>
      <c r="C774" s="7" t="s">
        <v>60</v>
      </c>
      <c r="D774" s="7" t="s">
        <v>61</v>
      </c>
      <c r="E774" s="4">
        <v>1000</v>
      </c>
      <c r="F774" s="4" t="b">
        <v>1</v>
      </c>
      <c r="G774" s="7" t="s">
        <v>34</v>
      </c>
      <c r="H774" s="7" t="s">
        <v>41</v>
      </c>
      <c r="I774" s="7" t="s">
        <v>59</v>
      </c>
      <c r="J774" s="7" t="s">
        <v>43</v>
      </c>
      <c r="K774" s="4">
        <v>2</v>
      </c>
      <c r="L774" s="7" t="s">
        <v>36</v>
      </c>
      <c r="M774" s="7" t="s">
        <v>66</v>
      </c>
      <c r="N774" s="4" t="b">
        <v>0</v>
      </c>
      <c r="O774" s="4">
        <v>21</v>
      </c>
      <c r="P774" s="7" t="s">
        <v>37</v>
      </c>
      <c r="Q774" s="4">
        <v>5</v>
      </c>
      <c r="R774" s="4">
        <v>2</v>
      </c>
      <c r="S774" s="4">
        <v>1806</v>
      </c>
      <c r="T774" s="8" t="s">
        <v>30</v>
      </c>
      <c r="U774" t="str">
        <f>IF(OR(E774&lt;'Q1'!$E$13,E774&gt;'Q1'!$E$14),"Outliers","Not an Outliers")</f>
        <v>Not an Outliers</v>
      </c>
      <c r="V774" t="str">
        <f t="shared" si="12"/>
        <v>Weekend</v>
      </c>
    </row>
    <row r="775" spans="1:22" x14ac:dyDescent="0.3">
      <c r="A775" s="24">
        <v>45592</v>
      </c>
      <c r="B775" s="9" t="s">
        <v>39</v>
      </c>
      <c r="C775" s="9" t="s">
        <v>60</v>
      </c>
      <c r="D775" s="9" t="s">
        <v>61</v>
      </c>
      <c r="E775" s="5">
        <v>1000</v>
      </c>
      <c r="F775" s="5" t="b">
        <v>1</v>
      </c>
      <c r="G775" s="9" t="s">
        <v>64</v>
      </c>
      <c r="H775" s="9" t="s">
        <v>35</v>
      </c>
      <c r="I775" s="9" t="s">
        <v>42</v>
      </c>
      <c r="J775" s="9" t="s">
        <v>48</v>
      </c>
      <c r="K775" s="5">
        <v>2</v>
      </c>
      <c r="L775" s="9" t="s">
        <v>49</v>
      </c>
      <c r="M775" s="9" t="s">
        <v>58</v>
      </c>
      <c r="N775" s="5" t="b">
        <v>1</v>
      </c>
      <c r="O775" s="5">
        <v>43</v>
      </c>
      <c r="P775" s="9" t="s">
        <v>37</v>
      </c>
      <c r="Q775" s="5">
        <v>10</v>
      </c>
      <c r="R775" s="5">
        <v>2</v>
      </c>
      <c r="S775" s="5">
        <v>1396</v>
      </c>
      <c r="T775" s="10" t="s">
        <v>30</v>
      </c>
      <c r="U775" t="str">
        <f>IF(OR(E775&lt;'Q1'!$E$13,E775&gt;'Q1'!$E$14),"Outliers","Not an Outliers")</f>
        <v>Not an Outliers</v>
      </c>
      <c r="V775" t="str">
        <f t="shared" si="12"/>
        <v>Weekend</v>
      </c>
    </row>
    <row r="776" spans="1:22" x14ac:dyDescent="0.3">
      <c r="A776" s="23">
        <v>45592</v>
      </c>
      <c r="B776" s="7" t="s">
        <v>52</v>
      </c>
      <c r="C776" s="7" t="s">
        <v>60</v>
      </c>
      <c r="D776" s="7" t="s">
        <v>61</v>
      </c>
      <c r="E776" s="4">
        <v>1000</v>
      </c>
      <c r="F776" s="4" t="b">
        <v>1</v>
      </c>
      <c r="G776" s="7" t="s">
        <v>23</v>
      </c>
      <c r="H776" s="7" t="s">
        <v>24</v>
      </c>
      <c r="I776" s="7" t="s">
        <v>42</v>
      </c>
      <c r="J776" s="7" t="s">
        <v>26</v>
      </c>
      <c r="K776" s="4">
        <v>1</v>
      </c>
      <c r="L776" s="7" t="s">
        <v>27</v>
      </c>
      <c r="M776" s="7" t="s">
        <v>66</v>
      </c>
      <c r="N776" s="4" t="b">
        <v>0</v>
      </c>
      <c r="O776" s="4">
        <v>62</v>
      </c>
      <c r="P776" s="7" t="s">
        <v>29</v>
      </c>
      <c r="Q776" s="4">
        <v>5</v>
      </c>
      <c r="R776" s="4">
        <v>3</v>
      </c>
      <c r="S776" s="4">
        <v>4693</v>
      </c>
      <c r="T776" s="8" t="s">
        <v>30</v>
      </c>
      <c r="U776" t="str">
        <f>IF(OR(E776&lt;'Q1'!$E$13,E776&gt;'Q1'!$E$14),"Outliers","Not an Outliers")</f>
        <v>Not an Outliers</v>
      </c>
      <c r="V776" t="str">
        <f t="shared" si="12"/>
        <v>Weekend</v>
      </c>
    </row>
    <row r="777" spans="1:22" x14ac:dyDescent="0.3">
      <c r="A777" s="24">
        <v>45592</v>
      </c>
      <c r="B777" s="9" t="s">
        <v>68</v>
      </c>
      <c r="C777" s="9" t="s">
        <v>45</v>
      </c>
      <c r="D777" s="9" t="s">
        <v>33</v>
      </c>
      <c r="E777" s="5">
        <v>3699</v>
      </c>
      <c r="F777" s="5" t="b">
        <v>0</v>
      </c>
      <c r="G777" s="9" t="s">
        <v>23</v>
      </c>
      <c r="H777" s="9" t="s">
        <v>70</v>
      </c>
      <c r="I777" s="9" t="s">
        <v>59</v>
      </c>
      <c r="J777" s="9" t="s">
        <v>26</v>
      </c>
      <c r="K777" s="5">
        <v>3</v>
      </c>
      <c r="L777" s="9" t="s">
        <v>27</v>
      </c>
      <c r="M777" s="9" t="s">
        <v>28</v>
      </c>
      <c r="N777" s="5" t="b">
        <v>1</v>
      </c>
      <c r="O777" s="5">
        <v>93</v>
      </c>
      <c r="P777" s="9" t="s">
        <v>63</v>
      </c>
      <c r="Q777" s="5">
        <v>4</v>
      </c>
      <c r="R777" s="5">
        <v>1</v>
      </c>
      <c r="S777" s="5">
        <v>3301</v>
      </c>
      <c r="T777" s="10" t="s">
        <v>51</v>
      </c>
      <c r="U777" t="str">
        <f>IF(OR(E777&lt;'Q1'!$E$13,E777&gt;'Q1'!$E$14),"Outliers","Not an Outliers")</f>
        <v>Not an Outliers</v>
      </c>
      <c r="V777" t="str">
        <f t="shared" si="12"/>
        <v>Weekend</v>
      </c>
    </row>
    <row r="778" spans="1:22" x14ac:dyDescent="0.3">
      <c r="A778" s="23">
        <v>45592</v>
      </c>
      <c r="B778" s="7" t="s">
        <v>62</v>
      </c>
      <c r="C778" s="7" t="s">
        <v>21</v>
      </c>
      <c r="D778" s="7" t="s">
        <v>53</v>
      </c>
      <c r="E778" s="4">
        <v>3705</v>
      </c>
      <c r="F778" s="4" t="b">
        <v>1</v>
      </c>
      <c r="G778" s="7" t="s">
        <v>65</v>
      </c>
      <c r="H778" s="7" t="s">
        <v>35</v>
      </c>
      <c r="I778" s="7" t="s">
        <v>59</v>
      </c>
      <c r="J778" s="7" t="s">
        <v>43</v>
      </c>
      <c r="K778" s="4">
        <v>1</v>
      </c>
      <c r="L778" s="7" t="s">
        <v>27</v>
      </c>
      <c r="M778" s="7" t="s">
        <v>73</v>
      </c>
      <c r="N778" s="4" t="b">
        <v>0</v>
      </c>
      <c r="O778" s="4">
        <v>112</v>
      </c>
      <c r="P778" s="7" t="s">
        <v>50</v>
      </c>
      <c r="Q778" s="4">
        <v>4</v>
      </c>
      <c r="R778" s="4">
        <v>2</v>
      </c>
      <c r="S778" s="4">
        <v>4181</v>
      </c>
      <c r="T778" s="8" t="s">
        <v>38</v>
      </c>
      <c r="U778" t="str">
        <f>IF(OR(E778&lt;'Q1'!$E$13,E778&gt;'Q1'!$E$14),"Outliers","Not an Outliers")</f>
        <v>Not an Outliers</v>
      </c>
      <c r="V778" t="str">
        <f t="shared" si="12"/>
        <v>Weekend</v>
      </c>
    </row>
    <row r="779" spans="1:22" x14ac:dyDescent="0.3">
      <c r="A779" s="24">
        <v>45593</v>
      </c>
      <c r="B779" s="9" t="s">
        <v>68</v>
      </c>
      <c r="C779" s="9" t="s">
        <v>60</v>
      </c>
      <c r="D779" s="9" t="s">
        <v>22</v>
      </c>
      <c r="E779" s="5">
        <v>8997</v>
      </c>
      <c r="F779" s="5" t="b">
        <v>1</v>
      </c>
      <c r="G779" s="9" t="s">
        <v>34</v>
      </c>
      <c r="H779" s="9" t="s">
        <v>70</v>
      </c>
      <c r="I779" s="9" t="s">
        <v>47</v>
      </c>
      <c r="J779" s="9" t="s">
        <v>43</v>
      </c>
      <c r="K779" s="5">
        <v>1</v>
      </c>
      <c r="L779" s="9" t="s">
        <v>27</v>
      </c>
      <c r="M779" s="9" t="s">
        <v>73</v>
      </c>
      <c r="N779" s="5" t="b">
        <v>1</v>
      </c>
      <c r="O779" s="5">
        <v>23</v>
      </c>
      <c r="P779" s="9" t="s">
        <v>29</v>
      </c>
      <c r="Q779" s="5">
        <v>5</v>
      </c>
      <c r="R779" s="5">
        <v>3</v>
      </c>
      <c r="S779" s="5">
        <v>897</v>
      </c>
      <c r="T779" s="10" t="s">
        <v>30</v>
      </c>
      <c r="U779" t="str">
        <f>IF(OR(E779&lt;'Q1'!$E$13,E779&gt;'Q1'!$E$14),"Outliers","Not an Outliers")</f>
        <v>Not an Outliers</v>
      </c>
      <c r="V779" t="str">
        <f t="shared" si="12"/>
        <v>Weekday</v>
      </c>
    </row>
    <row r="780" spans="1:22" x14ac:dyDescent="0.3">
      <c r="A780" s="23">
        <v>45593</v>
      </c>
      <c r="B780" s="7" t="s">
        <v>52</v>
      </c>
      <c r="C780" s="7" t="s">
        <v>21</v>
      </c>
      <c r="D780" s="7" t="s">
        <v>57</v>
      </c>
      <c r="E780" s="4">
        <v>1000</v>
      </c>
      <c r="F780" s="4" t="b">
        <v>1</v>
      </c>
      <c r="G780" s="7" t="s">
        <v>23</v>
      </c>
      <c r="H780" s="7" t="s">
        <v>41</v>
      </c>
      <c r="I780" s="7" t="s">
        <v>47</v>
      </c>
      <c r="J780" s="7" t="s">
        <v>48</v>
      </c>
      <c r="K780" s="4">
        <v>0</v>
      </c>
      <c r="L780" s="7" t="s">
        <v>49</v>
      </c>
      <c r="M780" s="7" t="s">
        <v>28</v>
      </c>
      <c r="N780" s="4" t="b">
        <v>1</v>
      </c>
      <c r="O780" s="4">
        <v>113</v>
      </c>
      <c r="P780" s="7" t="s">
        <v>37</v>
      </c>
      <c r="Q780" s="4">
        <v>4</v>
      </c>
      <c r="R780" s="4">
        <v>2</v>
      </c>
      <c r="S780" s="4">
        <v>4324</v>
      </c>
      <c r="T780" s="8" t="s">
        <v>30</v>
      </c>
      <c r="U780" t="str">
        <f>IF(OR(E780&lt;'Q1'!$E$13,E780&gt;'Q1'!$E$14),"Outliers","Not an Outliers")</f>
        <v>Not an Outliers</v>
      </c>
      <c r="V780" t="str">
        <f t="shared" si="12"/>
        <v>Weekday</v>
      </c>
    </row>
    <row r="781" spans="1:22" x14ac:dyDescent="0.3">
      <c r="A781" s="24">
        <v>45597</v>
      </c>
      <c r="B781" s="9" t="s">
        <v>62</v>
      </c>
      <c r="C781" s="9" t="s">
        <v>32</v>
      </c>
      <c r="D781" s="9" t="s">
        <v>53</v>
      </c>
      <c r="E781" s="5">
        <v>7633</v>
      </c>
      <c r="F781" s="5" t="b">
        <v>0</v>
      </c>
      <c r="G781" s="9" t="s">
        <v>34</v>
      </c>
      <c r="H781" s="9" t="s">
        <v>24</v>
      </c>
      <c r="I781" s="9" t="s">
        <v>42</v>
      </c>
      <c r="J781" s="9" t="s">
        <v>48</v>
      </c>
      <c r="K781" s="5">
        <v>0</v>
      </c>
      <c r="L781" s="9" t="s">
        <v>36</v>
      </c>
      <c r="M781" s="9" t="s">
        <v>58</v>
      </c>
      <c r="N781" s="5" t="b">
        <v>1</v>
      </c>
      <c r="O781" s="5">
        <v>100</v>
      </c>
      <c r="P781" s="9" t="s">
        <v>67</v>
      </c>
      <c r="Q781" s="5">
        <v>3</v>
      </c>
      <c r="R781" s="5">
        <v>2</v>
      </c>
      <c r="S781" s="5">
        <v>3036</v>
      </c>
      <c r="T781" s="10" t="s">
        <v>51</v>
      </c>
      <c r="U781" t="str">
        <f>IF(OR(E781&lt;'Q1'!$E$13,E781&gt;'Q1'!$E$14),"Outliers","Not an Outliers")</f>
        <v>Not an Outliers</v>
      </c>
      <c r="V781" t="str">
        <f t="shared" si="12"/>
        <v>Weekday</v>
      </c>
    </row>
    <row r="782" spans="1:22" x14ac:dyDescent="0.3">
      <c r="A782" s="23">
        <v>45597</v>
      </c>
      <c r="B782" s="7" t="s">
        <v>68</v>
      </c>
      <c r="C782" s="7" t="s">
        <v>56</v>
      </c>
      <c r="D782" s="7" t="s">
        <v>53</v>
      </c>
      <c r="E782" s="4">
        <v>7579</v>
      </c>
      <c r="F782" s="4" t="b">
        <v>0</v>
      </c>
      <c r="G782" s="7" t="s">
        <v>65</v>
      </c>
      <c r="H782" s="7" t="s">
        <v>70</v>
      </c>
      <c r="I782" s="7" t="s">
        <v>47</v>
      </c>
      <c r="J782" s="7" t="s">
        <v>54</v>
      </c>
      <c r="K782" s="4">
        <v>5</v>
      </c>
      <c r="L782" s="7" t="s">
        <v>27</v>
      </c>
      <c r="M782" s="7" t="s">
        <v>66</v>
      </c>
      <c r="N782" s="4" t="b">
        <v>0</v>
      </c>
      <c r="O782" s="4">
        <v>33</v>
      </c>
      <c r="P782" s="7" t="s">
        <v>37</v>
      </c>
      <c r="Q782" s="4">
        <v>1</v>
      </c>
      <c r="R782" s="4">
        <v>1</v>
      </c>
      <c r="S782" s="4">
        <v>724</v>
      </c>
      <c r="T782" s="8" t="s">
        <v>38</v>
      </c>
      <c r="U782" t="str">
        <f>IF(OR(E782&lt;'Q1'!$E$13,E782&gt;'Q1'!$E$14),"Outliers","Not an Outliers")</f>
        <v>Not an Outliers</v>
      </c>
      <c r="V782" t="str">
        <f t="shared" si="12"/>
        <v>Weekday</v>
      </c>
    </row>
    <row r="783" spans="1:22" x14ac:dyDescent="0.3">
      <c r="A783" s="24">
        <v>45597</v>
      </c>
      <c r="B783" s="9" t="s">
        <v>71</v>
      </c>
      <c r="C783" s="9" t="s">
        <v>60</v>
      </c>
      <c r="D783" s="9" t="s">
        <v>61</v>
      </c>
      <c r="E783" s="5">
        <v>1000</v>
      </c>
      <c r="F783" s="5" t="b">
        <v>0</v>
      </c>
      <c r="G783" s="9" t="s">
        <v>34</v>
      </c>
      <c r="H783" s="9" t="s">
        <v>41</v>
      </c>
      <c r="I783" s="9" t="s">
        <v>42</v>
      </c>
      <c r="J783" s="9" t="s">
        <v>43</v>
      </c>
      <c r="K783" s="5">
        <v>2</v>
      </c>
      <c r="L783" s="9" t="s">
        <v>27</v>
      </c>
      <c r="M783" s="9" t="s">
        <v>73</v>
      </c>
      <c r="N783" s="5" t="b">
        <v>0</v>
      </c>
      <c r="O783" s="5">
        <v>79</v>
      </c>
      <c r="P783" s="9" t="s">
        <v>50</v>
      </c>
      <c r="Q783" s="5">
        <v>10</v>
      </c>
      <c r="R783" s="5">
        <v>3</v>
      </c>
      <c r="S783" s="5">
        <v>1992</v>
      </c>
      <c r="T783" s="10" t="s">
        <v>38</v>
      </c>
      <c r="U783" t="str">
        <f>IF(OR(E783&lt;'Q1'!$E$13,E783&gt;'Q1'!$E$14),"Outliers","Not an Outliers")</f>
        <v>Not an Outliers</v>
      </c>
      <c r="V783" t="str">
        <f t="shared" si="12"/>
        <v>Weekday</v>
      </c>
    </row>
    <row r="784" spans="1:22" x14ac:dyDescent="0.3">
      <c r="A784" s="23">
        <v>45597</v>
      </c>
      <c r="B784" s="7" t="s">
        <v>71</v>
      </c>
      <c r="C784" s="7" t="s">
        <v>56</v>
      </c>
      <c r="D784" s="7" t="s">
        <v>57</v>
      </c>
      <c r="E784" s="4">
        <v>1000</v>
      </c>
      <c r="F784" s="4" t="b">
        <v>0</v>
      </c>
      <c r="G784" s="7" t="s">
        <v>40</v>
      </c>
      <c r="H784" s="7" t="s">
        <v>24</v>
      </c>
      <c r="I784" s="7" t="s">
        <v>47</v>
      </c>
      <c r="J784" s="7" t="s">
        <v>54</v>
      </c>
      <c r="K784" s="4">
        <v>1</v>
      </c>
      <c r="L784" s="7" t="s">
        <v>49</v>
      </c>
      <c r="M784" s="7" t="s">
        <v>28</v>
      </c>
      <c r="N784" s="4" t="b">
        <v>0</v>
      </c>
      <c r="O784" s="4">
        <v>32</v>
      </c>
      <c r="P784" s="7" t="s">
        <v>63</v>
      </c>
      <c r="Q784" s="4">
        <v>1</v>
      </c>
      <c r="R784" s="4">
        <v>2</v>
      </c>
      <c r="S784" s="4">
        <v>964</v>
      </c>
      <c r="T784" s="8" t="s">
        <v>51</v>
      </c>
      <c r="U784" t="str">
        <f>IF(OR(E784&lt;'Q1'!$E$13,E784&gt;'Q1'!$E$14),"Outliers","Not an Outliers")</f>
        <v>Not an Outliers</v>
      </c>
      <c r="V784" t="str">
        <f t="shared" si="12"/>
        <v>Weekday</v>
      </c>
    </row>
    <row r="785" spans="1:22" x14ac:dyDescent="0.3">
      <c r="A785" s="24">
        <v>45597</v>
      </c>
      <c r="B785" s="9" t="s">
        <v>69</v>
      </c>
      <c r="C785" s="9" t="s">
        <v>56</v>
      </c>
      <c r="D785" s="9" t="s">
        <v>53</v>
      </c>
      <c r="E785" s="5">
        <v>2319</v>
      </c>
      <c r="F785" s="5" t="b">
        <v>0</v>
      </c>
      <c r="G785" s="9" t="s">
        <v>65</v>
      </c>
      <c r="H785" s="9" t="s">
        <v>24</v>
      </c>
      <c r="I785" s="9" t="s">
        <v>59</v>
      </c>
      <c r="J785" s="9" t="s">
        <v>48</v>
      </c>
      <c r="K785" s="5">
        <v>4</v>
      </c>
      <c r="L785" s="9" t="s">
        <v>27</v>
      </c>
      <c r="M785" s="9" t="s">
        <v>73</v>
      </c>
      <c r="N785" s="5" t="b">
        <v>1</v>
      </c>
      <c r="O785" s="5">
        <v>108</v>
      </c>
      <c r="P785" s="9" t="s">
        <v>63</v>
      </c>
      <c r="Q785" s="5">
        <v>2</v>
      </c>
      <c r="R785" s="5">
        <v>1</v>
      </c>
      <c r="S785" s="5">
        <v>3970</v>
      </c>
      <c r="T785" s="10" t="s">
        <v>30</v>
      </c>
      <c r="U785" t="str">
        <f>IF(OR(E785&lt;'Q1'!$E$13,E785&gt;'Q1'!$E$14),"Outliers","Not an Outliers")</f>
        <v>Not an Outliers</v>
      </c>
      <c r="V785" t="str">
        <f t="shared" si="12"/>
        <v>Weekday</v>
      </c>
    </row>
    <row r="786" spans="1:22" x14ac:dyDescent="0.3">
      <c r="A786" s="23">
        <v>45597</v>
      </c>
      <c r="B786" s="7" t="s">
        <v>44</v>
      </c>
      <c r="C786" s="7" t="s">
        <v>45</v>
      </c>
      <c r="D786" s="7" t="s">
        <v>57</v>
      </c>
      <c r="E786" s="4">
        <v>1000</v>
      </c>
      <c r="F786" s="4" t="b">
        <v>1</v>
      </c>
      <c r="G786" s="7" t="s">
        <v>40</v>
      </c>
      <c r="H786" s="7" t="s">
        <v>35</v>
      </c>
      <c r="I786" s="7" t="s">
        <v>42</v>
      </c>
      <c r="J786" s="7" t="s">
        <v>26</v>
      </c>
      <c r="K786" s="4">
        <v>2</v>
      </c>
      <c r="L786" s="7" t="s">
        <v>36</v>
      </c>
      <c r="M786" s="7" t="s">
        <v>73</v>
      </c>
      <c r="N786" s="4" t="b">
        <v>0</v>
      </c>
      <c r="O786" s="4">
        <v>112</v>
      </c>
      <c r="P786" s="7" t="s">
        <v>50</v>
      </c>
      <c r="Q786" s="4">
        <v>9</v>
      </c>
      <c r="R786" s="4">
        <v>1</v>
      </c>
      <c r="S786" s="4">
        <v>1107</v>
      </c>
      <c r="T786" s="8" t="s">
        <v>38</v>
      </c>
      <c r="U786" t="str">
        <f>IF(OR(E786&lt;'Q1'!$E$13,E786&gt;'Q1'!$E$14),"Outliers","Not an Outliers")</f>
        <v>Not an Outliers</v>
      </c>
      <c r="V786" t="str">
        <f t="shared" si="12"/>
        <v>Weekday</v>
      </c>
    </row>
    <row r="787" spans="1:22" x14ac:dyDescent="0.3">
      <c r="A787" s="24">
        <v>45598</v>
      </c>
      <c r="B787" s="9" t="s">
        <v>69</v>
      </c>
      <c r="C787" s="9" t="s">
        <v>56</v>
      </c>
      <c r="D787" s="9" t="s">
        <v>33</v>
      </c>
      <c r="E787" s="5">
        <v>4396</v>
      </c>
      <c r="F787" s="5" t="b">
        <v>0</v>
      </c>
      <c r="G787" s="9" t="s">
        <v>40</v>
      </c>
      <c r="H787" s="9" t="s">
        <v>41</v>
      </c>
      <c r="I787" s="9" t="s">
        <v>25</v>
      </c>
      <c r="J787" s="9" t="s">
        <v>26</v>
      </c>
      <c r="K787" s="5">
        <v>5</v>
      </c>
      <c r="L787" s="9" t="s">
        <v>36</v>
      </c>
      <c r="M787" s="9" t="s">
        <v>73</v>
      </c>
      <c r="N787" s="5" t="b">
        <v>1</v>
      </c>
      <c r="O787" s="5">
        <v>103</v>
      </c>
      <c r="P787" s="9" t="s">
        <v>67</v>
      </c>
      <c r="Q787" s="5">
        <v>9</v>
      </c>
      <c r="R787" s="5">
        <v>2</v>
      </c>
      <c r="S787" s="5">
        <v>1597</v>
      </c>
      <c r="T787" s="10" t="s">
        <v>51</v>
      </c>
      <c r="U787" t="str">
        <f>IF(OR(E787&lt;'Q1'!$E$13,E787&gt;'Q1'!$E$14),"Outliers","Not an Outliers")</f>
        <v>Not an Outliers</v>
      </c>
      <c r="V787" t="str">
        <f t="shared" si="12"/>
        <v>Weekend</v>
      </c>
    </row>
    <row r="788" spans="1:22" x14ac:dyDescent="0.3">
      <c r="A788" s="23">
        <v>45598</v>
      </c>
      <c r="B788" s="7" t="s">
        <v>20</v>
      </c>
      <c r="C788" s="7" t="s">
        <v>32</v>
      </c>
      <c r="D788" s="7" t="s">
        <v>46</v>
      </c>
      <c r="E788" s="4">
        <v>4863</v>
      </c>
      <c r="F788" s="4" t="b">
        <v>0</v>
      </c>
      <c r="G788" s="7" t="s">
        <v>65</v>
      </c>
      <c r="H788" s="7" t="s">
        <v>35</v>
      </c>
      <c r="I788" s="7" t="s">
        <v>47</v>
      </c>
      <c r="J788" s="7" t="s">
        <v>26</v>
      </c>
      <c r="K788" s="4">
        <v>4</v>
      </c>
      <c r="L788" s="7" t="s">
        <v>27</v>
      </c>
      <c r="M788" s="7" t="s">
        <v>73</v>
      </c>
      <c r="N788" s="4" t="b">
        <v>0</v>
      </c>
      <c r="O788" s="4">
        <v>99</v>
      </c>
      <c r="P788" s="7" t="s">
        <v>37</v>
      </c>
      <c r="Q788" s="4">
        <v>10</v>
      </c>
      <c r="R788" s="4">
        <v>1</v>
      </c>
      <c r="S788" s="4">
        <v>2512</v>
      </c>
      <c r="T788" s="8" t="s">
        <v>51</v>
      </c>
      <c r="U788" t="str">
        <f>IF(OR(E788&lt;'Q1'!$E$13,E788&gt;'Q1'!$E$14),"Outliers","Not an Outliers")</f>
        <v>Not an Outliers</v>
      </c>
      <c r="V788" t="str">
        <f t="shared" si="12"/>
        <v>Weekend</v>
      </c>
    </row>
    <row r="789" spans="1:22" x14ac:dyDescent="0.3">
      <c r="A789" s="24">
        <v>45598</v>
      </c>
      <c r="B789" s="9" t="s">
        <v>68</v>
      </c>
      <c r="C789" s="9" t="s">
        <v>60</v>
      </c>
      <c r="D789" s="9" t="s">
        <v>33</v>
      </c>
      <c r="E789" s="5">
        <v>7885</v>
      </c>
      <c r="F789" s="5" t="b">
        <v>0</v>
      </c>
      <c r="G789" s="9" t="s">
        <v>23</v>
      </c>
      <c r="H789" s="9" t="s">
        <v>35</v>
      </c>
      <c r="I789" s="9" t="s">
        <v>59</v>
      </c>
      <c r="J789" s="9" t="s">
        <v>48</v>
      </c>
      <c r="K789" s="5">
        <v>3</v>
      </c>
      <c r="L789" s="9" t="s">
        <v>27</v>
      </c>
      <c r="M789" s="9" t="s">
        <v>73</v>
      </c>
      <c r="N789" s="5" t="b">
        <v>1</v>
      </c>
      <c r="O789" s="5">
        <v>9</v>
      </c>
      <c r="P789" s="9" t="s">
        <v>63</v>
      </c>
      <c r="Q789" s="5">
        <v>3</v>
      </c>
      <c r="R789" s="5">
        <v>1</v>
      </c>
      <c r="S789" s="5">
        <v>3815</v>
      </c>
      <c r="T789" s="10" t="s">
        <v>51</v>
      </c>
      <c r="U789" t="str">
        <f>IF(OR(E789&lt;'Q1'!$E$13,E789&gt;'Q1'!$E$14),"Outliers","Not an Outliers")</f>
        <v>Not an Outliers</v>
      </c>
      <c r="V789" t="str">
        <f t="shared" si="12"/>
        <v>Weekend</v>
      </c>
    </row>
    <row r="790" spans="1:22" x14ac:dyDescent="0.3">
      <c r="A790" s="23">
        <v>45598</v>
      </c>
      <c r="B790" s="7" t="s">
        <v>69</v>
      </c>
      <c r="C790" s="7" t="s">
        <v>21</v>
      </c>
      <c r="D790" s="7" t="s">
        <v>22</v>
      </c>
      <c r="E790" s="4">
        <v>9440</v>
      </c>
      <c r="F790" s="4" t="b">
        <v>0</v>
      </c>
      <c r="G790" s="7" t="s">
        <v>34</v>
      </c>
      <c r="H790" s="7" t="s">
        <v>35</v>
      </c>
      <c r="I790" s="7" t="s">
        <v>25</v>
      </c>
      <c r="J790" s="7" t="s">
        <v>43</v>
      </c>
      <c r="K790" s="4">
        <v>5</v>
      </c>
      <c r="L790" s="7" t="s">
        <v>36</v>
      </c>
      <c r="M790" s="7" t="s">
        <v>66</v>
      </c>
      <c r="N790" s="4" t="b">
        <v>1</v>
      </c>
      <c r="O790" s="4">
        <v>8</v>
      </c>
      <c r="P790" s="7" t="s">
        <v>63</v>
      </c>
      <c r="Q790" s="4">
        <v>2</v>
      </c>
      <c r="R790" s="4">
        <v>3</v>
      </c>
      <c r="S790" s="4">
        <v>2227</v>
      </c>
      <c r="T790" s="8" t="s">
        <v>38</v>
      </c>
      <c r="U790" t="str">
        <f>IF(OR(E790&lt;'Q1'!$E$13,E790&gt;'Q1'!$E$14),"Outliers","Not an Outliers")</f>
        <v>Not an Outliers</v>
      </c>
      <c r="V790" t="str">
        <f t="shared" si="12"/>
        <v>Weekend</v>
      </c>
    </row>
    <row r="791" spans="1:22" x14ac:dyDescent="0.3">
      <c r="A791" s="24">
        <v>45598</v>
      </c>
      <c r="B791" s="9" t="s">
        <v>44</v>
      </c>
      <c r="C791" s="9" t="s">
        <v>56</v>
      </c>
      <c r="D791" s="9" t="s">
        <v>57</v>
      </c>
      <c r="E791" s="5">
        <v>1000</v>
      </c>
      <c r="F791" s="5" t="b">
        <v>0</v>
      </c>
      <c r="G791" s="9" t="s">
        <v>64</v>
      </c>
      <c r="H791" s="9" t="s">
        <v>35</v>
      </c>
      <c r="I791" s="9" t="s">
        <v>47</v>
      </c>
      <c r="J791" s="9" t="s">
        <v>54</v>
      </c>
      <c r="K791" s="5">
        <v>5</v>
      </c>
      <c r="L791" s="9" t="s">
        <v>27</v>
      </c>
      <c r="M791" s="9" t="s">
        <v>66</v>
      </c>
      <c r="N791" s="5" t="b">
        <v>0</v>
      </c>
      <c r="O791" s="5">
        <v>88</v>
      </c>
      <c r="P791" s="9" t="s">
        <v>63</v>
      </c>
      <c r="Q791" s="5">
        <v>5</v>
      </c>
      <c r="R791" s="5">
        <v>2</v>
      </c>
      <c r="S791" s="5">
        <v>3002</v>
      </c>
      <c r="T791" s="10" t="s">
        <v>51</v>
      </c>
      <c r="U791" t="str">
        <f>IF(OR(E791&lt;'Q1'!$E$13,E791&gt;'Q1'!$E$14),"Outliers","Not an Outliers")</f>
        <v>Not an Outliers</v>
      </c>
      <c r="V791" t="str">
        <f t="shared" si="12"/>
        <v>Weekend</v>
      </c>
    </row>
    <row r="792" spans="1:22" x14ac:dyDescent="0.3">
      <c r="A792" s="23">
        <v>45598</v>
      </c>
      <c r="B792" s="7" t="s">
        <v>72</v>
      </c>
      <c r="C792" s="7" t="s">
        <v>21</v>
      </c>
      <c r="D792" s="7" t="s">
        <v>53</v>
      </c>
      <c r="E792" s="4">
        <v>7081</v>
      </c>
      <c r="F792" s="4" t="b">
        <v>0</v>
      </c>
      <c r="G792" s="7" t="s">
        <v>23</v>
      </c>
      <c r="H792" s="7" t="s">
        <v>24</v>
      </c>
      <c r="I792" s="7" t="s">
        <v>59</v>
      </c>
      <c r="J792" s="7" t="s">
        <v>54</v>
      </c>
      <c r="K792" s="4">
        <v>5</v>
      </c>
      <c r="L792" s="7" t="s">
        <v>27</v>
      </c>
      <c r="M792" s="7" t="s">
        <v>66</v>
      </c>
      <c r="N792" s="4" t="b">
        <v>0</v>
      </c>
      <c r="O792" s="4">
        <v>88</v>
      </c>
      <c r="P792" s="7" t="s">
        <v>37</v>
      </c>
      <c r="Q792" s="4">
        <v>4</v>
      </c>
      <c r="R792" s="4">
        <v>2</v>
      </c>
      <c r="S792" s="4">
        <v>4374</v>
      </c>
      <c r="T792" s="8" t="s">
        <v>51</v>
      </c>
      <c r="U792" t="str">
        <f>IF(OR(E792&lt;'Q1'!$E$13,E792&gt;'Q1'!$E$14),"Outliers","Not an Outliers")</f>
        <v>Not an Outliers</v>
      </c>
      <c r="V792" t="str">
        <f t="shared" si="12"/>
        <v>Weekend</v>
      </c>
    </row>
    <row r="793" spans="1:22" x14ac:dyDescent="0.3">
      <c r="A793" s="24">
        <v>45599</v>
      </c>
      <c r="B793" s="9" t="s">
        <v>62</v>
      </c>
      <c r="C793" s="9" t="s">
        <v>56</v>
      </c>
      <c r="D793" s="9" t="s">
        <v>46</v>
      </c>
      <c r="E793" s="5">
        <v>4235</v>
      </c>
      <c r="F793" s="5" t="b">
        <v>1</v>
      </c>
      <c r="G793" s="9" t="s">
        <v>65</v>
      </c>
      <c r="H793" s="9" t="s">
        <v>24</v>
      </c>
      <c r="I793" s="9" t="s">
        <v>59</v>
      </c>
      <c r="J793" s="9" t="s">
        <v>43</v>
      </c>
      <c r="K793" s="5">
        <v>4</v>
      </c>
      <c r="L793" s="9" t="s">
        <v>36</v>
      </c>
      <c r="M793" s="9" t="s">
        <v>73</v>
      </c>
      <c r="N793" s="5" t="b">
        <v>1</v>
      </c>
      <c r="O793" s="5">
        <v>26</v>
      </c>
      <c r="P793" s="9" t="s">
        <v>63</v>
      </c>
      <c r="Q793" s="5">
        <v>8</v>
      </c>
      <c r="R793" s="5">
        <v>3</v>
      </c>
      <c r="S793" s="5">
        <v>4687</v>
      </c>
      <c r="T793" s="10" t="s">
        <v>30</v>
      </c>
      <c r="U793" t="str">
        <f>IF(OR(E793&lt;'Q1'!$E$13,E793&gt;'Q1'!$E$14),"Outliers","Not an Outliers")</f>
        <v>Not an Outliers</v>
      </c>
      <c r="V793" t="str">
        <f t="shared" si="12"/>
        <v>Weekend</v>
      </c>
    </row>
    <row r="794" spans="1:22" x14ac:dyDescent="0.3">
      <c r="A794" s="23">
        <v>45599</v>
      </c>
      <c r="B794" s="7" t="s">
        <v>44</v>
      </c>
      <c r="C794" s="7" t="s">
        <v>45</v>
      </c>
      <c r="D794" s="7" t="s">
        <v>22</v>
      </c>
      <c r="E794" s="4">
        <v>8375</v>
      </c>
      <c r="F794" s="4" t="b">
        <v>0</v>
      </c>
      <c r="G794" s="7" t="s">
        <v>34</v>
      </c>
      <c r="H794" s="7" t="s">
        <v>41</v>
      </c>
      <c r="I794" s="7" t="s">
        <v>42</v>
      </c>
      <c r="J794" s="7" t="s">
        <v>26</v>
      </c>
      <c r="K794" s="4">
        <v>3</v>
      </c>
      <c r="L794" s="7" t="s">
        <v>36</v>
      </c>
      <c r="M794" s="7" t="s">
        <v>73</v>
      </c>
      <c r="N794" s="4" t="b">
        <v>1</v>
      </c>
      <c r="O794" s="4">
        <v>101</v>
      </c>
      <c r="P794" s="7" t="s">
        <v>63</v>
      </c>
      <c r="Q794" s="4">
        <v>2</v>
      </c>
      <c r="R794" s="4">
        <v>1</v>
      </c>
      <c r="S794" s="4">
        <v>4050</v>
      </c>
      <c r="T794" s="8" t="s">
        <v>51</v>
      </c>
      <c r="U794" t="str">
        <f>IF(OR(E794&lt;'Q1'!$E$13,E794&gt;'Q1'!$E$14),"Outliers","Not an Outliers")</f>
        <v>Not an Outliers</v>
      </c>
      <c r="V794" t="str">
        <f t="shared" si="12"/>
        <v>Weekend</v>
      </c>
    </row>
    <row r="795" spans="1:22" x14ac:dyDescent="0.3">
      <c r="A795" s="24">
        <v>45600</v>
      </c>
      <c r="B795" s="9" t="s">
        <v>72</v>
      </c>
      <c r="C795" s="9" t="s">
        <v>21</v>
      </c>
      <c r="D795" s="9" t="s">
        <v>53</v>
      </c>
      <c r="E795" s="5">
        <v>4996</v>
      </c>
      <c r="F795" s="5" t="b">
        <v>0</v>
      </c>
      <c r="G795" s="9" t="s">
        <v>64</v>
      </c>
      <c r="H795" s="9" t="s">
        <v>41</v>
      </c>
      <c r="I795" s="9" t="s">
        <v>42</v>
      </c>
      <c r="J795" s="9" t="s">
        <v>43</v>
      </c>
      <c r="K795" s="5">
        <v>0</v>
      </c>
      <c r="L795" s="9" t="s">
        <v>27</v>
      </c>
      <c r="M795" s="9" t="s">
        <v>73</v>
      </c>
      <c r="N795" s="5" t="b">
        <v>0</v>
      </c>
      <c r="O795" s="5">
        <v>71</v>
      </c>
      <c r="P795" s="9" t="s">
        <v>29</v>
      </c>
      <c r="Q795" s="5">
        <v>1</v>
      </c>
      <c r="R795" s="5">
        <v>1</v>
      </c>
      <c r="S795" s="5">
        <v>2586</v>
      </c>
      <c r="T795" s="10" t="s">
        <v>51</v>
      </c>
      <c r="U795" t="str">
        <f>IF(OR(E795&lt;'Q1'!$E$13,E795&gt;'Q1'!$E$14),"Outliers","Not an Outliers")</f>
        <v>Not an Outliers</v>
      </c>
      <c r="V795" t="str">
        <f t="shared" si="12"/>
        <v>Weekday</v>
      </c>
    </row>
    <row r="796" spans="1:22" x14ac:dyDescent="0.3">
      <c r="A796" s="23">
        <v>45601</v>
      </c>
      <c r="B796" s="7" t="s">
        <v>74</v>
      </c>
      <c r="C796" s="7" t="s">
        <v>45</v>
      </c>
      <c r="D796" s="7" t="s">
        <v>46</v>
      </c>
      <c r="E796" s="4">
        <v>4908</v>
      </c>
      <c r="F796" s="4" t="b">
        <v>0</v>
      </c>
      <c r="G796" s="7" t="s">
        <v>40</v>
      </c>
      <c r="H796" s="7" t="s">
        <v>35</v>
      </c>
      <c r="I796" s="7" t="s">
        <v>25</v>
      </c>
      <c r="J796" s="7" t="s">
        <v>26</v>
      </c>
      <c r="K796" s="4">
        <v>0</v>
      </c>
      <c r="L796" s="7" t="s">
        <v>27</v>
      </c>
      <c r="M796" s="7" t="s">
        <v>73</v>
      </c>
      <c r="N796" s="4" t="b">
        <v>1</v>
      </c>
      <c r="O796" s="4">
        <v>81</v>
      </c>
      <c r="P796" s="7" t="s">
        <v>63</v>
      </c>
      <c r="Q796" s="4">
        <v>1</v>
      </c>
      <c r="R796" s="4">
        <v>2</v>
      </c>
      <c r="S796" s="4">
        <v>1123</v>
      </c>
      <c r="T796" s="8" t="s">
        <v>51</v>
      </c>
      <c r="U796" t="str">
        <f>IF(OR(E796&lt;'Q1'!$E$13,E796&gt;'Q1'!$E$14),"Outliers","Not an Outliers")</f>
        <v>Not an Outliers</v>
      </c>
      <c r="V796" t="str">
        <f t="shared" si="12"/>
        <v>Weekday</v>
      </c>
    </row>
    <row r="797" spans="1:22" x14ac:dyDescent="0.3">
      <c r="A797" s="24">
        <v>45601</v>
      </c>
      <c r="B797" s="9" t="s">
        <v>31</v>
      </c>
      <c r="C797" s="9" t="s">
        <v>45</v>
      </c>
      <c r="D797" s="9" t="s">
        <v>53</v>
      </c>
      <c r="E797" s="5">
        <v>4547</v>
      </c>
      <c r="F797" s="5" t="b">
        <v>0</v>
      </c>
      <c r="G797" s="9" t="s">
        <v>64</v>
      </c>
      <c r="H797" s="9" t="s">
        <v>70</v>
      </c>
      <c r="I797" s="9" t="s">
        <v>59</v>
      </c>
      <c r="J797" s="9" t="s">
        <v>26</v>
      </c>
      <c r="K797" s="5">
        <v>2</v>
      </c>
      <c r="L797" s="9" t="s">
        <v>49</v>
      </c>
      <c r="M797" s="9" t="s">
        <v>28</v>
      </c>
      <c r="N797" s="5" t="b">
        <v>1</v>
      </c>
      <c r="O797" s="5">
        <v>103</v>
      </c>
      <c r="P797" s="9" t="s">
        <v>63</v>
      </c>
      <c r="Q797" s="5">
        <v>5</v>
      </c>
      <c r="R797" s="5">
        <v>3</v>
      </c>
      <c r="S797" s="5">
        <v>4024</v>
      </c>
      <c r="T797" s="10" t="s">
        <v>30</v>
      </c>
      <c r="U797" t="str">
        <f>IF(OR(E797&lt;'Q1'!$E$13,E797&gt;'Q1'!$E$14),"Outliers","Not an Outliers")</f>
        <v>Not an Outliers</v>
      </c>
      <c r="V797" t="str">
        <f t="shared" si="12"/>
        <v>Weekday</v>
      </c>
    </row>
    <row r="798" spans="1:22" x14ac:dyDescent="0.3">
      <c r="A798" s="23">
        <v>45601</v>
      </c>
      <c r="B798" s="7" t="s">
        <v>77</v>
      </c>
      <c r="C798" s="7" t="s">
        <v>60</v>
      </c>
      <c r="D798" s="7" t="s">
        <v>61</v>
      </c>
      <c r="E798" s="4">
        <v>1000</v>
      </c>
      <c r="F798" s="4" t="b">
        <v>0</v>
      </c>
      <c r="G798" s="7" t="s">
        <v>65</v>
      </c>
      <c r="H798" s="7" t="s">
        <v>41</v>
      </c>
      <c r="I798" s="7" t="s">
        <v>47</v>
      </c>
      <c r="J798" s="7" t="s">
        <v>26</v>
      </c>
      <c r="K798" s="4">
        <v>3</v>
      </c>
      <c r="L798" s="7" t="s">
        <v>27</v>
      </c>
      <c r="M798" s="7" t="s">
        <v>73</v>
      </c>
      <c r="N798" s="4" t="b">
        <v>0</v>
      </c>
      <c r="O798" s="4">
        <v>108</v>
      </c>
      <c r="P798" s="7" t="s">
        <v>29</v>
      </c>
      <c r="Q798" s="4">
        <v>3</v>
      </c>
      <c r="R798" s="4">
        <v>3</v>
      </c>
      <c r="S798" s="4">
        <v>4827</v>
      </c>
      <c r="T798" s="8" t="s">
        <v>51</v>
      </c>
      <c r="U798" t="str">
        <f>IF(OR(E798&lt;'Q1'!$E$13,E798&gt;'Q1'!$E$14),"Outliers","Not an Outliers")</f>
        <v>Not an Outliers</v>
      </c>
      <c r="V798" t="str">
        <f t="shared" si="12"/>
        <v>Weekday</v>
      </c>
    </row>
    <row r="799" spans="1:22" x14ac:dyDescent="0.3">
      <c r="A799" s="24">
        <v>45602</v>
      </c>
      <c r="B799" s="9" t="s">
        <v>68</v>
      </c>
      <c r="C799" s="9" t="s">
        <v>56</v>
      </c>
      <c r="D799" s="9" t="s">
        <v>22</v>
      </c>
      <c r="E799" s="5">
        <v>9801</v>
      </c>
      <c r="F799" s="5" t="b">
        <v>0</v>
      </c>
      <c r="G799" s="9" t="s">
        <v>65</v>
      </c>
      <c r="H799" s="9" t="s">
        <v>41</v>
      </c>
      <c r="I799" s="9" t="s">
        <v>25</v>
      </c>
      <c r="J799" s="9" t="s">
        <v>48</v>
      </c>
      <c r="K799" s="5">
        <v>1</v>
      </c>
      <c r="L799" s="9" t="s">
        <v>49</v>
      </c>
      <c r="M799" s="9" t="s">
        <v>28</v>
      </c>
      <c r="N799" s="5" t="b">
        <v>0</v>
      </c>
      <c r="O799" s="5">
        <v>83</v>
      </c>
      <c r="P799" s="9" t="s">
        <v>63</v>
      </c>
      <c r="Q799" s="5">
        <v>6</v>
      </c>
      <c r="R799" s="5">
        <v>1</v>
      </c>
      <c r="S799" s="5">
        <v>972</v>
      </c>
      <c r="T799" s="10" t="s">
        <v>38</v>
      </c>
      <c r="U799" t="str">
        <f>IF(OR(E799&lt;'Q1'!$E$13,E799&gt;'Q1'!$E$14),"Outliers","Not an Outliers")</f>
        <v>Not an Outliers</v>
      </c>
      <c r="V799" t="str">
        <f t="shared" si="12"/>
        <v>Weekday</v>
      </c>
    </row>
    <row r="800" spans="1:22" x14ac:dyDescent="0.3">
      <c r="A800" s="23">
        <v>45602</v>
      </c>
      <c r="B800" s="7" t="s">
        <v>75</v>
      </c>
      <c r="C800" s="7" t="s">
        <v>45</v>
      </c>
      <c r="D800" s="7" t="s">
        <v>53</v>
      </c>
      <c r="E800" s="4">
        <v>4134</v>
      </c>
      <c r="F800" s="4" t="b">
        <v>1</v>
      </c>
      <c r="G800" s="7" t="s">
        <v>64</v>
      </c>
      <c r="H800" s="7" t="s">
        <v>35</v>
      </c>
      <c r="I800" s="7" t="s">
        <v>59</v>
      </c>
      <c r="J800" s="7" t="s">
        <v>43</v>
      </c>
      <c r="K800" s="4">
        <v>0</v>
      </c>
      <c r="L800" s="7" t="s">
        <v>27</v>
      </c>
      <c r="M800" s="7" t="s">
        <v>73</v>
      </c>
      <c r="N800" s="4" t="b">
        <v>1</v>
      </c>
      <c r="O800" s="4">
        <v>57</v>
      </c>
      <c r="P800" s="7" t="s">
        <v>67</v>
      </c>
      <c r="Q800" s="4">
        <v>3</v>
      </c>
      <c r="R800" s="4">
        <v>3</v>
      </c>
      <c r="S800" s="4">
        <v>3923</v>
      </c>
      <c r="T800" s="8" t="s">
        <v>51</v>
      </c>
      <c r="U800" t="str">
        <f>IF(OR(E800&lt;'Q1'!$E$13,E800&gt;'Q1'!$E$14),"Outliers","Not an Outliers")</f>
        <v>Not an Outliers</v>
      </c>
      <c r="V800" t="str">
        <f t="shared" si="12"/>
        <v>Weekday</v>
      </c>
    </row>
    <row r="801" spans="1:22" x14ac:dyDescent="0.3">
      <c r="A801" s="24">
        <v>45602</v>
      </c>
      <c r="B801" s="9" t="s">
        <v>77</v>
      </c>
      <c r="C801" s="9" t="s">
        <v>32</v>
      </c>
      <c r="D801" s="9" t="s">
        <v>22</v>
      </c>
      <c r="E801" s="5">
        <v>6574</v>
      </c>
      <c r="F801" s="5" t="b">
        <v>0</v>
      </c>
      <c r="G801" s="9" t="s">
        <v>34</v>
      </c>
      <c r="H801" s="9" t="s">
        <v>70</v>
      </c>
      <c r="I801" s="9" t="s">
        <v>59</v>
      </c>
      <c r="J801" s="9" t="s">
        <v>43</v>
      </c>
      <c r="K801" s="5">
        <v>1</v>
      </c>
      <c r="L801" s="9" t="s">
        <v>27</v>
      </c>
      <c r="M801" s="9" t="s">
        <v>73</v>
      </c>
      <c r="N801" s="5" t="b">
        <v>1</v>
      </c>
      <c r="O801" s="5">
        <v>23</v>
      </c>
      <c r="P801" s="9" t="s">
        <v>67</v>
      </c>
      <c r="Q801" s="5">
        <v>6</v>
      </c>
      <c r="R801" s="5">
        <v>2</v>
      </c>
      <c r="S801" s="5">
        <v>3078</v>
      </c>
      <c r="T801" s="10" t="s">
        <v>30</v>
      </c>
      <c r="U801" t="str">
        <f>IF(OR(E801&lt;'Q1'!$E$13,E801&gt;'Q1'!$E$14),"Outliers","Not an Outliers")</f>
        <v>Not an Outliers</v>
      </c>
      <c r="V801" t="str">
        <f t="shared" si="12"/>
        <v>Weekday</v>
      </c>
    </row>
    <row r="802" spans="1:22" x14ac:dyDescent="0.3">
      <c r="A802" s="23">
        <v>45603</v>
      </c>
      <c r="B802" s="7" t="s">
        <v>68</v>
      </c>
      <c r="C802" s="7" t="s">
        <v>56</v>
      </c>
      <c r="D802" s="7" t="s">
        <v>53</v>
      </c>
      <c r="E802" s="4">
        <v>2935</v>
      </c>
      <c r="F802" s="4" t="b">
        <v>1</v>
      </c>
      <c r="G802" s="7" t="s">
        <v>34</v>
      </c>
      <c r="H802" s="7" t="s">
        <v>41</v>
      </c>
      <c r="I802" s="7" t="s">
        <v>42</v>
      </c>
      <c r="J802" s="7" t="s">
        <v>26</v>
      </c>
      <c r="K802" s="4">
        <v>3</v>
      </c>
      <c r="L802" s="7" t="s">
        <v>49</v>
      </c>
      <c r="M802" s="7" t="s">
        <v>28</v>
      </c>
      <c r="N802" s="4" t="b">
        <v>0</v>
      </c>
      <c r="O802" s="4">
        <v>44</v>
      </c>
      <c r="P802" s="7" t="s">
        <v>63</v>
      </c>
      <c r="Q802" s="4">
        <v>6</v>
      </c>
      <c r="R802" s="4">
        <v>2</v>
      </c>
      <c r="S802" s="4">
        <v>4946</v>
      </c>
      <c r="T802" s="8" t="s">
        <v>30</v>
      </c>
      <c r="U802" t="str">
        <f>IF(OR(E802&lt;'Q1'!$E$13,E802&gt;'Q1'!$E$14),"Outliers","Not an Outliers")</f>
        <v>Not an Outliers</v>
      </c>
      <c r="V802" t="str">
        <f t="shared" si="12"/>
        <v>Weekday</v>
      </c>
    </row>
    <row r="803" spans="1:22" x14ac:dyDescent="0.3">
      <c r="A803" s="24">
        <v>45603</v>
      </c>
      <c r="B803" s="9" t="s">
        <v>76</v>
      </c>
      <c r="C803" s="9" t="s">
        <v>60</v>
      </c>
      <c r="D803" s="9" t="s">
        <v>33</v>
      </c>
      <c r="E803" s="5">
        <v>4733</v>
      </c>
      <c r="F803" s="5" t="b">
        <v>0</v>
      </c>
      <c r="G803" s="9" t="s">
        <v>65</v>
      </c>
      <c r="H803" s="9" t="s">
        <v>41</v>
      </c>
      <c r="I803" s="9" t="s">
        <v>47</v>
      </c>
      <c r="J803" s="9" t="s">
        <v>54</v>
      </c>
      <c r="K803" s="5">
        <v>3</v>
      </c>
      <c r="L803" s="9" t="s">
        <v>49</v>
      </c>
      <c r="M803" s="9" t="s">
        <v>66</v>
      </c>
      <c r="N803" s="5" t="b">
        <v>0</v>
      </c>
      <c r="O803" s="5">
        <v>68</v>
      </c>
      <c r="P803" s="9" t="s">
        <v>67</v>
      </c>
      <c r="Q803" s="5">
        <v>10</v>
      </c>
      <c r="R803" s="5">
        <v>1</v>
      </c>
      <c r="S803" s="5">
        <v>4449</v>
      </c>
      <c r="T803" s="10" t="s">
        <v>51</v>
      </c>
      <c r="U803" t="str">
        <f>IF(OR(E803&lt;'Q1'!$E$13,E803&gt;'Q1'!$E$14),"Outliers","Not an Outliers")</f>
        <v>Not an Outliers</v>
      </c>
      <c r="V803" t="str">
        <f t="shared" si="12"/>
        <v>Weekday</v>
      </c>
    </row>
    <row r="804" spans="1:22" x14ac:dyDescent="0.3">
      <c r="A804" s="23">
        <v>45604</v>
      </c>
      <c r="B804" s="7" t="s">
        <v>20</v>
      </c>
      <c r="C804" s="7" t="s">
        <v>45</v>
      </c>
      <c r="D804" s="7" t="s">
        <v>57</v>
      </c>
      <c r="E804" s="4">
        <v>1000</v>
      </c>
      <c r="F804" s="4" t="b">
        <v>1</v>
      </c>
      <c r="G804" s="7" t="s">
        <v>40</v>
      </c>
      <c r="H804" s="7" t="s">
        <v>35</v>
      </c>
      <c r="I804" s="7" t="s">
        <v>47</v>
      </c>
      <c r="J804" s="7" t="s">
        <v>26</v>
      </c>
      <c r="K804" s="4">
        <v>5</v>
      </c>
      <c r="L804" s="7" t="s">
        <v>27</v>
      </c>
      <c r="M804" s="7" t="s">
        <v>28</v>
      </c>
      <c r="N804" s="4" t="b">
        <v>0</v>
      </c>
      <c r="O804" s="4">
        <v>1</v>
      </c>
      <c r="P804" s="7" t="s">
        <v>63</v>
      </c>
      <c r="Q804" s="4">
        <v>8</v>
      </c>
      <c r="R804" s="4">
        <v>3</v>
      </c>
      <c r="S804" s="4">
        <v>1990</v>
      </c>
      <c r="T804" s="8" t="s">
        <v>38</v>
      </c>
      <c r="U804" t="str">
        <f>IF(OR(E804&lt;'Q1'!$E$13,E804&gt;'Q1'!$E$14),"Outliers","Not an Outliers")</f>
        <v>Not an Outliers</v>
      </c>
      <c r="V804" t="str">
        <f t="shared" si="12"/>
        <v>Weekday</v>
      </c>
    </row>
    <row r="805" spans="1:22" x14ac:dyDescent="0.3">
      <c r="A805" s="24">
        <v>45605</v>
      </c>
      <c r="B805" s="9" t="s">
        <v>39</v>
      </c>
      <c r="C805" s="9" t="s">
        <v>32</v>
      </c>
      <c r="D805" s="9" t="s">
        <v>57</v>
      </c>
      <c r="E805" s="5">
        <v>1000</v>
      </c>
      <c r="F805" s="5" t="b">
        <v>1</v>
      </c>
      <c r="G805" s="9" t="s">
        <v>65</v>
      </c>
      <c r="H805" s="9" t="s">
        <v>70</v>
      </c>
      <c r="I805" s="9" t="s">
        <v>25</v>
      </c>
      <c r="J805" s="9" t="s">
        <v>48</v>
      </c>
      <c r="K805" s="5">
        <v>5</v>
      </c>
      <c r="L805" s="9" t="s">
        <v>36</v>
      </c>
      <c r="M805" s="9" t="s">
        <v>58</v>
      </c>
      <c r="N805" s="5" t="b">
        <v>1</v>
      </c>
      <c r="O805" s="5">
        <v>53</v>
      </c>
      <c r="P805" s="9" t="s">
        <v>63</v>
      </c>
      <c r="Q805" s="5">
        <v>3</v>
      </c>
      <c r="R805" s="5">
        <v>1</v>
      </c>
      <c r="S805" s="5">
        <v>3680</v>
      </c>
      <c r="T805" s="10" t="s">
        <v>51</v>
      </c>
      <c r="U805" t="str">
        <f>IF(OR(E805&lt;'Q1'!$E$13,E805&gt;'Q1'!$E$14),"Outliers","Not an Outliers")</f>
        <v>Not an Outliers</v>
      </c>
      <c r="V805" t="str">
        <f t="shared" si="12"/>
        <v>Weekend</v>
      </c>
    </row>
    <row r="806" spans="1:22" x14ac:dyDescent="0.3">
      <c r="A806" s="23">
        <v>45605</v>
      </c>
      <c r="B806" s="7" t="s">
        <v>76</v>
      </c>
      <c r="C806" s="7" t="s">
        <v>32</v>
      </c>
      <c r="D806" s="7" t="s">
        <v>22</v>
      </c>
      <c r="E806" s="4">
        <v>8665</v>
      </c>
      <c r="F806" s="4" t="b">
        <v>0</v>
      </c>
      <c r="G806" s="7" t="s">
        <v>23</v>
      </c>
      <c r="H806" s="7" t="s">
        <v>70</v>
      </c>
      <c r="I806" s="7" t="s">
        <v>59</v>
      </c>
      <c r="J806" s="7" t="s">
        <v>54</v>
      </c>
      <c r="K806" s="4">
        <v>0</v>
      </c>
      <c r="L806" s="7" t="s">
        <v>49</v>
      </c>
      <c r="M806" s="7" t="s">
        <v>66</v>
      </c>
      <c r="N806" s="4" t="b">
        <v>0</v>
      </c>
      <c r="O806" s="4">
        <v>77</v>
      </c>
      <c r="P806" s="7" t="s">
        <v>63</v>
      </c>
      <c r="Q806" s="4">
        <v>9</v>
      </c>
      <c r="R806" s="4">
        <v>2</v>
      </c>
      <c r="S806" s="4">
        <v>2751</v>
      </c>
      <c r="T806" s="8" t="s">
        <v>51</v>
      </c>
      <c r="U806" t="str">
        <f>IF(OR(E806&lt;'Q1'!$E$13,E806&gt;'Q1'!$E$14),"Outliers","Not an Outliers")</f>
        <v>Not an Outliers</v>
      </c>
      <c r="V806" t="str">
        <f t="shared" si="12"/>
        <v>Weekend</v>
      </c>
    </row>
    <row r="807" spans="1:22" x14ac:dyDescent="0.3">
      <c r="A807" s="24">
        <v>45605</v>
      </c>
      <c r="B807" s="9" t="s">
        <v>62</v>
      </c>
      <c r="C807" s="9" t="s">
        <v>60</v>
      </c>
      <c r="D807" s="9" t="s">
        <v>33</v>
      </c>
      <c r="E807" s="5">
        <v>4658</v>
      </c>
      <c r="F807" s="5" t="b">
        <v>0</v>
      </c>
      <c r="G807" s="9" t="s">
        <v>64</v>
      </c>
      <c r="H807" s="9" t="s">
        <v>41</v>
      </c>
      <c r="I807" s="9" t="s">
        <v>59</v>
      </c>
      <c r="J807" s="9" t="s">
        <v>43</v>
      </c>
      <c r="K807" s="5">
        <v>2</v>
      </c>
      <c r="L807" s="9" t="s">
        <v>27</v>
      </c>
      <c r="M807" s="9" t="s">
        <v>58</v>
      </c>
      <c r="N807" s="5" t="b">
        <v>1</v>
      </c>
      <c r="O807" s="5">
        <v>99</v>
      </c>
      <c r="P807" s="9" t="s">
        <v>67</v>
      </c>
      <c r="Q807" s="5">
        <v>10</v>
      </c>
      <c r="R807" s="5">
        <v>3</v>
      </c>
      <c r="S807" s="5">
        <v>4072</v>
      </c>
      <c r="T807" s="10" t="s">
        <v>38</v>
      </c>
      <c r="U807" t="str">
        <f>IF(OR(E807&lt;'Q1'!$E$13,E807&gt;'Q1'!$E$14),"Outliers","Not an Outliers")</f>
        <v>Not an Outliers</v>
      </c>
      <c r="V807" t="str">
        <f t="shared" si="12"/>
        <v>Weekend</v>
      </c>
    </row>
    <row r="808" spans="1:22" x14ac:dyDescent="0.3">
      <c r="A808" s="23">
        <v>45605</v>
      </c>
      <c r="B808" s="7" t="s">
        <v>75</v>
      </c>
      <c r="C808" s="7" t="s">
        <v>45</v>
      </c>
      <c r="D808" s="7" t="s">
        <v>57</v>
      </c>
      <c r="E808" s="4">
        <v>1000</v>
      </c>
      <c r="F808" s="4" t="b">
        <v>1</v>
      </c>
      <c r="G808" s="7" t="s">
        <v>65</v>
      </c>
      <c r="H808" s="7" t="s">
        <v>41</v>
      </c>
      <c r="I808" s="7" t="s">
        <v>25</v>
      </c>
      <c r="J808" s="7" t="s">
        <v>48</v>
      </c>
      <c r="K808" s="4">
        <v>5</v>
      </c>
      <c r="L808" s="7" t="s">
        <v>27</v>
      </c>
      <c r="M808" s="7" t="s">
        <v>73</v>
      </c>
      <c r="N808" s="4" t="b">
        <v>0</v>
      </c>
      <c r="O808" s="4">
        <v>29</v>
      </c>
      <c r="P808" s="7" t="s">
        <v>29</v>
      </c>
      <c r="Q808" s="4">
        <v>3</v>
      </c>
      <c r="R808" s="4">
        <v>3</v>
      </c>
      <c r="S808" s="4">
        <v>828</v>
      </c>
      <c r="T808" s="8" t="s">
        <v>30</v>
      </c>
      <c r="U808" t="str">
        <f>IF(OR(E808&lt;'Q1'!$E$13,E808&gt;'Q1'!$E$14),"Outliers","Not an Outliers")</f>
        <v>Not an Outliers</v>
      </c>
      <c r="V808" t="str">
        <f t="shared" si="12"/>
        <v>Weekend</v>
      </c>
    </row>
    <row r="809" spans="1:22" x14ac:dyDescent="0.3">
      <c r="A809" s="24">
        <v>45605</v>
      </c>
      <c r="B809" s="9" t="s">
        <v>76</v>
      </c>
      <c r="C809" s="9" t="s">
        <v>21</v>
      </c>
      <c r="D809" s="9" t="s">
        <v>57</v>
      </c>
      <c r="E809" s="5">
        <v>1000</v>
      </c>
      <c r="F809" s="5" t="b">
        <v>0</v>
      </c>
      <c r="G809" s="9" t="s">
        <v>40</v>
      </c>
      <c r="H809" s="9" t="s">
        <v>70</v>
      </c>
      <c r="I809" s="9" t="s">
        <v>42</v>
      </c>
      <c r="J809" s="9" t="s">
        <v>54</v>
      </c>
      <c r="K809" s="5">
        <v>2</v>
      </c>
      <c r="L809" s="9" t="s">
        <v>49</v>
      </c>
      <c r="M809" s="9" t="s">
        <v>66</v>
      </c>
      <c r="N809" s="5" t="b">
        <v>0</v>
      </c>
      <c r="O809" s="5">
        <v>104</v>
      </c>
      <c r="P809" s="9" t="s">
        <v>50</v>
      </c>
      <c r="Q809" s="5">
        <v>9</v>
      </c>
      <c r="R809" s="5">
        <v>3</v>
      </c>
      <c r="S809" s="5">
        <v>2667</v>
      </c>
      <c r="T809" s="10" t="s">
        <v>38</v>
      </c>
      <c r="U809" t="str">
        <f>IF(OR(E809&lt;'Q1'!$E$13,E809&gt;'Q1'!$E$14),"Outliers","Not an Outliers")</f>
        <v>Not an Outliers</v>
      </c>
      <c r="V809" t="str">
        <f t="shared" si="12"/>
        <v>Weekend</v>
      </c>
    </row>
    <row r="810" spans="1:22" x14ac:dyDescent="0.3">
      <c r="A810" s="23">
        <v>45605</v>
      </c>
      <c r="B810" s="7" t="s">
        <v>68</v>
      </c>
      <c r="C810" s="7" t="s">
        <v>56</v>
      </c>
      <c r="D810" s="7" t="s">
        <v>33</v>
      </c>
      <c r="E810" s="4">
        <v>1597</v>
      </c>
      <c r="F810" s="4" t="b">
        <v>0</v>
      </c>
      <c r="G810" s="7" t="s">
        <v>65</v>
      </c>
      <c r="H810" s="7" t="s">
        <v>41</v>
      </c>
      <c r="I810" s="7" t="s">
        <v>47</v>
      </c>
      <c r="J810" s="7" t="s">
        <v>43</v>
      </c>
      <c r="K810" s="4">
        <v>4</v>
      </c>
      <c r="L810" s="7" t="s">
        <v>36</v>
      </c>
      <c r="M810" s="7" t="s">
        <v>73</v>
      </c>
      <c r="N810" s="4" t="b">
        <v>0</v>
      </c>
      <c r="O810" s="4">
        <v>113</v>
      </c>
      <c r="P810" s="7" t="s">
        <v>67</v>
      </c>
      <c r="Q810" s="4">
        <v>6</v>
      </c>
      <c r="R810" s="4">
        <v>3</v>
      </c>
      <c r="S810" s="4">
        <v>2710</v>
      </c>
      <c r="T810" s="8" t="s">
        <v>38</v>
      </c>
      <c r="U810" t="str">
        <f>IF(OR(E810&lt;'Q1'!$E$13,E810&gt;'Q1'!$E$14),"Outliers","Not an Outliers")</f>
        <v>Not an Outliers</v>
      </c>
      <c r="V810" t="str">
        <f t="shared" si="12"/>
        <v>Weekend</v>
      </c>
    </row>
    <row r="811" spans="1:22" x14ac:dyDescent="0.3">
      <c r="A811" s="24">
        <v>45606</v>
      </c>
      <c r="B811" s="9" t="s">
        <v>77</v>
      </c>
      <c r="C811" s="9" t="s">
        <v>56</v>
      </c>
      <c r="D811" s="9" t="s">
        <v>53</v>
      </c>
      <c r="E811" s="5">
        <v>2695</v>
      </c>
      <c r="F811" s="5" t="b">
        <v>0</v>
      </c>
      <c r="G811" s="9" t="s">
        <v>23</v>
      </c>
      <c r="H811" s="9" t="s">
        <v>35</v>
      </c>
      <c r="I811" s="9" t="s">
        <v>47</v>
      </c>
      <c r="J811" s="9" t="s">
        <v>54</v>
      </c>
      <c r="K811" s="5">
        <v>5</v>
      </c>
      <c r="L811" s="9" t="s">
        <v>49</v>
      </c>
      <c r="M811" s="9" t="s">
        <v>73</v>
      </c>
      <c r="N811" s="5" t="b">
        <v>1</v>
      </c>
      <c r="O811" s="5">
        <v>38</v>
      </c>
      <c r="P811" s="9" t="s">
        <v>50</v>
      </c>
      <c r="Q811" s="5">
        <v>2</v>
      </c>
      <c r="R811" s="5">
        <v>3</v>
      </c>
      <c r="S811" s="5">
        <v>3305</v>
      </c>
      <c r="T811" s="10" t="s">
        <v>51</v>
      </c>
      <c r="U811" t="str">
        <f>IF(OR(E811&lt;'Q1'!$E$13,E811&gt;'Q1'!$E$14),"Outliers","Not an Outliers")</f>
        <v>Not an Outliers</v>
      </c>
      <c r="V811" t="str">
        <f t="shared" si="12"/>
        <v>Weekend</v>
      </c>
    </row>
    <row r="812" spans="1:22" x14ac:dyDescent="0.3">
      <c r="A812" s="23">
        <v>45606</v>
      </c>
      <c r="B812" s="7" t="s">
        <v>68</v>
      </c>
      <c r="C812" s="7" t="s">
        <v>56</v>
      </c>
      <c r="D812" s="7" t="s">
        <v>33</v>
      </c>
      <c r="E812" s="4">
        <v>1596</v>
      </c>
      <c r="F812" s="4" t="b">
        <v>1</v>
      </c>
      <c r="G812" s="7" t="s">
        <v>64</v>
      </c>
      <c r="H812" s="7" t="s">
        <v>41</v>
      </c>
      <c r="I812" s="7" t="s">
        <v>59</v>
      </c>
      <c r="J812" s="7" t="s">
        <v>43</v>
      </c>
      <c r="K812" s="4">
        <v>5</v>
      </c>
      <c r="L812" s="7" t="s">
        <v>36</v>
      </c>
      <c r="M812" s="7" t="s">
        <v>66</v>
      </c>
      <c r="N812" s="4" t="b">
        <v>1</v>
      </c>
      <c r="O812" s="4">
        <v>9</v>
      </c>
      <c r="P812" s="7" t="s">
        <v>67</v>
      </c>
      <c r="Q812" s="4">
        <v>8</v>
      </c>
      <c r="R812" s="4">
        <v>3</v>
      </c>
      <c r="S812" s="4">
        <v>610</v>
      </c>
      <c r="T812" s="8" t="s">
        <v>51</v>
      </c>
      <c r="U812" t="str">
        <f>IF(OR(E812&lt;'Q1'!$E$13,E812&gt;'Q1'!$E$14),"Outliers","Not an Outliers")</f>
        <v>Not an Outliers</v>
      </c>
      <c r="V812" t="str">
        <f t="shared" si="12"/>
        <v>Weekend</v>
      </c>
    </row>
    <row r="813" spans="1:22" x14ac:dyDescent="0.3">
      <c r="A813" s="24">
        <v>45606</v>
      </c>
      <c r="B813" s="9" t="s">
        <v>76</v>
      </c>
      <c r="C813" s="9" t="s">
        <v>45</v>
      </c>
      <c r="D813" s="9" t="s">
        <v>57</v>
      </c>
      <c r="E813" s="5">
        <v>1000</v>
      </c>
      <c r="F813" s="5" t="b">
        <v>1</v>
      </c>
      <c r="G813" s="9" t="s">
        <v>34</v>
      </c>
      <c r="H813" s="9" t="s">
        <v>35</v>
      </c>
      <c r="I813" s="9" t="s">
        <v>47</v>
      </c>
      <c r="J813" s="9" t="s">
        <v>26</v>
      </c>
      <c r="K813" s="5">
        <v>4</v>
      </c>
      <c r="L813" s="9" t="s">
        <v>27</v>
      </c>
      <c r="M813" s="9" t="s">
        <v>58</v>
      </c>
      <c r="N813" s="5" t="b">
        <v>1</v>
      </c>
      <c r="O813" s="5">
        <v>69</v>
      </c>
      <c r="P813" s="9" t="s">
        <v>63</v>
      </c>
      <c r="Q813" s="5">
        <v>3</v>
      </c>
      <c r="R813" s="5">
        <v>2</v>
      </c>
      <c r="S813" s="5">
        <v>4337</v>
      </c>
      <c r="T813" s="10" t="s">
        <v>51</v>
      </c>
      <c r="U813" t="str">
        <f>IF(OR(E813&lt;'Q1'!$E$13,E813&gt;'Q1'!$E$14),"Outliers","Not an Outliers")</f>
        <v>Not an Outliers</v>
      </c>
      <c r="V813" t="str">
        <f t="shared" si="12"/>
        <v>Weekend</v>
      </c>
    </row>
    <row r="814" spans="1:22" x14ac:dyDescent="0.3">
      <c r="A814" s="23">
        <v>45606</v>
      </c>
      <c r="B814" s="7" t="s">
        <v>20</v>
      </c>
      <c r="C814" s="7" t="s">
        <v>32</v>
      </c>
      <c r="D814" s="7" t="s">
        <v>33</v>
      </c>
      <c r="E814" s="4">
        <v>3645</v>
      </c>
      <c r="F814" s="4" t="b">
        <v>0</v>
      </c>
      <c r="G814" s="7" t="s">
        <v>34</v>
      </c>
      <c r="H814" s="7" t="s">
        <v>41</v>
      </c>
      <c r="I814" s="7" t="s">
        <v>42</v>
      </c>
      <c r="J814" s="7" t="s">
        <v>26</v>
      </c>
      <c r="K814" s="4">
        <v>4</v>
      </c>
      <c r="L814" s="7" t="s">
        <v>27</v>
      </c>
      <c r="M814" s="7" t="s">
        <v>73</v>
      </c>
      <c r="N814" s="4" t="b">
        <v>0</v>
      </c>
      <c r="O814" s="4">
        <v>118</v>
      </c>
      <c r="P814" s="7" t="s">
        <v>67</v>
      </c>
      <c r="Q814" s="4">
        <v>4</v>
      </c>
      <c r="R814" s="4">
        <v>3</v>
      </c>
      <c r="S814" s="4">
        <v>4577</v>
      </c>
      <c r="T814" s="8" t="s">
        <v>30</v>
      </c>
      <c r="U814" t="str">
        <f>IF(OR(E814&lt;'Q1'!$E$13,E814&gt;'Q1'!$E$14),"Outliers","Not an Outliers")</f>
        <v>Not an Outliers</v>
      </c>
      <c r="V814" t="str">
        <f t="shared" si="12"/>
        <v>Weekend</v>
      </c>
    </row>
    <row r="815" spans="1:22" x14ac:dyDescent="0.3">
      <c r="A815" s="24">
        <v>45606</v>
      </c>
      <c r="B815" s="9" t="s">
        <v>77</v>
      </c>
      <c r="C815" s="9" t="s">
        <v>32</v>
      </c>
      <c r="D815" s="9" t="s">
        <v>57</v>
      </c>
      <c r="E815" s="5">
        <v>1000</v>
      </c>
      <c r="F815" s="5" t="b">
        <v>0</v>
      </c>
      <c r="G815" s="9" t="s">
        <v>65</v>
      </c>
      <c r="H815" s="9" t="s">
        <v>24</v>
      </c>
      <c r="I815" s="9" t="s">
        <v>42</v>
      </c>
      <c r="J815" s="9" t="s">
        <v>48</v>
      </c>
      <c r="K815" s="5">
        <v>4</v>
      </c>
      <c r="L815" s="9" t="s">
        <v>27</v>
      </c>
      <c r="M815" s="9" t="s">
        <v>28</v>
      </c>
      <c r="N815" s="5" t="b">
        <v>1</v>
      </c>
      <c r="O815" s="5">
        <v>90</v>
      </c>
      <c r="P815" s="9" t="s">
        <v>67</v>
      </c>
      <c r="Q815" s="5">
        <v>3</v>
      </c>
      <c r="R815" s="5">
        <v>1</v>
      </c>
      <c r="S815" s="5">
        <v>2886</v>
      </c>
      <c r="T815" s="10" t="s">
        <v>51</v>
      </c>
      <c r="U815" t="str">
        <f>IF(OR(E815&lt;'Q1'!$E$13,E815&gt;'Q1'!$E$14),"Outliers","Not an Outliers")</f>
        <v>Not an Outliers</v>
      </c>
      <c r="V815" t="str">
        <f t="shared" si="12"/>
        <v>Weekend</v>
      </c>
    </row>
    <row r="816" spans="1:22" x14ac:dyDescent="0.3">
      <c r="A816" s="23">
        <v>45607</v>
      </c>
      <c r="B816" s="7" t="s">
        <v>71</v>
      </c>
      <c r="C816" s="7" t="s">
        <v>45</v>
      </c>
      <c r="D816" s="7" t="s">
        <v>33</v>
      </c>
      <c r="E816" s="4">
        <v>2493</v>
      </c>
      <c r="F816" s="4" t="b">
        <v>0</v>
      </c>
      <c r="G816" s="7" t="s">
        <v>64</v>
      </c>
      <c r="H816" s="7" t="s">
        <v>35</v>
      </c>
      <c r="I816" s="7" t="s">
        <v>42</v>
      </c>
      <c r="J816" s="7" t="s">
        <v>54</v>
      </c>
      <c r="K816" s="4">
        <v>3</v>
      </c>
      <c r="L816" s="7" t="s">
        <v>27</v>
      </c>
      <c r="M816" s="7" t="s">
        <v>28</v>
      </c>
      <c r="N816" s="4" t="b">
        <v>1</v>
      </c>
      <c r="O816" s="4">
        <v>22</v>
      </c>
      <c r="P816" s="7" t="s">
        <v>37</v>
      </c>
      <c r="Q816" s="4">
        <v>9</v>
      </c>
      <c r="R816" s="4">
        <v>3</v>
      </c>
      <c r="S816" s="4">
        <v>2517</v>
      </c>
      <c r="T816" s="8" t="s">
        <v>38</v>
      </c>
      <c r="U816" t="str">
        <f>IF(OR(E816&lt;'Q1'!$E$13,E816&gt;'Q1'!$E$14),"Outliers","Not an Outliers")</f>
        <v>Not an Outliers</v>
      </c>
      <c r="V816" t="str">
        <f t="shared" si="12"/>
        <v>Weekday</v>
      </c>
    </row>
    <row r="817" spans="1:22" x14ac:dyDescent="0.3">
      <c r="A817" s="24">
        <v>45607</v>
      </c>
      <c r="B817" s="9" t="s">
        <v>71</v>
      </c>
      <c r="C817" s="9" t="s">
        <v>21</v>
      </c>
      <c r="D817" s="9" t="s">
        <v>22</v>
      </c>
      <c r="E817" s="5">
        <v>7463</v>
      </c>
      <c r="F817" s="5" t="b">
        <v>1</v>
      </c>
      <c r="G817" s="9" t="s">
        <v>34</v>
      </c>
      <c r="H817" s="9" t="s">
        <v>70</v>
      </c>
      <c r="I817" s="9" t="s">
        <v>25</v>
      </c>
      <c r="J817" s="9" t="s">
        <v>43</v>
      </c>
      <c r="K817" s="5">
        <v>5</v>
      </c>
      <c r="L817" s="9" t="s">
        <v>49</v>
      </c>
      <c r="M817" s="9" t="s">
        <v>73</v>
      </c>
      <c r="N817" s="5" t="b">
        <v>0</v>
      </c>
      <c r="O817" s="5">
        <v>120</v>
      </c>
      <c r="P817" s="9" t="s">
        <v>37</v>
      </c>
      <c r="Q817" s="5">
        <v>2</v>
      </c>
      <c r="R817" s="5">
        <v>3</v>
      </c>
      <c r="S817" s="5">
        <v>1633</v>
      </c>
      <c r="T817" s="10" t="s">
        <v>38</v>
      </c>
      <c r="U817" t="str">
        <f>IF(OR(E817&lt;'Q1'!$E$13,E817&gt;'Q1'!$E$14),"Outliers","Not an Outliers")</f>
        <v>Not an Outliers</v>
      </c>
      <c r="V817" t="str">
        <f t="shared" si="12"/>
        <v>Weekday</v>
      </c>
    </row>
    <row r="818" spans="1:22" x14ac:dyDescent="0.3">
      <c r="A818" s="23">
        <v>45607</v>
      </c>
      <c r="B818" s="7" t="s">
        <v>76</v>
      </c>
      <c r="C818" s="7" t="s">
        <v>32</v>
      </c>
      <c r="D818" s="7" t="s">
        <v>53</v>
      </c>
      <c r="E818" s="4">
        <v>6843</v>
      </c>
      <c r="F818" s="4" t="b">
        <v>1</v>
      </c>
      <c r="G818" s="7" t="s">
        <v>64</v>
      </c>
      <c r="H818" s="7" t="s">
        <v>70</v>
      </c>
      <c r="I818" s="7" t="s">
        <v>59</v>
      </c>
      <c r="J818" s="7" t="s">
        <v>54</v>
      </c>
      <c r="K818" s="4">
        <v>4</v>
      </c>
      <c r="L818" s="7" t="s">
        <v>49</v>
      </c>
      <c r="M818" s="7" t="s">
        <v>58</v>
      </c>
      <c r="N818" s="4" t="b">
        <v>1</v>
      </c>
      <c r="O818" s="4">
        <v>57</v>
      </c>
      <c r="P818" s="7" t="s">
        <v>63</v>
      </c>
      <c r="Q818" s="4">
        <v>10</v>
      </c>
      <c r="R818" s="4">
        <v>2</v>
      </c>
      <c r="S818" s="4">
        <v>2865</v>
      </c>
      <c r="T818" s="8" t="s">
        <v>38</v>
      </c>
      <c r="U818" t="str">
        <f>IF(OR(E818&lt;'Q1'!$E$13,E818&gt;'Q1'!$E$14),"Outliers","Not an Outliers")</f>
        <v>Not an Outliers</v>
      </c>
      <c r="V818" t="str">
        <f t="shared" si="12"/>
        <v>Weekday</v>
      </c>
    </row>
    <row r="819" spans="1:22" x14ac:dyDescent="0.3">
      <c r="A819" s="24">
        <v>45607</v>
      </c>
      <c r="B819" s="9" t="s">
        <v>39</v>
      </c>
      <c r="C819" s="9" t="s">
        <v>45</v>
      </c>
      <c r="D819" s="9" t="s">
        <v>46</v>
      </c>
      <c r="E819" s="5">
        <v>4152</v>
      </c>
      <c r="F819" s="5" t="b">
        <v>0</v>
      </c>
      <c r="G819" s="9" t="s">
        <v>64</v>
      </c>
      <c r="H819" s="9" t="s">
        <v>70</v>
      </c>
      <c r="I819" s="9" t="s">
        <v>59</v>
      </c>
      <c r="J819" s="9" t="s">
        <v>54</v>
      </c>
      <c r="K819" s="5">
        <v>3</v>
      </c>
      <c r="L819" s="9" t="s">
        <v>27</v>
      </c>
      <c r="M819" s="9" t="s">
        <v>28</v>
      </c>
      <c r="N819" s="5" t="b">
        <v>1</v>
      </c>
      <c r="O819" s="5">
        <v>70</v>
      </c>
      <c r="P819" s="9" t="s">
        <v>63</v>
      </c>
      <c r="Q819" s="5">
        <v>2</v>
      </c>
      <c r="R819" s="5">
        <v>1</v>
      </c>
      <c r="S819" s="5">
        <v>4509</v>
      </c>
      <c r="T819" s="10" t="s">
        <v>38</v>
      </c>
      <c r="U819" t="str">
        <f>IF(OR(E819&lt;'Q1'!$E$13,E819&gt;'Q1'!$E$14),"Outliers","Not an Outliers")</f>
        <v>Not an Outliers</v>
      </c>
      <c r="V819" t="str">
        <f t="shared" si="12"/>
        <v>Weekday</v>
      </c>
    </row>
    <row r="820" spans="1:22" x14ac:dyDescent="0.3">
      <c r="A820" s="23">
        <v>45607</v>
      </c>
      <c r="B820" s="7" t="s">
        <v>72</v>
      </c>
      <c r="C820" s="7" t="s">
        <v>60</v>
      </c>
      <c r="D820" s="7" t="s">
        <v>61</v>
      </c>
      <c r="E820" s="4">
        <v>1000</v>
      </c>
      <c r="F820" s="4" t="b">
        <v>1</v>
      </c>
      <c r="G820" s="7" t="s">
        <v>23</v>
      </c>
      <c r="H820" s="7" t="s">
        <v>35</v>
      </c>
      <c r="I820" s="7" t="s">
        <v>59</v>
      </c>
      <c r="J820" s="7" t="s">
        <v>54</v>
      </c>
      <c r="K820" s="4">
        <v>1</v>
      </c>
      <c r="L820" s="7" t="s">
        <v>36</v>
      </c>
      <c r="M820" s="7" t="s">
        <v>66</v>
      </c>
      <c r="N820" s="4" t="b">
        <v>0</v>
      </c>
      <c r="O820" s="4">
        <v>40</v>
      </c>
      <c r="P820" s="7" t="s">
        <v>37</v>
      </c>
      <c r="Q820" s="4">
        <v>5</v>
      </c>
      <c r="R820" s="4">
        <v>3</v>
      </c>
      <c r="S820" s="4">
        <v>2416</v>
      </c>
      <c r="T820" s="8" t="s">
        <v>38</v>
      </c>
      <c r="U820" t="str">
        <f>IF(OR(E820&lt;'Q1'!$E$13,E820&gt;'Q1'!$E$14),"Outliers","Not an Outliers")</f>
        <v>Not an Outliers</v>
      </c>
      <c r="V820" t="str">
        <f t="shared" si="12"/>
        <v>Weekday</v>
      </c>
    </row>
    <row r="821" spans="1:22" x14ac:dyDescent="0.3">
      <c r="A821" s="24">
        <v>45608</v>
      </c>
      <c r="B821" s="9" t="s">
        <v>52</v>
      </c>
      <c r="C821" s="9" t="s">
        <v>32</v>
      </c>
      <c r="D821" s="9" t="s">
        <v>57</v>
      </c>
      <c r="E821" s="5">
        <v>1000</v>
      </c>
      <c r="F821" s="5" t="b">
        <v>0</v>
      </c>
      <c r="G821" s="9" t="s">
        <v>34</v>
      </c>
      <c r="H821" s="9" t="s">
        <v>70</v>
      </c>
      <c r="I821" s="9" t="s">
        <v>59</v>
      </c>
      <c r="J821" s="9" t="s">
        <v>54</v>
      </c>
      <c r="K821" s="5">
        <v>3</v>
      </c>
      <c r="L821" s="9" t="s">
        <v>49</v>
      </c>
      <c r="M821" s="9" t="s">
        <v>66</v>
      </c>
      <c r="N821" s="5" t="b">
        <v>1</v>
      </c>
      <c r="O821" s="5">
        <v>92</v>
      </c>
      <c r="P821" s="9" t="s">
        <v>50</v>
      </c>
      <c r="Q821" s="5">
        <v>4</v>
      </c>
      <c r="R821" s="5">
        <v>3</v>
      </c>
      <c r="S821" s="5">
        <v>1902</v>
      </c>
      <c r="T821" s="10" t="s">
        <v>51</v>
      </c>
      <c r="U821" t="str">
        <f>IF(OR(E821&lt;'Q1'!$E$13,E821&gt;'Q1'!$E$14),"Outliers","Not an Outliers")</f>
        <v>Not an Outliers</v>
      </c>
      <c r="V821" t="str">
        <f t="shared" si="12"/>
        <v>Weekday</v>
      </c>
    </row>
    <row r="822" spans="1:22" x14ac:dyDescent="0.3">
      <c r="A822" s="23">
        <v>45609</v>
      </c>
      <c r="B822" s="7" t="s">
        <v>31</v>
      </c>
      <c r="C822" s="7" t="s">
        <v>32</v>
      </c>
      <c r="D822" s="7" t="s">
        <v>33</v>
      </c>
      <c r="E822" s="4">
        <v>4380</v>
      </c>
      <c r="F822" s="4" t="b">
        <v>0</v>
      </c>
      <c r="G822" s="7" t="s">
        <v>34</v>
      </c>
      <c r="H822" s="7" t="s">
        <v>35</v>
      </c>
      <c r="I822" s="7" t="s">
        <v>25</v>
      </c>
      <c r="J822" s="7" t="s">
        <v>26</v>
      </c>
      <c r="K822" s="4">
        <v>3</v>
      </c>
      <c r="L822" s="7" t="s">
        <v>36</v>
      </c>
      <c r="M822" s="7" t="s">
        <v>28</v>
      </c>
      <c r="N822" s="4" t="b">
        <v>0</v>
      </c>
      <c r="O822" s="4">
        <v>4</v>
      </c>
      <c r="P822" s="7" t="s">
        <v>37</v>
      </c>
      <c r="Q822" s="4">
        <v>2</v>
      </c>
      <c r="R822" s="4">
        <v>3</v>
      </c>
      <c r="S822" s="4">
        <v>2013</v>
      </c>
      <c r="T822" s="8" t="s">
        <v>38</v>
      </c>
      <c r="U822" t="str">
        <f>IF(OR(E822&lt;'Q1'!$E$13,E822&gt;'Q1'!$E$14),"Outliers","Not an Outliers")</f>
        <v>Not an Outliers</v>
      </c>
      <c r="V822" t="str">
        <f t="shared" si="12"/>
        <v>Weekday</v>
      </c>
    </row>
    <row r="823" spans="1:22" x14ac:dyDescent="0.3">
      <c r="A823" s="24">
        <v>45609</v>
      </c>
      <c r="B823" s="9" t="s">
        <v>68</v>
      </c>
      <c r="C823" s="9" t="s">
        <v>21</v>
      </c>
      <c r="D823" s="9" t="s">
        <v>33</v>
      </c>
      <c r="E823" s="5">
        <v>3647</v>
      </c>
      <c r="F823" s="5" t="b">
        <v>1</v>
      </c>
      <c r="G823" s="9" t="s">
        <v>40</v>
      </c>
      <c r="H823" s="9" t="s">
        <v>24</v>
      </c>
      <c r="I823" s="9" t="s">
        <v>42</v>
      </c>
      <c r="J823" s="9" t="s">
        <v>48</v>
      </c>
      <c r="K823" s="5">
        <v>3</v>
      </c>
      <c r="L823" s="9" t="s">
        <v>49</v>
      </c>
      <c r="M823" s="9" t="s">
        <v>58</v>
      </c>
      <c r="N823" s="5" t="b">
        <v>0</v>
      </c>
      <c r="O823" s="5">
        <v>64</v>
      </c>
      <c r="P823" s="9" t="s">
        <v>29</v>
      </c>
      <c r="Q823" s="5">
        <v>7</v>
      </c>
      <c r="R823" s="5">
        <v>1</v>
      </c>
      <c r="S823" s="5">
        <v>1072</v>
      </c>
      <c r="T823" s="10" t="s">
        <v>38</v>
      </c>
      <c r="U823" t="str">
        <f>IF(OR(E823&lt;'Q1'!$E$13,E823&gt;'Q1'!$E$14),"Outliers","Not an Outliers")</f>
        <v>Not an Outliers</v>
      </c>
      <c r="V823" t="str">
        <f t="shared" si="12"/>
        <v>Weekday</v>
      </c>
    </row>
    <row r="824" spans="1:22" x14ac:dyDescent="0.3">
      <c r="A824" s="23">
        <v>45609</v>
      </c>
      <c r="B824" s="7" t="s">
        <v>71</v>
      </c>
      <c r="C824" s="7" t="s">
        <v>56</v>
      </c>
      <c r="D824" s="7" t="s">
        <v>22</v>
      </c>
      <c r="E824" s="4">
        <v>8691</v>
      </c>
      <c r="F824" s="4" t="b">
        <v>1</v>
      </c>
      <c r="G824" s="7" t="s">
        <v>65</v>
      </c>
      <c r="H824" s="7" t="s">
        <v>70</v>
      </c>
      <c r="I824" s="7" t="s">
        <v>25</v>
      </c>
      <c r="J824" s="7" t="s">
        <v>43</v>
      </c>
      <c r="K824" s="4">
        <v>5</v>
      </c>
      <c r="L824" s="7" t="s">
        <v>49</v>
      </c>
      <c r="M824" s="7" t="s">
        <v>73</v>
      </c>
      <c r="N824" s="4" t="b">
        <v>1</v>
      </c>
      <c r="O824" s="4">
        <v>35</v>
      </c>
      <c r="P824" s="7" t="s">
        <v>29</v>
      </c>
      <c r="Q824" s="4">
        <v>6</v>
      </c>
      <c r="R824" s="4">
        <v>2</v>
      </c>
      <c r="S824" s="4">
        <v>2976</v>
      </c>
      <c r="T824" s="8" t="s">
        <v>38</v>
      </c>
      <c r="U824" t="str">
        <f>IF(OR(E824&lt;'Q1'!$E$13,E824&gt;'Q1'!$E$14),"Outliers","Not an Outliers")</f>
        <v>Not an Outliers</v>
      </c>
      <c r="V824" t="str">
        <f t="shared" si="12"/>
        <v>Weekday</v>
      </c>
    </row>
    <row r="825" spans="1:22" x14ac:dyDescent="0.3">
      <c r="A825" s="24">
        <v>45609</v>
      </c>
      <c r="B825" s="9" t="s">
        <v>69</v>
      </c>
      <c r="C825" s="9" t="s">
        <v>60</v>
      </c>
      <c r="D825" s="9" t="s">
        <v>46</v>
      </c>
      <c r="E825" s="5">
        <v>3130</v>
      </c>
      <c r="F825" s="5" t="b">
        <v>0</v>
      </c>
      <c r="G825" s="9" t="s">
        <v>23</v>
      </c>
      <c r="H825" s="9" t="s">
        <v>41</v>
      </c>
      <c r="I825" s="9" t="s">
        <v>59</v>
      </c>
      <c r="J825" s="9" t="s">
        <v>48</v>
      </c>
      <c r="K825" s="5">
        <v>0</v>
      </c>
      <c r="L825" s="9" t="s">
        <v>36</v>
      </c>
      <c r="M825" s="9" t="s">
        <v>73</v>
      </c>
      <c r="N825" s="5" t="b">
        <v>1</v>
      </c>
      <c r="O825" s="5">
        <v>105</v>
      </c>
      <c r="P825" s="9" t="s">
        <v>29</v>
      </c>
      <c r="Q825" s="5">
        <v>10</v>
      </c>
      <c r="R825" s="5">
        <v>1</v>
      </c>
      <c r="S825" s="5">
        <v>681</v>
      </c>
      <c r="T825" s="10" t="s">
        <v>38</v>
      </c>
      <c r="U825" t="str">
        <f>IF(OR(E825&lt;'Q1'!$E$13,E825&gt;'Q1'!$E$14),"Outliers","Not an Outliers")</f>
        <v>Not an Outliers</v>
      </c>
      <c r="V825" t="str">
        <f t="shared" si="12"/>
        <v>Weekday</v>
      </c>
    </row>
    <row r="826" spans="1:22" x14ac:dyDescent="0.3">
      <c r="A826" s="23">
        <v>45609</v>
      </c>
      <c r="B826" s="7" t="s">
        <v>68</v>
      </c>
      <c r="C826" s="7" t="s">
        <v>60</v>
      </c>
      <c r="D826" s="7" t="s">
        <v>22</v>
      </c>
      <c r="E826" s="4">
        <v>5589</v>
      </c>
      <c r="F826" s="4" t="b">
        <v>1</v>
      </c>
      <c r="G826" s="7" t="s">
        <v>65</v>
      </c>
      <c r="H826" s="7" t="s">
        <v>35</v>
      </c>
      <c r="I826" s="7" t="s">
        <v>47</v>
      </c>
      <c r="J826" s="7" t="s">
        <v>43</v>
      </c>
      <c r="K826" s="4">
        <v>0</v>
      </c>
      <c r="L826" s="7" t="s">
        <v>49</v>
      </c>
      <c r="M826" s="7" t="s">
        <v>66</v>
      </c>
      <c r="N826" s="4" t="b">
        <v>1</v>
      </c>
      <c r="O826" s="4">
        <v>18</v>
      </c>
      <c r="P826" s="7" t="s">
        <v>37</v>
      </c>
      <c r="Q826" s="4">
        <v>9</v>
      </c>
      <c r="R826" s="4">
        <v>1</v>
      </c>
      <c r="S826" s="4">
        <v>1341</v>
      </c>
      <c r="T826" s="8" t="s">
        <v>38</v>
      </c>
      <c r="U826" t="str">
        <f>IF(OR(E826&lt;'Q1'!$E$13,E826&gt;'Q1'!$E$14),"Outliers","Not an Outliers")</f>
        <v>Not an Outliers</v>
      </c>
      <c r="V826" t="str">
        <f t="shared" si="12"/>
        <v>Weekday</v>
      </c>
    </row>
    <row r="827" spans="1:22" x14ac:dyDescent="0.3">
      <c r="A827" s="24">
        <v>45609</v>
      </c>
      <c r="B827" s="9" t="s">
        <v>71</v>
      </c>
      <c r="C827" s="9" t="s">
        <v>45</v>
      </c>
      <c r="D827" s="9" t="s">
        <v>53</v>
      </c>
      <c r="E827" s="5">
        <v>5996</v>
      </c>
      <c r="F827" s="5" t="b">
        <v>1</v>
      </c>
      <c r="G827" s="9" t="s">
        <v>23</v>
      </c>
      <c r="H827" s="9" t="s">
        <v>41</v>
      </c>
      <c r="I827" s="9" t="s">
        <v>47</v>
      </c>
      <c r="J827" s="9" t="s">
        <v>54</v>
      </c>
      <c r="K827" s="5">
        <v>5</v>
      </c>
      <c r="L827" s="9" t="s">
        <v>27</v>
      </c>
      <c r="M827" s="9" t="s">
        <v>66</v>
      </c>
      <c r="N827" s="5" t="b">
        <v>0</v>
      </c>
      <c r="O827" s="5">
        <v>36</v>
      </c>
      <c r="P827" s="9" t="s">
        <v>37</v>
      </c>
      <c r="Q827" s="5">
        <v>10</v>
      </c>
      <c r="R827" s="5">
        <v>1</v>
      </c>
      <c r="S827" s="5">
        <v>3192</v>
      </c>
      <c r="T827" s="10" t="s">
        <v>51</v>
      </c>
      <c r="U827" t="str">
        <f>IF(OR(E827&lt;'Q1'!$E$13,E827&gt;'Q1'!$E$14),"Outliers","Not an Outliers")</f>
        <v>Not an Outliers</v>
      </c>
      <c r="V827" t="str">
        <f t="shared" si="12"/>
        <v>Weekday</v>
      </c>
    </row>
    <row r="828" spans="1:22" x14ac:dyDescent="0.3">
      <c r="A828" s="23">
        <v>45610</v>
      </c>
      <c r="B828" s="7" t="s">
        <v>68</v>
      </c>
      <c r="C828" s="7" t="s">
        <v>56</v>
      </c>
      <c r="D828" s="7" t="s">
        <v>57</v>
      </c>
      <c r="E828" s="4">
        <v>1000</v>
      </c>
      <c r="F828" s="4" t="b">
        <v>0</v>
      </c>
      <c r="G828" s="7" t="s">
        <v>23</v>
      </c>
      <c r="H828" s="7" t="s">
        <v>41</v>
      </c>
      <c r="I828" s="7" t="s">
        <v>47</v>
      </c>
      <c r="J828" s="7" t="s">
        <v>43</v>
      </c>
      <c r="K828" s="4">
        <v>1</v>
      </c>
      <c r="L828" s="7" t="s">
        <v>49</v>
      </c>
      <c r="M828" s="7" t="s">
        <v>73</v>
      </c>
      <c r="N828" s="4" t="b">
        <v>1</v>
      </c>
      <c r="O828" s="4">
        <v>20</v>
      </c>
      <c r="P828" s="7" t="s">
        <v>63</v>
      </c>
      <c r="Q828" s="4">
        <v>9</v>
      </c>
      <c r="R828" s="4">
        <v>1</v>
      </c>
      <c r="S828" s="4">
        <v>2046</v>
      </c>
      <c r="T828" s="8" t="s">
        <v>38</v>
      </c>
      <c r="U828" t="str">
        <f>IF(OR(E828&lt;'Q1'!$E$13,E828&gt;'Q1'!$E$14),"Outliers","Not an Outliers")</f>
        <v>Not an Outliers</v>
      </c>
      <c r="V828" t="str">
        <f t="shared" si="12"/>
        <v>Weekday</v>
      </c>
    </row>
    <row r="829" spans="1:22" x14ac:dyDescent="0.3">
      <c r="A829" s="24">
        <v>45610</v>
      </c>
      <c r="B829" s="9" t="s">
        <v>74</v>
      </c>
      <c r="C829" s="9" t="s">
        <v>32</v>
      </c>
      <c r="D829" s="9" t="s">
        <v>53</v>
      </c>
      <c r="E829" s="5">
        <v>5718</v>
      </c>
      <c r="F829" s="5" t="b">
        <v>0</v>
      </c>
      <c r="G829" s="9" t="s">
        <v>65</v>
      </c>
      <c r="H829" s="9" t="s">
        <v>41</v>
      </c>
      <c r="I829" s="9" t="s">
        <v>59</v>
      </c>
      <c r="J829" s="9" t="s">
        <v>54</v>
      </c>
      <c r="K829" s="5">
        <v>4</v>
      </c>
      <c r="L829" s="9" t="s">
        <v>49</v>
      </c>
      <c r="M829" s="9" t="s">
        <v>28</v>
      </c>
      <c r="N829" s="5" t="b">
        <v>1</v>
      </c>
      <c r="O829" s="5">
        <v>35</v>
      </c>
      <c r="P829" s="9" t="s">
        <v>29</v>
      </c>
      <c r="Q829" s="5">
        <v>10</v>
      </c>
      <c r="R829" s="5">
        <v>2</v>
      </c>
      <c r="S829" s="5">
        <v>3013</v>
      </c>
      <c r="T829" s="10" t="s">
        <v>30</v>
      </c>
      <c r="U829" t="str">
        <f>IF(OR(E829&lt;'Q1'!$E$13,E829&gt;'Q1'!$E$14),"Outliers","Not an Outliers")</f>
        <v>Not an Outliers</v>
      </c>
      <c r="V829" t="str">
        <f t="shared" si="12"/>
        <v>Weekday</v>
      </c>
    </row>
    <row r="830" spans="1:22" x14ac:dyDescent="0.3">
      <c r="A830" s="23">
        <v>45610</v>
      </c>
      <c r="B830" s="7" t="s">
        <v>77</v>
      </c>
      <c r="C830" s="7" t="s">
        <v>56</v>
      </c>
      <c r="D830" s="7" t="s">
        <v>22</v>
      </c>
      <c r="E830" s="4">
        <v>5353</v>
      </c>
      <c r="F830" s="4" t="b">
        <v>0</v>
      </c>
      <c r="G830" s="7" t="s">
        <v>23</v>
      </c>
      <c r="H830" s="7" t="s">
        <v>35</v>
      </c>
      <c r="I830" s="7" t="s">
        <v>59</v>
      </c>
      <c r="J830" s="7" t="s">
        <v>26</v>
      </c>
      <c r="K830" s="4">
        <v>9</v>
      </c>
      <c r="L830" s="7" t="s">
        <v>27</v>
      </c>
      <c r="M830" s="7" t="s">
        <v>66</v>
      </c>
      <c r="N830" s="4" t="b">
        <v>1</v>
      </c>
      <c r="O830" s="4">
        <v>46</v>
      </c>
      <c r="P830" s="7" t="s">
        <v>37</v>
      </c>
      <c r="Q830" s="4">
        <v>8</v>
      </c>
      <c r="R830" s="4">
        <v>3</v>
      </c>
      <c r="S830" s="4">
        <v>2210</v>
      </c>
      <c r="T830" s="8" t="s">
        <v>51</v>
      </c>
      <c r="U830" t="str">
        <f>IF(OR(E830&lt;'Q1'!$E$13,E830&gt;'Q1'!$E$14),"Outliers","Not an Outliers")</f>
        <v>Not an Outliers</v>
      </c>
      <c r="V830" t="str">
        <f t="shared" si="12"/>
        <v>Weekday</v>
      </c>
    </row>
    <row r="831" spans="1:22" x14ac:dyDescent="0.3">
      <c r="A831" s="24">
        <v>45611</v>
      </c>
      <c r="B831" s="9" t="s">
        <v>31</v>
      </c>
      <c r="C831" s="9" t="s">
        <v>45</v>
      </c>
      <c r="D831" s="9" t="s">
        <v>53</v>
      </c>
      <c r="E831" s="5">
        <v>6405</v>
      </c>
      <c r="F831" s="5" t="b">
        <v>0</v>
      </c>
      <c r="G831" s="9" t="s">
        <v>23</v>
      </c>
      <c r="H831" s="9" t="s">
        <v>35</v>
      </c>
      <c r="I831" s="9" t="s">
        <v>47</v>
      </c>
      <c r="J831" s="9" t="s">
        <v>26</v>
      </c>
      <c r="K831" s="5">
        <v>5</v>
      </c>
      <c r="L831" s="9" t="s">
        <v>49</v>
      </c>
      <c r="M831" s="9" t="s">
        <v>58</v>
      </c>
      <c r="N831" s="5" t="b">
        <v>1</v>
      </c>
      <c r="O831" s="5">
        <v>92</v>
      </c>
      <c r="P831" s="9" t="s">
        <v>29</v>
      </c>
      <c r="Q831" s="5">
        <v>2</v>
      </c>
      <c r="R831" s="5">
        <v>1</v>
      </c>
      <c r="S831" s="5">
        <v>3865</v>
      </c>
      <c r="T831" s="10" t="s">
        <v>51</v>
      </c>
      <c r="U831" t="str">
        <f>IF(OR(E831&lt;'Q1'!$E$13,E831&gt;'Q1'!$E$14),"Outliers","Not an Outliers")</f>
        <v>Not an Outliers</v>
      </c>
      <c r="V831" t="str">
        <f t="shared" si="12"/>
        <v>Weekday</v>
      </c>
    </row>
    <row r="832" spans="1:22" x14ac:dyDescent="0.3">
      <c r="A832" s="23">
        <v>45611</v>
      </c>
      <c r="B832" s="7" t="s">
        <v>20</v>
      </c>
      <c r="C832" s="7" t="s">
        <v>60</v>
      </c>
      <c r="D832" s="7" t="s">
        <v>22</v>
      </c>
      <c r="E832" s="4">
        <v>8363</v>
      </c>
      <c r="F832" s="4" t="b">
        <v>0</v>
      </c>
      <c r="G832" s="7" t="s">
        <v>23</v>
      </c>
      <c r="H832" s="7" t="s">
        <v>70</v>
      </c>
      <c r="I832" s="7" t="s">
        <v>25</v>
      </c>
      <c r="J832" s="7" t="s">
        <v>54</v>
      </c>
      <c r="K832" s="4">
        <v>1</v>
      </c>
      <c r="L832" s="7" t="s">
        <v>49</v>
      </c>
      <c r="M832" s="7" t="s">
        <v>66</v>
      </c>
      <c r="N832" s="4" t="b">
        <v>0</v>
      </c>
      <c r="O832" s="4">
        <v>70</v>
      </c>
      <c r="P832" s="7" t="s">
        <v>29</v>
      </c>
      <c r="Q832" s="4">
        <v>7</v>
      </c>
      <c r="R832" s="4">
        <v>3</v>
      </c>
      <c r="S832" s="4">
        <v>1381</v>
      </c>
      <c r="T832" s="8" t="s">
        <v>38</v>
      </c>
      <c r="U832" t="str">
        <f>IF(OR(E832&lt;'Q1'!$E$13,E832&gt;'Q1'!$E$14),"Outliers","Not an Outliers")</f>
        <v>Not an Outliers</v>
      </c>
      <c r="V832" t="str">
        <f t="shared" si="12"/>
        <v>Weekday</v>
      </c>
    </row>
    <row r="833" spans="1:22" x14ac:dyDescent="0.3">
      <c r="A833" s="24">
        <v>45612</v>
      </c>
      <c r="B833" s="9" t="s">
        <v>62</v>
      </c>
      <c r="C833" s="9" t="s">
        <v>32</v>
      </c>
      <c r="D833" s="9" t="s">
        <v>46</v>
      </c>
      <c r="E833" s="5">
        <v>4872</v>
      </c>
      <c r="F833" s="5" t="b">
        <v>0</v>
      </c>
      <c r="G833" s="9" t="s">
        <v>34</v>
      </c>
      <c r="H833" s="9" t="s">
        <v>24</v>
      </c>
      <c r="I833" s="9" t="s">
        <v>25</v>
      </c>
      <c r="J833" s="9" t="s">
        <v>48</v>
      </c>
      <c r="K833" s="5">
        <v>1</v>
      </c>
      <c r="L833" s="9" t="s">
        <v>27</v>
      </c>
      <c r="M833" s="9" t="s">
        <v>28</v>
      </c>
      <c r="N833" s="5" t="b">
        <v>0</v>
      </c>
      <c r="O833" s="5">
        <v>19</v>
      </c>
      <c r="P833" s="9" t="s">
        <v>63</v>
      </c>
      <c r="Q833" s="5">
        <v>5</v>
      </c>
      <c r="R833" s="5">
        <v>1</v>
      </c>
      <c r="S833" s="5">
        <v>4258</v>
      </c>
      <c r="T833" s="10" t="s">
        <v>38</v>
      </c>
      <c r="U833" t="str">
        <f>IF(OR(E833&lt;'Q1'!$E$13,E833&gt;'Q1'!$E$14),"Outliers","Not an Outliers")</f>
        <v>Not an Outliers</v>
      </c>
      <c r="V833" t="str">
        <f t="shared" si="12"/>
        <v>Weekend</v>
      </c>
    </row>
    <row r="834" spans="1:22" x14ac:dyDescent="0.3">
      <c r="A834" s="23">
        <v>45612</v>
      </c>
      <c r="B834" s="7" t="s">
        <v>62</v>
      </c>
      <c r="C834" s="7" t="s">
        <v>56</v>
      </c>
      <c r="D834" s="7" t="s">
        <v>33</v>
      </c>
      <c r="E834" s="4">
        <v>4488</v>
      </c>
      <c r="F834" s="4" t="b">
        <v>0</v>
      </c>
      <c r="G834" s="7" t="s">
        <v>23</v>
      </c>
      <c r="H834" s="7" t="s">
        <v>24</v>
      </c>
      <c r="I834" s="7" t="s">
        <v>42</v>
      </c>
      <c r="J834" s="7" t="s">
        <v>48</v>
      </c>
      <c r="K834" s="4">
        <v>4</v>
      </c>
      <c r="L834" s="7" t="s">
        <v>49</v>
      </c>
      <c r="M834" s="7" t="s">
        <v>58</v>
      </c>
      <c r="N834" s="4" t="b">
        <v>1</v>
      </c>
      <c r="O834" s="4">
        <v>92</v>
      </c>
      <c r="P834" s="7" t="s">
        <v>29</v>
      </c>
      <c r="Q834" s="4">
        <v>1</v>
      </c>
      <c r="R834" s="4">
        <v>1</v>
      </c>
      <c r="S834" s="4">
        <v>2315</v>
      </c>
      <c r="T834" s="8" t="s">
        <v>30</v>
      </c>
      <c r="U834" t="str">
        <f>IF(OR(E834&lt;'Q1'!$E$13,E834&gt;'Q1'!$E$14),"Outliers","Not an Outliers")</f>
        <v>Not an Outliers</v>
      </c>
      <c r="V834" t="str">
        <f t="shared" si="12"/>
        <v>Weekend</v>
      </c>
    </row>
    <row r="835" spans="1:22" x14ac:dyDescent="0.3">
      <c r="A835" s="24">
        <v>45612</v>
      </c>
      <c r="B835" s="9" t="s">
        <v>31</v>
      </c>
      <c r="C835" s="9" t="s">
        <v>32</v>
      </c>
      <c r="D835" s="9" t="s">
        <v>22</v>
      </c>
      <c r="E835" s="5">
        <v>6036</v>
      </c>
      <c r="F835" s="5" t="b">
        <v>0</v>
      </c>
      <c r="G835" s="9" t="s">
        <v>34</v>
      </c>
      <c r="H835" s="9" t="s">
        <v>70</v>
      </c>
      <c r="I835" s="9" t="s">
        <v>42</v>
      </c>
      <c r="J835" s="9" t="s">
        <v>48</v>
      </c>
      <c r="K835" s="5">
        <v>5</v>
      </c>
      <c r="L835" s="9" t="s">
        <v>27</v>
      </c>
      <c r="M835" s="9" t="s">
        <v>28</v>
      </c>
      <c r="N835" s="5" t="b">
        <v>0</v>
      </c>
      <c r="O835" s="5">
        <v>34</v>
      </c>
      <c r="P835" s="9" t="s">
        <v>63</v>
      </c>
      <c r="Q835" s="5">
        <v>6</v>
      </c>
      <c r="R835" s="5">
        <v>3</v>
      </c>
      <c r="S835" s="5">
        <v>4248</v>
      </c>
      <c r="T835" s="10" t="s">
        <v>30</v>
      </c>
      <c r="U835" t="str">
        <f>IF(OR(E835&lt;'Q1'!$E$13,E835&gt;'Q1'!$E$14),"Outliers","Not an Outliers")</f>
        <v>Not an Outliers</v>
      </c>
      <c r="V835" t="str">
        <f t="shared" ref="V835:V898" si="13">IF(WEEKDAY(A835,2)&gt;5,"Weekend","Weekday")</f>
        <v>Weekend</v>
      </c>
    </row>
    <row r="836" spans="1:22" x14ac:dyDescent="0.3">
      <c r="A836" s="23">
        <v>45612</v>
      </c>
      <c r="B836" s="7" t="s">
        <v>69</v>
      </c>
      <c r="C836" s="7" t="s">
        <v>32</v>
      </c>
      <c r="D836" s="7" t="s">
        <v>46</v>
      </c>
      <c r="E836" s="4">
        <v>2227</v>
      </c>
      <c r="F836" s="4" t="b">
        <v>1</v>
      </c>
      <c r="G836" s="7" t="s">
        <v>65</v>
      </c>
      <c r="H836" s="7" t="s">
        <v>41</v>
      </c>
      <c r="I836" s="7" t="s">
        <v>25</v>
      </c>
      <c r="J836" s="7" t="s">
        <v>54</v>
      </c>
      <c r="K836" s="4">
        <v>2</v>
      </c>
      <c r="L836" s="7" t="s">
        <v>27</v>
      </c>
      <c r="M836" s="7" t="s">
        <v>58</v>
      </c>
      <c r="N836" s="4" t="b">
        <v>0</v>
      </c>
      <c r="O836" s="4">
        <v>97</v>
      </c>
      <c r="P836" s="7" t="s">
        <v>50</v>
      </c>
      <c r="Q836" s="4">
        <v>2</v>
      </c>
      <c r="R836" s="4">
        <v>3</v>
      </c>
      <c r="S836" s="4">
        <v>1620</v>
      </c>
      <c r="T836" s="8" t="s">
        <v>30</v>
      </c>
      <c r="U836" t="str">
        <f>IF(OR(E836&lt;'Q1'!$E$13,E836&gt;'Q1'!$E$14),"Outliers","Not an Outliers")</f>
        <v>Not an Outliers</v>
      </c>
      <c r="V836" t="str">
        <f t="shared" si="13"/>
        <v>Weekend</v>
      </c>
    </row>
    <row r="837" spans="1:22" x14ac:dyDescent="0.3">
      <c r="A837" s="24">
        <v>45613</v>
      </c>
      <c r="B837" s="9" t="s">
        <v>68</v>
      </c>
      <c r="C837" s="9" t="s">
        <v>60</v>
      </c>
      <c r="D837" s="9" t="s">
        <v>33</v>
      </c>
      <c r="E837" s="5">
        <v>3096</v>
      </c>
      <c r="F837" s="5" t="b">
        <v>0</v>
      </c>
      <c r="G837" s="9" t="s">
        <v>40</v>
      </c>
      <c r="H837" s="9" t="s">
        <v>70</v>
      </c>
      <c r="I837" s="9" t="s">
        <v>25</v>
      </c>
      <c r="J837" s="9" t="s">
        <v>26</v>
      </c>
      <c r="K837" s="5">
        <v>1</v>
      </c>
      <c r="L837" s="9" t="s">
        <v>27</v>
      </c>
      <c r="M837" s="9" t="s">
        <v>73</v>
      </c>
      <c r="N837" s="5" t="b">
        <v>1</v>
      </c>
      <c r="O837" s="5">
        <v>95</v>
      </c>
      <c r="P837" s="9" t="s">
        <v>50</v>
      </c>
      <c r="Q837" s="5">
        <v>8</v>
      </c>
      <c r="R837" s="5">
        <v>2</v>
      </c>
      <c r="S837" s="5">
        <v>2341</v>
      </c>
      <c r="T837" s="10" t="s">
        <v>30</v>
      </c>
      <c r="U837" t="str">
        <f>IF(OR(E837&lt;'Q1'!$E$13,E837&gt;'Q1'!$E$14),"Outliers","Not an Outliers")</f>
        <v>Not an Outliers</v>
      </c>
      <c r="V837" t="str">
        <f t="shared" si="13"/>
        <v>Weekend</v>
      </c>
    </row>
    <row r="838" spans="1:22" x14ac:dyDescent="0.3">
      <c r="A838" s="23">
        <v>45613</v>
      </c>
      <c r="B838" s="7" t="s">
        <v>71</v>
      </c>
      <c r="C838" s="7" t="s">
        <v>45</v>
      </c>
      <c r="D838" s="7" t="s">
        <v>22</v>
      </c>
      <c r="E838" s="4">
        <v>8321</v>
      </c>
      <c r="F838" s="4" t="b">
        <v>1</v>
      </c>
      <c r="G838" s="7" t="s">
        <v>65</v>
      </c>
      <c r="H838" s="7" t="s">
        <v>35</v>
      </c>
      <c r="I838" s="7" t="s">
        <v>25</v>
      </c>
      <c r="J838" s="7" t="s">
        <v>26</v>
      </c>
      <c r="K838" s="4">
        <v>4</v>
      </c>
      <c r="L838" s="7" t="s">
        <v>36</v>
      </c>
      <c r="M838" s="7" t="s">
        <v>73</v>
      </c>
      <c r="N838" s="4" t="b">
        <v>1</v>
      </c>
      <c r="O838" s="4">
        <v>22</v>
      </c>
      <c r="P838" s="7" t="s">
        <v>67</v>
      </c>
      <c r="Q838" s="4">
        <v>4</v>
      </c>
      <c r="R838" s="4">
        <v>3</v>
      </c>
      <c r="S838" s="4">
        <v>1889</v>
      </c>
      <c r="T838" s="8" t="s">
        <v>51</v>
      </c>
      <c r="U838" t="str">
        <f>IF(OR(E838&lt;'Q1'!$E$13,E838&gt;'Q1'!$E$14),"Outliers","Not an Outliers")</f>
        <v>Not an Outliers</v>
      </c>
      <c r="V838" t="str">
        <f t="shared" si="13"/>
        <v>Weekend</v>
      </c>
    </row>
    <row r="839" spans="1:22" x14ac:dyDescent="0.3">
      <c r="A839" s="24">
        <v>45613</v>
      </c>
      <c r="B839" s="9" t="s">
        <v>74</v>
      </c>
      <c r="C839" s="9" t="s">
        <v>45</v>
      </c>
      <c r="D839" s="9" t="s">
        <v>33</v>
      </c>
      <c r="E839" s="5">
        <v>2220</v>
      </c>
      <c r="F839" s="5" t="b">
        <v>1</v>
      </c>
      <c r="G839" s="9" t="s">
        <v>64</v>
      </c>
      <c r="H839" s="9" t="s">
        <v>35</v>
      </c>
      <c r="I839" s="9" t="s">
        <v>42</v>
      </c>
      <c r="J839" s="9" t="s">
        <v>54</v>
      </c>
      <c r="K839" s="5">
        <v>1</v>
      </c>
      <c r="L839" s="9" t="s">
        <v>36</v>
      </c>
      <c r="M839" s="9" t="s">
        <v>66</v>
      </c>
      <c r="N839" s="5" t="b">
        <v>0</v>
      </c>
      <c r="O839" s="5">
        <v>91</v>
      </c>
      <c r="P839" s="9" t="s">
        <v>37</v>
      </c>
      <c r="Q839" s="5">
        <v>5</v>
      </c>
      <c r="R839" s="5">
        <v>3</v>
      </c>
      <c r="S839" s="5">
        <v>2753</v>
      </c>
      <c r="T839" s="10" t="s">
        <v>51</v>
      </c>
      <c r="U839" t="str">
        <f>IF(OR(E839&lt;'Q1'!$E$13,E839&gt;'Q1'!$E$14),"Outliers","Not an Outliers")</f>
        <v>Not an Outliers</v>
      </c>
      <c r="V839" t="str">
        <f t="shared" si="13"/>
        <v>Weekend</v>
      </c>
    </row>
    <row r="840" spans="1:22" x14ac:dyDescent="0.3">
      <c r="A840" s="23">
        <v>45614</v>
      </c>
      <c r="B840" s="7" t="s">
        <v>72</v>
      </c>
      <c r="C840" s="7" t="s">
        <v>56</v>
      </c>
      <c r="D840" s="7" t="s">
        <v>33</v>
      </c>
      <c r="E840" s="4">
        <v>4018</v>
      </c>
      <c r="F840" s="4" t="b">
        <v>1</v>
      </c>
      <c r="G840" s="7" t="s">
        <v>23</v>
      </c>
      <c r="H840" s="7" t="s">
        <v>70</v>
      </c>
      <c r="I840" s="7" t="s">
        <v>25</v>
      </c>
      <c r="J840" s="7" t="s">
        <v>48</v>
      </c>
      <c r="K840" s="4">
        <v>11</v>
      </c>
      <c r="L840" s="7" t="s">
        <v>36</v>
      </c>
      <c r="M840" s="7" t="s">
        <v>58</v>
      </c>
      <c r="N840" s="4" t="b">
        <v>0</v>
      </c>
      <c r="O840" s="4">
        <v>102</v>
      </c>
      <c r="P840" s="7" t="s">
        <v>37</v>
      </c>
      <c r="Q840" s="4">
        <v>5</v>
      </c>
      <c r="R840" s="4">
        <v>1</v>
      </c>
      <c r="S840" s="4">
        <v>865</v>
      </c>
      <c r="T840" s="8" t="s">
        <v>51</v>
      </c>
      <c r="U840" t="str">
        <f>IF(OR(E840&lt;'Q1'!$E$13,E840&gt;'Q1'!$E$14),"Outliers","Not an Outliers")</f>
        <v>Not an Outliers</v>
      </c>
      <c r="V840" t="str">
        <f t="shared" si="13"/>
        <v>Weekday</v>
      </c>
    </row>
    <row r="841" spans="1:22" x14ac:dyDescent="0.3">
      <c r="A841" s="24">
        <v>45614</v>
      </c>
      <c r="B841" s="9" t="s">
        <v>75</v>
      </c>
      <c r="C841" s="9" t="s">
        <v>60</v>
      </c>
      <c r="D841" s="9" t="s">
        <v>46</v>
      </c>
      <c r="E841" s="5">
        <v>2914</v>
      </c>
      <c r="F841" s="5" t="b">
        <v>0</v>
      </c>
      <c r="G841" s="9" t="s">
        <v>34</v>
      </c>
      <c r="H841" s="9" t="s">
        <v>35</v>
      </c>
      <c r="I841" s="9" t="s">
        <v>42</v>
      </c>
      <c r="J841" s="9" t="s">
        <v>54</v>
      </c>
      <c r="K841" s="5">
        <v>0</v>
      </c>
      <c r="L841" s="9" t="s">
        <v>49</v>
      </c>
      <c r="M841" s="9" t="s">
        <v>28</v>
      </c>
      <c r="N841" s="5" t="b">
        <v>1</v>
      </c>
      <c r="O841" s="5">
        <v>113</v>
      </c>
      <c r="P841" s="9" t="s">
        <v>37</v>
      </c>
      <c r="Q841" s="5">
        <v>4</v>
      </c>
      <c r="R841" s="5">
        <v>1</v>
      </c>
      <c r="S841" s="5">
        <v>3495</v>
      </c>
      <c r="T841" s="10" t="s">
        <v>38</v>
      </c>
      <c r="U841" t="str">
        <f>IF(OR(E841&lt;'Q1'!$E$13,E841&gt;'Q1'!$E$14),"Outliers","Not an Outliers")</f>
        <v>Not an Outliers</v>
      </c>
      <c r="V841" t="str">
        <f t="shared" si="13"/>
        <v>Weekday</v>
      </c>
    </row>
    <row r="842" spans="1:22" x14ac:dyDescent="0.3">
      <c r="A842" s="23">
        <v>45614</v>
      </c>
      <c r="B842" s="7" t="s">
        <v>44</v>
      </c>
      <c r="C842" s="7" t="s">
        <v>45</v>
      </c>
      <c r="D842" s="7" t="s">
        <v>53</v>
      </c>
      <c r="E842" s="4">
        <v>5674</v>
      </c>
      <c r="F842" s="4" t="b">
        <v>1</v>
      </c>
      <c r="G842" s="7" t="s">
        <v>40</v>
      </c>
      <c r="H842" s="7" t="s">
        <v>35</v>
      </c>
      <c r="I842" s="7" t="s">
        <v>42</v>
      </c>
      <c r="J842" s="7" t="s">
        <v>48</v>
      </c>
      <c r="K842" s="4">
        <v>4</v>
      </c>
      <c r="L842" s="7" t="s">
        <v>36</v>
      </c>
      <c r="M842" s="7" t="s">
        <v>73</v>
      </c>
      <c r="N842" s="4" t="b">
        <v>0</v>
      </c>
      <c r="O842" s="4">
        <v>95</v>
      </c>
      <c r="P842" s="7" t="s">
        <v>67</v>
      </c>
      <c r="Q842" s="4">
        <v>7</v>
      </c>
      <c r="R842" s="4">
        <v>2</v>
      </c>
      <c r="S842" s="4">
        <v>2143</v>
      </c>
      <c r="T842" s="8" t="s">
        <v>51</v>
      </c>
      <c r="U842" t="str">
        <f>IF(OR(E842&lt;'Q1'!$E$13,E842&gt;'Q1'!$E$14),"Outliers","Not an Outliers")</f>
        <v>Not an Outliers</v>
      </c>
      <c r="V842" t="str">
        <f t="shared" si="13"/>
        <v>Weekday</v>
      </c>
    </row>
    <row r="843" spans="1:22" x14ac:dyDescent="0.3">
      <c r="A843" s="24">
        <v>45614</v>
      </c>
      <c r="B843" s="9" t="s">
        <v>20</v>
      </c>
      <c r="C843" s="9" t="s">
        <v>45</v>
      </c>
      <c r="D843" s="9" t="s">
        <v>57</v>
      </c>
      <c r="E843" s="5">
        <v>1000</v>
      </c>
      <c r="F843" s="5" t="b">
        <v>1</v>
      </c>
      <c r="G843" s="9" t="s">
        <v>40</v>
      </c>
      <c r="H843" s="9" t="s">
        <v>41</v>
      </c>
      <c r="I843" s="9" t="s">
        <v>47</v>
      </c>
      <c r="J843" s="9" t="s">
        <v>43</v>
      </c>
      <c r="K843" s="5">
        <v>3</v>
      </c>
      <c r="L843" s="9" t="s">
        <v>49</v>
      </c>
      <c r="M843" s="9" t="s">
        <v>73</v>
      </c>
      <c r="N843" s="5" t="b">
        <v>1</v>
      </c>
      <c r="O843" s="5">
        <v>63</v>
      </c>
      <c r="P843" s="9" t="s">
        <v>67</v>
      </c>
      <c r="Q843" s="5">
        <v>5</v>
      </c>
      <c r="R843" s="5">
        <v>1</v>
      </c>
      <c r="S843" s="5">
        <v>4415</v>
      </c>
      <c r="T843" s="10" t="s">
        <v>38</v>
      </c>
      <c r="U843" t="str">
        <f>IF(OR(E843&lt;'Q1'!$E$13,E843&gt;'Q1'!$E$14),"Outliers","Not an Outliers")</f>
        <v>Not an Outliers</v>
      </c>
      <c r="V843" t="str">
        <f t="shared" si="13"/>
        <v>Weekday</v>
      </c>
    </row>
    <row r="844" spans="1:22" x14ac:dyDescent="0.3">
      <c r="A844" s="23">
        <v>45615</v>
      </c>
      <c r="B844" s="7" t="s">
        <v>44</v>
      </c>
      <c r="C844" s="7" t="s">
        <v>21</v>
      </c>
      <c r="D844" s="7" t="s">
        <v>46</v>
      </c>
      <c r="E844" s="4">
        <v>1206</v>
      </c>
      <c r="F844" s="4" t="b">
        <v>0</v>
      </c>
      <c r="G844" s="7" t="s">
        <v>34</v>
      </c>
      <c r="H844" s="7" t="s">
        <v>41</v>
      </c>
      <c r="I844" s="7" t="s">
        <v>59</v>
      </c>
      <c r="J844" s="7" t="s">
        <v>48</v>
      </c>
      <c r="K844" s="4">
        <v>2</v>
      </c>
      <c r="L844" s="7" t="s">
        <v>36</v>
      </c>
      <c r="M844" s="7" t="s">
        <v>28</v>
      </c>
      <c r="N844" s="4" t="b">
        <v>1</v>
      </c>
      <c r="O844" s="4">
        <v>115</v>
      </c>
      <c r="P844" s="7" t="s">
        <v>50</v>
      </c>
      <c r="Q844" s="4">
        <v>5</v>
      </c>
      <c r="R844" s="4">
        <v>3</v>
      </c>
      <c r="S844" s="4">
        <v>3071</v>
      </c>
      <c r="T844" s="8" t="s">
        <v>30</v>
      </c>
      <c r="U844" t="str">
        <f>IF(OR(E844&lt;'Q1'!$E$13,E844&gt;'Q1'!$E$14),"Outliers","Not an Outliers")</f>
        <v>Not an Outliers</v>
      </c>
      <c r="V844" t="str">
        <f t="shared" si="13"/>
        <v>Weekday</v>
      </c>
    </row>
    <row r="845" spans="1:22" x14ac:dyDescent="0.3">
      <c r="A845" s="24">
        <v>45615</v>
      </c>
      <c r="B845" s="9" t="s">
        <v>52</v>
      </c>
      <c r="C845" s="9" t="s">
        <v>32</v>
      </c>
      <c r="D845" s="9" t="s">
        <v>53</v>
      </c>
      <c r="E845" s="5">
        <v>5191</v>
      </c>
      <c r="F845" s="5" t="b">
        <v>1</v>
      </c>
      <c r="G845" s="9" t="s">
        <v>64</v>
      </c>
      <c r="H845" s="9" t="s">
        <v>35</v>
      </c>
      <c r="I845" s="9" t="s">
        <v>42</v>
      </c>
      <c r="J845" s="9" t="s">
        <v>43</v>
      </c>
      <c r="K845" s="5">
        <v>0</v>
      </c>
      <c r="L845" s="9" t="s">
        <v>27</v>
      </c>
      <c r="M845" s="9" t="s">
        <v>58</v>
      </c>
      <c r="N845" s="5" t="b">
        <v>0</v>
      </c>
      <c r="O845" s="5">
        <v>99</v>
      </c>
      <c r="P845" s="9" t="s">
        <v>67</v>
      </c>
      <c r="Q845" s="5">
        <v>2</v>
      </c>
      <c r="R845" s="5">
        <v>1</v>
      </c>
      <c r="S845" s="5">
        <v>2629</v>
      </c>
      <c r="T845" s="10" t="s">
        <v>51</v>
      </c>
      <c r="U845" t="str">
        <f>IF(OR(E845&lt;'Q1'!$E$13,E845&gt;'Q1'!$E$14),"Outliers","Not an Outliers")</f>
        <v>Not an Outliers</v>
      </c>
      <c r="V845" t="str">
        <f t="shared" si="13"/>
        <v>Weekday</v>
      </c>
    </row>
    <row r="846" spans="1:22" x14ac:dyDescent="0.3">
      <c r="A846" s="23">
        <v>45616</v>
      </c>
      <c r="B846" s="7" t="s">
        <v>75</v>
      </c>
      <c r="C846" s="7" t="s">
        <v>45</v>
      </c>
      <c r="D846" s="7" t="s">
        <v>22</v>
      </c>
      <c r="E846" s="4">
        <v>6050</v>
      </c>
      <c r="F846" s="4" t="b">
        <v>0</v>
      </c>
      <c r="G846" s="7" t="s">
        <v>40</v>
      </c>
      <c r="H846" s="7" t="s">
        <v>70</v>
      </c>
      <c r="I846" s="7" t="s">
        <v>42</v>
      </c>
      <c r="J846" s="7" t="s">
        <v>26</v>
      </c>
      <c r="K846" s="4">
        <v>4</v>
      </c>
      <c r="L846" s="7" t="s">
        <v>36</v>
      </c>
      <c r="M846" s="7" t="s">
        <v>58</v>
      </c>
      <c r="N846" s="4" t="b">
        <v>0</v>
      </c>
      <c r="O846" s="4">
        <v>28</v>
      </c>
      <c r="P846" s="7" t="s">
        <v>50</v>
      </c>
      <c r="Q846" s="4">
        <v>3</v>
      </c>
      <c r="R846" s="4">
        <v>3</v>
      </c>
      <c r="S846" s="4">
        <v>1774</v>
      </c>
      <c r="T846" s="8" t="s">
        <v>51</v>
      </c>
      <c r="U846" t="str">
        <f>IF(OR(E846&lt;'Q1'!$E$13,E846&gt;'Q1'!$E$14),"Outliers","Not an Outliers")</f>
        <v>Not an Outliers</v>
      </c>
      <c r="V846" t="str">
        <f t="shared" si="13"/>
        <v>Weekday</v>
      </c>
    </row>
    <row r="847" spans="1:22" x14ac:dyDescent="0.3">
      <c r="A847" s="24">
        <v>45616</v>
      </c>
      <c r="B847" s="9" t="s">
        <v>31</v>
      </c>
      <c r="C847" s="9" t="s">
        <v>60</v>
      </c>
      <c r="D847" s="9" t="s">
        <v>53</v>
      </c>
      <c r="E847" s="5">
        <v>5652</v>
      </c>
      <c r="F847" s="5" t="b">
        <v>0</v>
      </c>
      <c r="G847" s="9" t="s">
        <v>34</v>
      </c>
      <c r="H847" s="9" t="s">
        <v>35</v>
      </c>
      <c r="I847" s="9" t="s">
        <v>42</v>
      </c>
      <c r="J847" s="9" t="s">
        <v>54</v>
      </c>
      <c r="K847" s="5">
        <v>2</v>
      </c>
      <c r="L847" s="9" t="s">
        <v>49</v>
      </c>
      <c r="M847" s="9" t="s">
        <v>73</v>
      </c>
      <c r="N847" s="5" t="b">
        <v>1</v>
      </c>
      <c r="O847" s="5">
        <v>43</v>
      </c>
      <c r="P847" s="9" t="s">
        <v>50</v>
      </c>
      <c r="Q847" s="5">
        <v>10</v>
      </c>
      <c r="R847" s="5">
        <v>3</v>
      </c>
      <c r="S847" s="5">
        <v>4820</v>
      </c>
      <c r="T847" s="10" t="s">
        <v>51</v>
      </c>
      <c r="U847" t="str">
        <f>IF(OR(E847&lt;'Q1'!$E$13,E847&gt;'Q1'!$E$14),"Outliers","Not an Outliers")</f>
        <v>Not an Outliers</v>
      </c>
      <c r="V847" t="str">
        <f t="shared" si="13"/>
        <v>Weekday</v>
      </c>
    </row>
    <row r="848" spans="1:22" x14ac:dyDescent="0.3">
      <c r="A848" s="23">
        <v>45617</v>
      </c>
      <c r="B848" s="7" t="s">
        <v>71</v>
      </c>
      <c r="C848" s="7" t="s">
        <v>60</v>
      </c>
      <c r="D848" s="7" t="s">
        <v>61</v>
      </c>
      <c r="E848" s="4">
        <v>1000</v>
      </c>
      <c r="F848" s="4" t="b">
        <v>1</v>
      </c>
      <c r="G848" s="7" t="s">
        <v>64</v>
      </c>
      <c r="H848" s="7" t="s">
        <v>35</v>
      </c>
      <c r="I848" s="7" t="s">
        <v>42</v>
      </c>
      <c r="J848" s="7" t="s">
        <v>43</v>
      </c>
      <c r="K848" s="4">
        <v>0</v>
      </c>
      <c r="L848" s="7" t="s">
        <v>49</v>
      </c>
      <c r="M848" s="7" t="s">
        <v>58</v>
      </c>
      <c r="N848" s="4" t="b">
        <v>1</v>
      </c>
      <c r="O848" s="4">
        <v>41</v>
      </c>
      <c r="P848" s="7" t="s">
        <v>67</v>
      </c>
      <c r="Q848" s="4">
        <v>5</v>
      </c>
      <c r="R848" s="4">
        <v>3</v>
      </c>
      <c r="S848" s="4">
        <v>3941</v>
      </c>
      <c r="T848" s="8" t="s">
        <v>38</v>
      </c>
      <c r="U848" t="str">
        <f>IF(OR(E848&lt;'Q1'!$E$13,E848&gt;'Q1'!$E$14),"Outliers","Not an Outliers")</f>
        <v>Not an Outliers</v>
      </c>
      <c r="V848" t="str">
        <f t="shared" si="13"/>
        <v>Weekday</v>
      </c>
    </row>
    <row r="849" spans="1:22" x14ac:dyDescent="0.3">
      <c r="A849" s="24">
        <v>45618</v>
      </c>
      <c r="B849" s="9" t="s">
        <v>39</v>
      </c>
      <c r="C849" s="9" t="s">
        <v>21</v>
      </c>
      <c r="D849" s="9" t="s">
        <v>33</v>
      </c>
      <c r="E849" s="5">
        <v>2288</v>
      </c>
      <c r="F849" s="5" t="b">
        <v>0</v>
      </c>
      <c r="G849" s="9" t="s">
        <v>23</v>
      </c>
      <c r="H849" s="9" t="s">
        <v>41</v>
      </c>
      <c r="I849" s="9" t="s">
        <v>42</v>
      </c>
      <c r="J849" s="9" t="s">
        <v>43</v>
      </c>
      <c r="K849" s="5">
        <v>4</v>
      </c>
      <c r="L849" s="9" t="s">
        <v>27</v>
      </c>
      <c r="M849" s="9" t="s">
        <v>28</v>
      </c>
      <c r="N849" s="5" t="b">
        <v>0</v>
      </c>
      <c r="O849" s="5">
        <v>8</v>
      </c>
      <c r="P849" s="9" t="s">
        <v>67</v>
      </c>
      <c r="Q849" s="5">
        <v>4</v>
      </c>
      <c r="R849" s="5">
        <v>2</v>
      </c>
      <c r="S849" s="5">
        <v>4452</v>
      </c>
      <c r="T849" s="10" t="s">
        <v>51</v>
      </c>
      <c r="U849" t="str">
        <f>IF(OR(E849&lt;'Q1'!$E$13,E849&gt;'Q1'!$E$14),"Outliers","Not an Outliers")</f>
        <v>Not an Outliers</v>
      </c>
      <c r="V849" t="str">
        <f t="shared" si="13"/>
        <v>Weekday</v>
      </c>
    </row>
    <row r="850" spans="1:22" x14ac:dyDescent="0.3">
      <c r="A850" s="23">
        <v>45618</v>
      </c>
      <c r="B850" s="7" t="s">
        <v>31</v>
      </c>
      <c r="C850" s="7" t="s">
        <v>45</v>
      </c>
      <c r="D850" s="7" t="s">
        <v>22</v>
      </c>
      <c r="E850" s="4">
        <v>7672</v>
      </c>
      <c r="F850" s="4" t="b">
        <v>0</v>
      </c>
      <c r="G850" s="7" t="s">
        <v>64</v>
      </c>
      <c r="H850" s="7" t="s">
        <v>35</v>
      </c>
      <c r="I850" s="7" t="s">
        <v>59</v>
      </c>
      <c r="J850" s="7" t="s">
        <v>43</v>
      </c>
      <c r="K850" s="4">
        <v>5</v>
      </c>
      <c r="L850" s="7" t="s">
        <v>36</v>
      </c>
      <c r="M850" s="7" t="s">
        <v>73</v>
      </c>
      <c r="N850" s="4" t="b">
        <v>0</v>
      </c>
      <c r="O850" s="4">
        <v>99</v>
      </c>
      <c r="P850" s="7" t="s">
        <v>67</v>
      </c>
      <c r="Q850" s="4">
        <v>10</v>
      </c>
      <c r="R850" s="4">
        <v>3</v>
      </c>
      <c r="S850" s="4">
        <v>4053</v>
      </c>
      <c r="T850" s="8" t="s">
        <v>30</v>
      </c>
      <c r="U850" t="str">
        <f>IF(OR(E850&lt;'Q1'!$E$13,E850&gt;'Q1'!$E$14),"Outliers","Not an Outliers")</f>
        <v>Not an Outliers</v>
      </c>
      <c r="V850" t="str">
        <f t="shared" si="13"/>
        <v>Weekday</v>
      </c>
    </row>
    <row r="851" spans="1:22" x14ac:dyDescent="0.3">
      <c r="A851" s="24">
        <v>45618</v>
      </c>
      <c r="B851" s="9" t="s">
        <v>62</v>
      </c>
      <c r="C851" s="9" t="s">
        <v>56</v>
      </c>
      <c r="D851" s="9" t="s">
        <v>53</v>
      </c>
      <c r="E851" s="5">
        <v>4245</v>
      </c>
      <c r="F851" s="5" t="b">
        <v>0</v>
      </c>
      <c r="G851" s="9" t="s">
        <v>23</v>
      </c>
      <c r="H851" s="9" t="s">
        <v>70</v>
      </c>
      <c r="I851" s="9" t="s">
        <v>25</v>
      </c>
      <c r="J851" s="9" t="s">
        <v>54</v>
      </c>
      <c r="K851" s="5">
        <v>2</v>
      </c>
      <c r="L851" s="9" t="s">
        <v>27</v>
      </c>
      <c r="M851" s="9" t="s">
        <v>66</v>
      </c>
      <c r="N851" s="5" t="b">
        <v>1</v>
      </c>
      <c r="O851" s="5">
        <v>33</v>
      </c>
      <c r="P851" s="9" t="s">
        <v>37</v>
      </c>
      <c r="Q851" s="5">
        <v>3</v>
      </c>
      <c r="R851" s="5">
        <v>2</v>
      </c>
      <c r="S851" s="5">
        <v>3377</v>
      </c>
      <c r="T851" s="10" t="s">
        <v>30</v>
      </c>
      <c r="U851" t="str">
        <f>IF(OR(E851&lt;'Q1'!$E$13,E851&gt;'Q1'!$E$14),"Outliers","Not an Outliers")</f>
        <v>Not an Outliers</v>
      </c>
      <c r="V851" t="str">
        <f t="shared" si="13"/>
        <v>Weekday</v>
      </c>
    </row>
    <row r="852" spans="1:22" x14ac:dyDescent="0.3">
      <c r="A852" s="23">
        <v>45619</v>
      </c>
      <c r="B852" s="7" t="s">
        <v>69</v>
      </c>
      <c r="C852" s="7" t="s">
        <v>21</v>
      </c>
      <c r="D852" s="7" t="s">
        <v>46</v>
      </c>
      <c r="E852" s="4">
        <v>2478</v>
      </c>
      <c r="F852" s="4" t="b">
        <v>1</v>
      </c>
      <c r="G852" s="7" t="s">
        <v>34</v>
      </c>
      <c r="H852" s="7" t="s">
        <v>41</v>
      </c>
      <c r="I852" s="7" t="s">
        <v>47</v>
      </c>
      <c r="J852" s="7" t="s">
        <v>54</v>
      </c>
      <c r="K852" s="4">
        <v>5</v>
      </c>
      <c r="L852" s="7" t="s">
        <v>49</v>
      </c>
      <c r="M852" s="7" t="s">
        <v>28</v>
      </c>
      <c r="N852" s="4" t="b">
        <v>0</v>
      </c>
      <c r="O852" s="4">
        <v>111</v>
      </c>
      <c r="P852" s="7" t="s">
        <v>37</v>
      </c>
      <c r="Q852" s="4">
        <v>10</v>
      </c>
      <c r="R852" s="4">
        <v>3</v>
      </c>
      <c r="S852" s="4">
        <v>3168</v>
      </c>
      <c r="T852" s="8" t="s">
        <v>30</v>
      </c>
      <c r="U852" t="str">
        <f>IF(OR(E852&lt;'Q1'!$E$13,E852&gt;'Q1'!$E$14),"Outliers","Not an Outliers")</f>
        <v>Not an Outliers</v>
      </c>
      <c r="V852" t="str">
        <f t="shared" si="13"/>
        <v>Weekend</v>
      </c>
    </row>
    <row r="853" spans="1:22" x14ac:dyDescent="0.3">
      <c r="A853" s="24">
        <v>45619</v>
      </c>
      <c r="B853" s="9" t="s">
        <v>31</v>
      </c>
      <c r="C853" s="9" t="s">
        <v>45</v>
      </c>
      <c r="D853" s="9" t="s">
        <v>46</v>
      </c>
      <c r="E853" s="5">
        <v>4287</v>
      </c>
      <c r="F853" s="5" t="b">
        <v>0</v>
      </c>
      <c r="G853" s="9" t="s">
        <v>40</v>
      </c>
      <c r="H853" s="9" t="s">
        <v>41</v>
      </c>
      <c r="I853" s="9" t="s">
        <v>59</v>
      </c>
      <c r="J853" s="9" t="s">
        <v>43</v>
      </c>
      <c r="K853" s="5">
        <v>3</v>
      </c>
      <c r="L853" s="9" t="s">
        <v>49</v>
      </c>
      <c r="M853" s="9" t="s">
        <v>58</v>
      </c>
      <c r="N853" s="5" t="b">
        <v>0</v>
      </c>
      <c r="O853" s="5">
        <v>61</v>
      </c>
      <c r="P853" s="9" t="s">
        <v>29</v>
      </c>
      <c r="Q853" s="5">
        <v>8</v>
      </c>
      <c r="R853" s="5">
        <v>1</v>
      </c>
      <c r="S853" s="5">
        <v>3860</v>
      </c>
      <c r="T853" s="10" t="s">
        <v>38</v>
      </c>
      <c r="U853" t="str">
        <f>IF(OR(E853&lt;'Q1'!$E$13,E853&gt;'Q1'!$E$14),"Outliers","Not an Outliers")</f>
        <v>Not an Outliers</v>
      </c>
      <c r="V853" t="str">
        <f t="shared" si="13"/>
        <v>Weekend</v>
      </c>
    </row>
    <row r="854" spans="1:22" x14ac:dyDescent="0.3">
      <c r="A854" s="23">
        <v>45619</v>
      </c>
      <c r="B854" s="7" t="s">
        <v>72</v>
      </c>
      <c r="C854" s="7" t="s">
        <v>32</v>
      </c>
      <c r="D854" s="7" t="s">
        <v>53</v>
      </c>
      <c r="E854" s="4">
        <v>4822</v>
      </c>
      <c r="F854" s="4" t="b">
        <v>0</v>
      </c>
      <c r="G854" s="7" t="s">
        <v>34</v>
      </c>
      <c r="H854" s="7" t="s">
        <v>41</v>
      </c>
      <c r="I854" s="7" t="s">
        <v>25</v>
      </c>
      <c r="J854" s="7" t="s">
        <v>26</v>
      </c>
      <c r="K854" s="4">
        <v>2</v>
      </c>
      <c r="L854" s="7" t="s">
        <v>27</v>
      </c>
      <c r="M854" s="7" t="s">
        <v>28</v>
      </c>
      <c r="N854" s="4" t="b">
        <v>1</v>
      </c>
      <c r="O854" s="4">
        <v>52</v>
      </c>
      <c r="P854" s="7" t="s">
        <v>63</v>
      </c>
      <c r="Q854" s="4">
        <v>6</v>
      </c>
      <c r="R854" s="4">
        <v>2</v>
      </c>
      <c r="S854" s="4">
        <v>4469</v>
      </c>
      <c r="T854" s="8" t="s">
        <v>38</v>
      </c>
      <c r="U854" t="str">
        <f>IF(OR(E854&lt;'Q1'!$E$13,E854&gt;'Q1'!$E$14),"Outliers","Not an Outliers")</f>
        <v>Not an Outliers</v>
      </c>
      <c r="V854" t="str">
        <f t="shared" si="13"/>
        <v>Weekend</v>
      </c>
    </row>
    <row r="855" spans="1:22" x14ac:dyDescent="0.3">
      <c r="A855" s="24">
        <v>45620</v>
      </c>
      <c r="B855" s="9" t="s">
        <v>31</v>
      </c>
      <c r="C855" s="9" t="s">
        <v>60</v>
      </c>
      <c r="D855" s="9" t="s">
        <v>61</v>
      </c>
      <c r="E855" s="5">
        <v>1000</v>
      </c>
      <c r="F855" s="5" t="b">
        <v>0</v>
      </c>
      <c r="G855" s="9" t="s">
        <v>23</v>
      </c>
      <c r="H855" s="9" t="s">
        <v>70</v>
      </c>
      <c r="I855" s="9" t="s">
        <v>59</v>
      </c>
      <c r="J855" s="9" t="s">
        <v>43</v>
      </c>
      <c r="K855" s="5">
        <v>3</v>
      </c>
      <c r="L855" s="9" t="s">
        <v>27</v>
      </c>
      <c r="M855" s="9" t="s">
        <v>28</v>
      </c>
      <c r="N855" s="5" t="b">
        <v>1</v>
      </c>
      <c r="O855" s="5">
        <v>54</v>
      </c>
      <c r="P855" s="9" t="s">
        <v>67</v>
      </c>
      <c r="Q855" s="5">
        <v>4</v>
      </c>
      <c r="R855" s="5">
        <v>1</v>
      </c>
      <c r="S855" s="5">
        <v>1855</v>
      </c>
      <c r="T855" s="10" t="s">
        <v>30</v>
      </c>
      <c r="U855" t="str">
        <f>IF(OR(E855&lt;'Q1'!$E$13,E855&gt;'Q1'!$E$14),"Outliers","Not an Outliers")</f>
        <v>Not an Outliers</v>
      </c>
      <c r="V855" t="str">
        <f t="shared" si="13"/>
        <v>Weekend</v>
      </c>
    </row>
    <row r="856" spans="1:22" x14ac:dyDescent="0.3">
      <c r="A856" s="23">
        <v>45620</v>
      </c>
      <c r="B856" s="7" t="s">
        <v>52</v>
      </c>
      <c r="C856" s="7" t="s">
        <v>32</v>
      </c>
      <c r="D856" s="7" t="s">
        <v>57</v>
      </c>
      <c r="E856" s="4">
        <v>1000</v>
      </c>
      <c r="F856" s="4" t="b">
        <v>0</v>
      </c>
      <c r="G856" s="7" t="s">
        <v>23</v>
      </c>
      <c r="H856" s="7" t="s">
        <v>41</v>
      </c>
      <c r="I856" s="7" t="s">
        <v>25</v>
      </c>
      <c r="J856" s="7" t="s">
        <v>26</v>
      </c>
      <c r="K856" s="4">
        <v>5</v>
      </c>
      <c r="L856" s="7" t="s">
        <v>36</v>
      </c>
      <c r="M856" s="7" t="s">
        <v>28</v>
      </c>
      <c r="N856" s="4" t="b">
        <v>1</v>
      </c>
      <c r="O856" s="4">
        <v>20</v>
      </c>
      <c r="P856" s="7" t="s">
        <v>67</v>
      </c>
      <c r="Q856" s="4">
        <v>9</v>
      </c>
      <c r="R856" s="4">
        <v>2</v>
      </c>
      <c r="S856" s="4">
        <v>1856</v>
      </c>
      <c r="T856" s="8" t="s">
        <v>30</v>
      </c>
      <c r="U856" t="str">
        <f>IF(OR(E856&lt;'Q1'!$E$13,E856&gt;'Q1'!$E$14),"Outliers","Not an Outliers")</f>
        <v>Not an Outliers</v>
      </c>
      <c r="V856" t="str">
        <f t="shared" si="13"/>
        <v>Weekend</v>
      </c>
    </row>
    <row r="857" spans="1:22" x14ac:dyDescent="0.3">
      <c r="A857" s="24">
        <v>45620</v>
      </c>
      <c r="B857" s="9" t="s">
        <v>52</v>
      </c>
      <c r="C857" s="9" t="s">
        <v>60</v>
      </c>
      <c r="D857" s="9" t="s">
        <v>61</v>
      </c>
      <c r="E857" s="5">
        <v>1000</v>
      </c>
      <c r="F857" s="5" t="b">
        <v>0</v>
      </c>
      <c r="G857" s="9" t="s">
        <v>34</v>
      </c>
      <c r="H857" s="9" t="s">
        <v>41</v>
      </c>
      <c r="I857" s="9" t="s">
        <v>42</v>
      </c>
      <c r="J857" s="9" t="s">
        <v>48</v>
      </c>
      <c r="K857" s="5">
        <v>2</v>
      </c>
      <c r="L857" s="9" t="s">
        <v>36</v>
      </c>
      <c r="M857" s="9" t="s">
        <v>73</v>
      </c>
      <c r="N857" s="5" t="b">
        <v>0</v>
      </c>
      <c r="O857" s="5">
        <v>52</v>
      </c>
      <c r="P857" s="9" t="s">
        <v>67</v>
      </c>
      <c r="Q857" s="5">
        <v>6</v>
      </c>
      <c r="R857" s="5">
        <v>1</v>
      </c>
      <c r="S857" s="5">
        <v>1152</v>
      </c>
      <c r="T857" s="10" t="s">
        <v>51</v>
      </c>
      <c r="U857" t="str">
        <f>IF(OR(E857&lt;'Q1'!$E$13,E857&gt;'Q1'!$E$14),"Outliers","Not an Outliers")</f>
        <v>Not an Outliers</v>
      </c>
      <c r="V857" t="str">
        <f t="shared" si="13"/>
        <v>Weekend</v>
      </c>
    </row>
    <row r="858" spans="1:22" x14ac:dyDescent="0.3">
      <c r="A858" s="23">
        <v>45620</v>
      </c>
      <c r="B858" s="7" t="s">
        <v>31</v>
      </c>
      <c r="C858" s="7" t="s">
        <v>60</v>
      </c>
      <c r="D858" s="7" t="s">
        <v>22</v>
      </c>
      <c r="E858" s="4">
        <v>8096</v>
      </c>
      <c r="F858" s="4" t="b">
        <v>0</v>
      </c>
      <c r="G858" s="7" t="s">
        <v>64</v>
      </c>
      <c r="H858" s="7" t="s">
        <v>24</v>
      </c>
      <c r="I858" s="7" t="s">
        <v>59</v>
      </c>
      <c r="J858" s="7" t="s">
        <v>54</v>
      </c>
      <c r="K858" s="4">
        <v>2</v>
      </c>
      <c r="L858" s="7" t="s">
        <v>49</v>
      </c>
      <c r="M858" s="7" t="s">
        <v>66</v>
      </c>
      <c r="N858" s="4" t="b">
        <v>1</v>
      </c>
      <c r="O858" s="4">
        <v>77</v>
      </c>
      <c r="P858" s="7" t="s">
        <v>29</v>
      </c>
      <c r="Q858" s="4">
        <v>8</v>
      </c>
      <c r="R858" s="4">
        <v>3</v>
      </c>
      <c r="S858" s="4">
        <v>879</v>
      </c>
      <c r="T858" s="8" t="s">
        <v>38</v>
      </c>
      <c r="U858" t="str">
        <f>IF(OR(E858&lt;'Q1'!$E$13,E858&gt;'Q1'!$E$14),"Outliers","Not an Outliers")</f>
        <v>Not an Outliers</v>
      </c>
      <c r="V858" t="str">
        <f t="shared" si="13"/>
        <v>Weekend</v>
      </c>
    </row>
    <row r="859" spans="1:22" x14ac:dyDescent="0.3">
      <c r="A859" s="24">
        <v>45621</v>
      </c>
      <c r="B859" s="9" t="s">
        <v>20</v>
      </c>
      <c r="C859" s="9" t="s">
        <v>32</v>
      </c>
      <c r="D859" s="9" t="s">
        <v>53</v>
      </c>
      <c r="E859" s="5">
        <v>3362</v>
      </c>
      <c r="F859" s="5" t="b">
        <v>0</v>
      </c>
      <c r="G859" s="9" t="s">
        <v>34</v>
      </c>
      <c r="H859" s="9" t="s">
        <v>24</v>
      </c>
      <c r="I859" s="9" t="s">
        <v>47</v>
      </c>
      <c r="J859" s="9" t="s">
        <v>43</v>
      </c>
      <c r="K859" s="5">
        <v>4</v>
      </c>
      <c r="L859" s="9" t="s">
        <v>36</v>
      </c>
      <c r="M859" s="9" t="s">
        <v>58</v>
      </c>
      <c r="N859" s="5" t="b">
        <v>0</v>
      </c>
      <c r="O859" s="5">
        <v>119</v>
      </c>
      <c r="P859" s="9" t="s">
        <v>63</v>
      </c>
      <c r="Q859" s="5">
        <v>3</v>
      </c>
      <c r="R859" s="5">
        <v>3</v>
      </c>
      <c r="S859" s="5">
        <v>4043</v>
      </c>
      <c r="T859" s="10" t="s">
        <v>30</v>
      </c>
      <c r="U859" t="str">
        <f>IF(OR(E859&lt;'Q1'!$E$13,E859&gt;'Q1'!$E$14),"Outliers","Not an Outliers")</f>
        <v>Not an Outliers</v>
      </c>
      <c r="V859" t="str">
        <f t="shared" si="13"/>
        <v>Weekday</v>
      </c>
    </row>
    <row r="860" spans="1:22" x14ac:dyDescent="0.3">
      <c r="A860" s="23">
        <v>45621</v>
      </c>
      <c r="B860" s="7" t="s">
        <v>20</v>
      </c>
      <c r="C860" s="7" t="s">
        <v>21</v>
      </c>
      <c r="D860" s="7" t="s">
        <v>53</v>
      </c>
      <c r="E860" s="4">
        <v>6423</v>
      </c>
      <c r="F860" s="4" t="b">
        <v>0</v>
      </c>
      <c r="G860" s="7" t="s">
        <v>34</v>
      </c>
      <c r="H860" s="7" t="s">
        <v>41</v>
      </c>
      <c r="I860" s="7" t="s">
        <v>47</v>
      </c>
      <c r="J860" s="7" t="s">
        <v>26</v>
      </c>
      <c r="K860" s="4">
        <v>5</v>
      </c>
      <c r="L860" s="7" t="s">
        <v>27</v>
      </c>
      <c r="M860" s="7" t="s">
        <v>66</v>
      </c>
      <c r="N860" s="4" t="b">
        <v>0</v>
      </c>
      <c r="O860" s="4">
        <v>40</v>
      </c>
      <c r="P860" s="7" t="s">
        <v>50</v>
      </c>
      <c r="Q860" s="4">
        <v>10</v>
      </c>
      <c r="R860" s="4">
        <v>2</v>
      </c>
      <c r="S860" s="4">
        <v>4407</v>
      </c>
      <c r="T860" s="8" t="s">
        <v>38</v>
      </c>
      <c r="U860" t="str">
        <f>IF(OR(E860&lt;'Q1'!$E$13,E860&gt;'Q1'!$E$14),"Outliers","Not an Outliers")</f>
        <v>Not an Outliers</v>
      </c>
      <c r="V860" t="str">
        <f t="shared" si="13"/>
        <v>Weekday</v>
      </c>
    </row>
    <row r="861" spans="1:22" x14ac:dyDescent="0.3">
      <c r="A861" s="24">
        <v>45621</v>
      </c>
      <c r="B861" s="9" t="s">
        <v>75</v>
      </c>
      <c r="C861" s="9" t="s">
        <v>45</v>
      </c>
      <c r="D861" s="9" t="s">
        <v>33</v>
      </c>
      <c r="E861" s="5">
        <v>3624</v>
      </c>
      <c r="F861" s="5" t="b">
        <v>1</v>
      </c>
      <c r="G861" s="9" t="s">
        <v>34</v>
      </c>
      <c r="H861" s="9" t="s">
        <v>24</v>
      </c>
      <c r="I861" s="9" t="s">
        <v>59</v>
      </c>
      <c r="J861" s="9" t="s">
        <v>48</v>
      </c>
      <c r="K861" s="5">
        <v>5</v>
      </c>
      <c r="L861" s="9" t="s">
        <v>27</v>
      </c>
      <c r="M861" s="9" t="s">
        <v>58</v>
      </c>
      <c r="N861" s="5" t="b">
        <v>1</v>
      </c>
      <c r="O861" s="5">
        <v>57</v>
      </c>
      <c r="P861" s="9" t="s">
        <v>63</v>
      </c>
      <c r="Q861" s="5">
        <v>8</v>
      </c>
      <c r="R861" s="5">
        <v>1</v>
      </c>
      <c r="S861" s="5">
        <v>3802</v>
      </c>
      <c r="T861" s="10" t="s">
        <v>30</v>
      </c>
      <c r="U861" t="str">
        <f>IF(OR(E861&lt;'Q1'!$E$13,E861&gt;'Q1'!$E$14),"Outliers","Not an Outliers")</f>
        <v>Not an Outliers</v>
      </c>
      <c r="V861" t="str">
        <f t="shared" si="13"/>
        <v>Weekday</v>
      </c>
    </row>
    <row r="862" spans="1:22" x14ac:dyDescent="0.3">
      <c r="A862" s="23">
        <v>45621</v>
      </c>
      <c r="B862" s="7" t="s">
        <v>39</v>
      </c>
      <c r="C862" s="7" t="s">
        <v>45</v>
      </c>
      <c r="D862" s="7" t="s">
        <v>46</v>
      </c>
      <c r="E862" s="4">
        <v>1962</v>
      </c>
      <c r="F862" s="4" t="b">
        <v>1</v>
      </c>
      <c r="G862" s="7" t="s">
        <v>23</v>
      </c>
      <c r="H862" s="7" t="s">
        <v>41</v>
      </c>
      <c r="I862" s="7" t="s">
        <v>59</v>
      </c>
      <c r="J862" s="7" t="s">
        <v>43</v>
      </c>
      <c r="K862" s="4">
        <v>3</v>
      </c>
      <c r="L862" s="7" t="s">
        <v>49</v>
      </c>
      <c r="M862" s="7" t="s">
        <v>28</v>
      </c>
      <c r="N862" s="4" t="b">
        <v>1</v>
      </c>
      <c r="O862" s="4">
        <v>77</v>
      </c>
      <c r="P862" s="7" t="s">
        <v>29</v>
      </c>
      <c r="Q862" s="4">
        <v>8</v>
      </c>
      <c r="R862" s="4">
        <v>1</v>
      </c>
      <c r="S862" s="4">
        <v>1825</v>
      </c>
      <c r="T862" s="8" t="s">
        <v>30</v>
      </c>
      <c r="U862" t="str">
        <f>IF(OR(E862&lt;'Q1'!$E$13,E862&gt;'Q1'!$E$14),"Outliers","Not an Outliers")</f>
        <v>Not an Outliers</v>
      </c>
      <c r="V862" t="str">
        <f t="shared" si="13"/>
        <v>Weekday</v>
      </c>
    </row>
    <row r="863" spans="1:22" x14ac:dyDescent="0.3">
      <c r="A863" s="24">
        <v>45623</v>
      </c>
      <c r="B863" s="9" t="s">
        <v>62</v>
      </c>
      <c r="C863" s="9" t="s">
        <v>56</v>
      </c>
      <c r="D863" s="9" t="s">
        <v>33</v>
      </c>
      <c r="E863" s="5">
        <v>2202</v>
      </c>
      <c r="F863" s="5" t="b">
        <v>0</v>
      </c>
      <c r="G863" s="9" t="s">
        <v>64</v>
      </c>
      <c r="H863" s="9" t="s">
        <v>24</v>
      </c>
      <c r="I863" s="9" t="s">
        <v>25</v>
      </c>
      <c r="J863" s="9" t="s">
        <v>54</v>
      </c>
      <c r="K863" s="5">
        <v>5</v>
      </c>
      <c r="L863" s="9" t="s">
        <v>27</v>
      </c>
      <c r="M863" s="9" t="s">
        <v>28</v>
      </c>
      <c r="N863" s="5" t="b">
        <v>1</v>
      </c>
      <c r="O863" s="5">
        <v>26</v>
      </c>
      <c r="P863" s="9" t="s">
        <v>63</v>
      </c>
      <c r="Q863" s="5">
        <v>6</v>
      </c>
      <c r="R863" s="5">
        <v>2</v>
      </c>
      <c r="S863" s="5">
        <v>2456</v>
      </c>
      <c r="T863" s="10" t="s">
        <v>38</v>
      </c>
      <c r="U863" t="str">
        <f>IF(OR(E863&lt;'Q1'!$E$13,E863&gt;'Q1'!$E$14),"Outliers","Not an Outliers")</f>
        <v>Not an Outliers</v>
      </c>
      <c r="V863" t="str">
        <f t="shared" si="13"/>
        <v>Weekday</v>
      </c>
    </row>
    <row r="864" spans="1:22" x14ac:dyDescent="0.3">
      <c r="A864" s="23">
        <v>45623</v>
      </c>
      <c r="B864" s="7" t="s">
        <v>20</v>
      </c>
      <c r="C864" s="7" t="s">
        <v>60</v>
      </c>
      <c r="D864" s="7" t="s">
        <v>22</v>
      </c>
      <c r="E864" s="4">
        <v>8717</v>
      </c>
      <c r="F864" s="4" t="b">
        <v>0</v>
      </c>
      <c r="G864" s="7" t="s">
        <v>40</v>
      </c>
      <c r="H864" s="7" t="s">
        <v>70</v>
      </c>
      <c r="I864" s="7" t="s">
        <v>25</v>
      </c>
      <c r="J864" s="7" t="s">
        <v>43</v>
      </c>
      <c r="K864" s="4">
        <v>4</v>
      </c>
      <c r="L864" s="7" t="s">
        <v>36</v>
      </c>
      <c r="M864" s="7" t="s">
        <v>73</v>
      </c>
      <c r="N864" s="4" t="b">
        <v>1</v>
      </c>
      <c r="O864" s="4">
        <v>3</v>
      </c>
      <c r="P864" s="7" t="s">
        <v>67</v>
      </c>
      <c r="Q864" s="4">
        <v>3</v>
      </c>
      <c r="R864" s="4">
        <v>2</v>
      </c>
      <c r="S864" s="4">
        <v>1803</v>
      </c>
      <c r="T864" s="8" t="s">
        <v>30</v>
      </c>
      <c r="U864" t="str">
        <f>IF(OR(E864&lt;'Q1'!$E$13,E864&gt;'Q1'!$E$14),"Outliers","Not an Outliers")</f>
        <v>Not an Outliers</v>
      </c>
      <c r="V864" t="str">
        <f t="shared" si="13"/>
        <v>Weekday</v>
      </c>
    </row>
    <row r="865" spans="1:22" x14ac:dyDescent="0.3">
      <c r="A865" s="24">
        <v>45624</v>
      </c>
      <c r="B865" s="9" t="s">
        <v>75</v>
      </c>
      <c r="C865" s="9" t="s">
        <v>32</v>
      </c>
      <c r="D865" s="9" t="s">
        <v>57</v>
      </c>
      <c r="E865" s="5">
        <v>1000</v>
      </c>
      <c r="F865" s="5" t="b">
        <v>0</v>
      </c>
      <c r="G865" s="9" t="s">
        <v>40</v>
      </c>
      <c r="H865" s="9" t="s">
        <v>70</v>
      </c>
      <c r="I865" s="9" t="s">
        <v>25</v>
      </c>
      <c r="J865" s="9" t="s">
        <v>26</v>
      </c>
      <c r="K865" s="5">
        <v>4</v>
      </c>
      <c r="L865" s="9" t="s">
        <v>27</v>
      </c>
      <c r="M865" s="9" t="s">
        <v>66</v>
      </c>
      <c r="N865" s="5" t="b">
        <v>1</v>
      </c>
      <c r="O865" s="5">
        <v>71</v>
      </c>
      <c r="P865" s="9" t="s">
        <v>29</v>
      </c>
      <c r="Q865" s="5">
        <v>9</v>
      </c>
      <c r="R865" s="5">
        <v>3</v>
      </c>
      <c r="S865" s="5">
        <v>2025</v>
      </c>
      <c r="T865" s="10" t="s">
        <v>38</v>
      </c>
      <c r="U865" t="str">
        <f>IF(OR(E865&lt;'Q1'!$E$13,E865&gt;'Q1'!$E$14),"Outliers","Not an Outliers")</f>
        <v>Not an Outliers</v>
      </c>
      <c r="V865" t="str">
        <f t="shared" si="13"/>
        <v>Weekday</v>
      </c>
    </row>
    <row r="866" spans="1:22" x14ac:dyDescent="0.3">
      <c r="A866" s="23">
        <v>45624</v>
      </c>
      <c r="B866" s="7" t="s">
        <v>75</v>
      </c>
      <c r="C866" s="7" t="s">
        <v>21</v>
      </c>
      <c r="D866" s="7" t="s">
        <v>33</v>
      </c>
      <c r="E866" s="4">
        <v>3077</v>
      </c>
      <c r="F866" s="4" t="b">
        <v>1</v>
      </c>
      <c r="G866" s="7" t="s">
        <v>23</v>
      </c>
      <c r="H866" s="7" t="s">
        <v>41</v>
      </c>
      <c r="I866" s="7" t="s">
        <v>47</v>
      </c>
      <c r="J866" s="7" t="s">
        <v>26</v>
      </c>
      <c r="K866" s="4">
        <v>1</v>
      </c>
      <c r="L866" s="7" t="s">
        <v>49</v>
      </c>
      <c r="M866" s="7" t="s">
        <v>73</v>
      </c>
      <c r="N866" s="4" t="b">
        <v>1</v>
      </c>
      <c r="O866" s="4">
        <v>105</v>
      </c>
      <c r="P866" s="7" t="s">
        <v>50</v>
      </c>
      <c r="Q866" s="4">
        <v>3</v>
      </c>
      <c r="R866" s="4">
        <v>2</v>
      </c>
      <c r="S866" s="4">
        <v>3961</v>
      </c>
      <c r="T866" s="8" t="s">
        <v>30</v>
      </c>
      <c r="U866" t="str">
        <f>IF(OR(E866&lt;'Q1'!$E$13,E866&gt;'Q1'!$E$14),"Outliers","Not an Outliers")</f>
        <v>Not an Outliers</v>
      </c>
      <c r="V866" t="str">
        <f t="shared" si="13"/>
        <v>Weekday</v>
      </c>
    </row>
    <row r="867" spans="1:22" x14ac:dyDescent="0.3">
      <c r="A867" s="24">
        <v>45627</v>
      </c>
      <c r="B867" s="9" t="s">
        <v>74</v>
      </c>
      <c r="C867" s="9" t="s">
        <v>60</v>
      </c>
      <c r="D867" s="9" t="s">
        <v>46</v>
      </c>
      <c r="E867" s="5">
        <v>1111</v>
      </c>
      <c r="F867" s="5" t="b">
        <v>1</v>
      </c>
      <c r="G867" s="9" t="s">
        <v>34</v>
      </c>
      <c r="H867" s="9" t="s">
        <v>70</v>
      </c>
      <c r="I867" s="9" t="s">
        <v>42</v>
      </c>
      <c r="J867" s="9" t="s">
        <v>48</v>
      </c>
      <c r="K867" s="5">
        <v>0</v>
      </c>
      <c r="L867" s="9" t="s">
        <v>49</v>
      </c>
      <c r="M867" s="9" t="s">
        <v>73</v>
      </c>
      <c r="N867" s="5" t="b">
        <v>0</v>
      </c>
      <c r="O867" s="5">
        <v>10</v>
      </c>
      <c r="P867" s="9" t="s">
        <v>50</v>
      </c>
      <c r="Q867" s="5">
        <v>1</v>
      </c>
      <c r="R867" s="5">
        <v>1</v>
      </c>
      <c r="S867" s="5">
        <v>1384</v>
      </c>
      <c r="T867" s="10" t="s">
        <v>38</v>
      </c>
      <c r="U867" t="str">
        <f>IF(OR(E867&lt;'Q1'!$E$13,E867&gt;'Q1'!$E$14),"Outliers","Not an Outliers")</f>
        <v>Not an Outliers</v>
      </c>
      <c r="V867" t="str">
        <f t="shared" si="13"/>
        <v>Weekend</v>
      </c>
    </row>
    <row r="868" spans="1:22" x14ac:dyDescent="0.3">
      <c r="A868" s="23">
        <v>45627</v>
      </c>
      <c r="B868" s="7" t="s">
        <v>20</v>
      </c>
      <c r="C868" s="7" t="s">
        <v>60</v>
      </c>
      <c r="D868" s="7" t="s">
        <v>61</v>
      </c>
      <c r="E868" s="4">
        <v>1000</v>
      </c>
      <c r="F868" s="4" t="b">
        <v>0</v>
      </c>
      <c r="G868" s="7" t="s">
        <v>34</v>
      </c>
      <c r="H868" s="7" t="s">
        <v>41</v>
      </c>
      <c r="I868" s="7" t="s">
        <v>25</v>
      </c>
      <c r="J868" s="7" t="s">
        <v>43</v>
      </c>
      <c r="K868" s="4">
        <v>1</v>
      </c>
      <c r="L868" s="7" t="s">
        <v>36</v>
      </c>
      <c r="M868" s="7" t="s">
        <v>58</v>
      </c>
      <c r="N868" s="4" t="b">
        <v>1</v>
      </c>
      <c r="O868" s="4">
        <v>106</v>
      </c>
      <c r="P868" s="7" t="s">
        <v>29</v>
      </c>
      <c r="Q868" s="4">
        <v>7</v>
      </c>
      <c r="R868" s="4">
        <v>2</v>
      </c>
      <c r="S868" s="4">
        <v>4496</v>
      </c>
      <c r="T868" s="8" t="s">
        <v>38</v>
      </c>
      <c r="U868" t="str">
        <f>IF(OR(E868&lt;'Q1'!$E$13,E868&gt;'Q1'!$E$14),"Outliers","Not an Outliers")</f>
        <v>Not an Outliers</v>
      </c>
      <c r="V868" t="str">
        <f t="shared" si="13"/>
        <v>Weekend</v>
      </c>
    </row>
    <row r="869" spans="1:22" x14ac:dyDescent="0.3">
      <c r="A869" s="24">
        <v>45627</v>
      </c>
      <c r="B869" s="9" t="s">
        <v>31</v>
      </c>
      <c r="C869" s="9" t="s">
        <v>45</v>
      </c>
      <c r="D869" s="9" t="s">
        <v>57</v>
      </c>
      <c r="E869" s="5">
        <v>1000</v>
      </c>
      <c r="F869" s="5" t="b">
        <v>1</v>
      </c>
      <c r="G869" s="9" t="s">
        <v>23</v>
      </c>
      <c r="H869" s="9" t="s">
        <v>41</v>
      </c>
      <c r="I869" s="9" t="s">
        <v>42</v>
      </c>
      <c r="J869" s="9" t="s">
        <v>48</v>
      </c>
      <c r="K869" s="5">
        <v>3</v>
      </c>
      <c r="L869" s="9" t="s">
        <v>27</v>
      </c>
      <c r="M869" s="9" t="s">
        <v>58</v>
      </c>
      <c r="N869" s="5" t="b">
        <v>1</v>
      </c>
      <c r="O869" s="5">
        <v>36</v>
      </c>
      <c r="P869" s="9" t="s">
        <v>63</v>
      </c>
      <c r="Q869" s="5">
        <v>6</v>
      </c>
      <c r="R869" s="5">
        <v>1</v>
      </c>
      <c r="S869" s="5">
        <v>579</v>
      </c>
      <c r="T869" s="10" t="s">
        <v>38</v>
      </c>
      <c r="U869" t="str">
        <f>IF(OR(E869&lt;'Q1'!$E$13,E869&gt;'Q1'!$E$14),"Outliers","Not an Outliers")</f>
        <v>Not an Outliers</v>
      </c>
      <c r="V869" t="str">
        <f t="shared" si="13"/>
        <v>Weekend</v>
      </c>
    </row>
    <row r="870" spans="1:22" x14ac:dyDescent="0.3">
      <c r="A870" s="23">
        <v>45627</v>
      </c>
      <c r="B870" s="7" t="s">
        <v>52</v>
      </c>
      <c r="C870" s="7" t="s">
        <v>32</v>
      </c>
      <c r="D870" s="7" t="s">
        <v>53</v>
      </c>
      <c r="E870" s="4">
        <v>2592</v>
      </c>
      <c r="F870" s="4" t="b">
        <v>0</v>
      </c>
      <c r="G870" s="7" t="s">
        <v>65</v>
      </c>
      <c r="H870" s="7" t="s">
        <v>41</v>
      </c>
      <c r="I870" s="7" t="s">
        <v>59</v>
      </c>
      <c r="J870" s="7" t="s">
        <v>48</v>
      </c>
      <c r="K870" s="4">
        <v>1</v>
      </c>
      <c r="L870" s="7" t="s">
        <v>49</v>
      </c>
      <c r="M870" s="7" t="s">
        <v>73</v>
      </c>
      <c r="N870" s="4" t="b">
        <v>0</v>
      </c>
      <c r="O870" s="4">
        <v>59</v>
      </c>
      <c r="P870" s="7" t="s">
        <v>50</v>
      </c>
      <c r="Q870" s="4">
        <v>8</v>
      </c>
      <c r="R870" s="4">
        <v>3</v>
      </c>
      <c r="S870" s="4">
        <v>2059</v>
      </c>
      <c r="T870" s="8" t="s">
        <v>38</v>
      </c>
      <c r="U870" t="str">
        <f>IF(OR(E870&lt;'Q1'!$E$13,E870&gt;'Q1'!$E$14),"Outliers","Not an Outliers")</f>
        <v>Not an Outliers</v>
      </c>
      <c r="V870" t="str">
        <f t="shared" si="13"/>
        <v>Weekend</v>
      </c>
    </row>
    <row r="871" spans="1:22" x14ac:dyDescent="0.3">
      <c r="A871" s="24">
        <v>45627</v>
      </c>
      <c r="B871" s="9" t="s">
        <v>44</v>
      </c>
      <c r="C871" s="9" t="s">
        <v>21</v>
      </c>
      <c r="D871" s="9" t="s">
        <v>57</v>
      </c>
      <c r="E871" s="5">
        <v>1000</v>
      </c>
      <c r="F871" s="5" t="b">
        <v>0</v>
      </c>
      <c r="G871" s="9" t="s">
        <v>64</v>
      </c>
      <c r="H871" s="9" t="s">
        <v>35</v>
      </c>
      <c r="I871" s="9" t="s">
        <v>47</v>
      </c>
      <c r="J871" s="9" t="s">
        <v>43</v>
      </c>
      <c r="K871" s="5">
        <v>4</v>
      </c>
      <c r="L871" s="9" t="s">
        <v>36</v>
      </c>
      <c r="M871" s="9" t="s">
        <v>28</v>
      </c>
      <c r="N871" s="5" t="b">
        <v>0</v>
      </c>
      <c r="O871" s="5">
        <v>96</v>
      </c>
      <c r="P871" s="9" t="s">
        <v>63</v>
      </c>
      <c r="Q871" s="5">
        <v>4</v>
      </c>
      <c r="R871" s="5">
        <v>3</v>
      </c>
      <c r="S871" s="5">
        <v>1261</v>
      </c>
      <c r="T871" s="10" t="s">
        <v>51</v>
      </c>
      <c r="U871" t="str">
        <f>IF(OR(E871&lt;'Q1'!$E$13,E871&gt;'Q1'!$E$14),"Outliers","Not an Outliers")</f>
        <v>Not an Outliers</v>
      </c>
      <c r="V871" t="str">
        <f t="shared" si="13"/>
        <v>Weekend</v>
      </c>
    </row>
    <row r="872" spans="1:22" x14ac:dyDescent="0.3">
      <c r="A872" s="23">
        <v>45627</v>
      </c>
      <c r="B872" s="7" t="s">
        <v>68</v>
      </c>
      <c r="C872" s="7" t="s">
        <v>56</v>
      </c>
      <c r="D872" s="7" t="s">
        <v>57</v>
      </c>
      <c r="E872" s="4">
        <v>1000</v>
      </c>
      <c r="F872" s="4" t="b">
        <v>0</v>
      </c>
      <c r="G872" s="7" t="s">
        <v>65</v>
      </c>
      <c r="H872" s="7" t="s">
        <v>70</v>
      </c>
      <c r="I872" s="7" t="s">
        <v>59</v>
      </c>
      <c r="J872" s="7" t="s">
        <v>26</v>
      </c>
      <c r="K872" s="4">
        <v>1</v>
      </c>
      <c r="L872" s="7" t="s">
        <v>36</v>
      </c>
      <c r="M872" s="7" t="s">
        <v>66</v>
      </c>
      <c r="N872" s="4" t="b">
        <v>1</v>
      </c>
      <c r="O872" s="4">
        <v>39</v>
      </c>
      <c r="P872" s="7" t="s">
        <v>50</v>
      </c>
      <c r="Q872" s="4">
        <v>2</v>
      </c>
      <c r="R872" s="4">
        <v>3</v>
      </c>
      <c r="S872" s="4">
        <v>1441</v>
      </c>
      <c r="T872" s="8" t="s">
        <v>30</v>
      </c>
      <c r="U872" t="str">
        <f>IF(OR(E872&lt;'Q1'!$E$13,E872&gt;'Q1'!$E$14),"Outliers","Not an Outliers")</f>
        <v>Not an Outliers</v>
      </c>
      <c r="V872" t="str">
        <f t="shared" si="13"/>
        <v>Weekend</v>
      </c>
    </row>
    <row r="873" spans="1:22" x14ac:dyDescent="0.3">
      <c r="A873" s="24">
        <v>45628</v>
      </c>
      <c r="B873" s="9" t="s">
        <v>77</v>
      </c>
      <c r="C873" s="9" t="s">
        <v>56</v>
      </c>
      <c r="D873" s="9" t="s">
        <v>57</v>
      </c>
      <c r="E873" s="5">
        <v>1000</v>
      </c>
      <c r="F873" s="5" t="b">
        <v>1</v>
      </c>
      <c r="G873" s="9" t="s">
        <v>23</v>
      </c>
      <c r="H873" s="9" t="s">
        <v>41</v>
      </c>
      <c r="I873" s="9" t="s">
        <v>42</v>
      </c>
      <c r="J873" s="9" t="s">
        <v>48</v>
      </c>
      <c r="K873" s="5">
        <v>2</v>
      </c>
      <c r="L873" s="9" t="s">
        <v>36</v>
      </c>
      <c r="M873" s="9" t="s">
        <v>66</v>
      </c>
      <c r="N873" s="5" t="b">
        <v>1</v>
      </c>
      <c r="O873" s="5">
        <v>44</v>
      </c>
      <c r="P873" s="9" t="s">
        <v>67</v>
      </c>
      <c r="Q873" s="5">
        <v>3</v>
      </c>
      <c r="R873" s="5">
        <v>2</v>
      </c>
      <c r="S873" s="5">
        <v>3250</v>
      </c>
      <c r="T873" s="10" t="s">
        <v>38</v>
      </c>
      <c r="U873" t="str">
        <f>IF(OR(E873&lt;'Q1'!$E$13,E873&gt;'Q1'!$E$14),"Outliers","Not an Outliers")</f>
        <v>Not an Outliers</v>
      </c>
      <c r="V873" t="str">
        <f t="shared" si="13"/>
        <v>Weekday</v>
      </c>
    </row>
    <row r="874" spans="1:22" x14ac:dyDescent="0.3">
      <c r="A874" s="23">
        <v>45628</v>
      </c>
      <c r="B874" s="7" t="s">
        <v>76</v>
      </c>
      <c r="C874" s="7" t="s">
        <v>21</v>
      </c>
      <c r="D874" s="7" t="s">
        <v>46</v>
      </c>
      <c r="E874" s="4">
        <v>3365</v>
      </c>
      <c r="F874" s="4" t="b">
        <v>1</v>
      </c>
      <c r="G874" s="7" t="s">
        <v>34</v>
      </c>
      <c r="H874" s="7" t="s">
        <v>41</v>
      </c>
      <c r="I874" s="7" t="s">
        <v>47</v>
      </c>
      <c r="J874" s="7" t="s">
        <v>48</v>
      </c>
      <c r="K874" s="4">
        <v>4</v>
      </c>
      <c r="L874" s="7" t="s">
        <v>36</v>
      </c>
      <c r="M874" s="7" t="s">
        <v>28</v>
      </c>
      <c r="N874" s="4" t="b">
        <v>1</v>
      </c>
      <c r="O874" s="4">
        <v>66</v>
      </c>
      <c r="P874" s="7" t="s">
        <v>67</v>
      </c>
      <c r="Q874" s="4">
        <v>4</v>
      </c>
      <c r="R874" s="4">
        <v>2</v>
      </c>
      <c r="S874" s="4">
        <v>2088</v>
      </c>
      <c r="T874" s="8" t="s">
        <v>38</v>
      </c>
      <c r="U874" t="str">
        <f>IF(OR(E874&lt;'Q1'!$E$13,E874&gt;'Q1'!$E$14),"Outliers","Not an Outliers")</f>
        <v>Not an Outliers</v>
      </c>
      <c r="V874" t="str">
        <f t="shared" si="13"/>
        <v>Weekday</v>
      </c>
    </row>
    <row r="875" spans="1:22" x14ac:dyDescent="0.3">
      <c r="A875" s="24">
        <v>45629</v>
      </c>
      <c r="B875" s="9" t="s">
        <v>62</v>
      </c>
      <c r="C875" s="9" t="s">
        <v>60</v>
      </c>
      <c r="D875" s="9" t="s">
        <v>53</v>
      </c>
      <c r="E875" s="5">
        <v>2138</v>
      </c>
      <c r="F875" s="5" t="b">
        <v>1</v>
      </c>
      <c r="G875" s="9" t="s">
        <v>65</v>
      </c>
      <c r="H875" s="9" t="s">
        <v>24</v>
      </c>
      <c r="I875" s="9" t="s">
        <v>42</v>
      </c>
      <c r="J875" s="9" t="s">
        <v>43</v>
      </c>
      <c r="K875" s="5">
        <v>3</v>
      </c>
      <c r="L875" s="9" t="s">
        <v>36</v>
      </c>
      <c r="M875" s="9" t="s">
        <v>58</v>
      </c>
      <c r="N875" s="5" t="b">
        <v>1</v>
      </c>
      <c r="O875" s="5">
        <v>98</v>
      </c>
      <c r="P875" s="9" t="s">
        <v>37</v>
      </c>
      <c r="Q875" s="5">
        <v>3</v>
      </c>
      <c r="R875" s="5">
        <v>1</v>
      </c>
      <c r="S875" s="5">
        <v>4493</v>
      </c>
      <c r="T875" s="10" t="s">
        <v>51</v>
      </c>
      <c r="U875" t="str">
        <f>IF(OR(E875&lt;'Q1'!$E$13,E875&gt;'Q1'!$E$14),"Outliers","Not an Outliers")</f>
        <v>Not an Outliers</v>
      </c>
      <c r="V875" t="str">
        <f t="shared" si="13"/>
        <v>Weekday</v>
      </c>
    </row>
    <row r="876" spans="1:22" x14ac:dyDescent="0.3">
      <c r="A876" s="23">
        <v>45629</v>
      </c>
      <c r="B876" s="7" t="s">
        <v>69</v>
      </c>
      <c r="C876" s="7" t="s">
        <v>32</v>
      </c>
      <c r="D876" s="7" t="s">
        <v>57</v>
      </c>
      <c r="E876" s="4">
        <v>1000</v>
      </c>
      <c r="F876" s="4" t="b">
        <v>0</v>
      </c>
      <c r="G876" s="7" t="s">
        <v>34</v>
      </c>
      <c r="H876" s="7" t="s">
        <v>35</v>
      </c>
      <c r="I876" s="7" t="s">
        <v>47</v>
      </c>
      <c r="J876" s="7" t="s">
        <v>48</v>
      </c>
      <c r="K876" s="4">
        <v>2</v>
      </c>
      <c r="L876" s="7" t="s">
        <v>49</v>
      </c>
      <c r="M876" s="7" t="s">
        <v>66</v>
      </c>
      <c r="N876" s="4" t="b">
        <v>1</v>
      </c>
      <c r="O876" s="4">
        <v>88</v>
      </c>
      <c r="P876" s="7" t="s">
        <v>63</v>
      </c>
      <c r="Q876" s="4">
        <v>1</v>
      </c>
      <c r="R876" s="4">
        <v>2</v>
      </c>
      <c r="S876" s="4">
        <v>781</v>
      </c>
      <c r="T876" s="8" t="s">
        <v>30</v>
      </c>
      <c r="U876" t="str">
        <f>IF(OR(E876&lt;'Q1'!$E$13,E876&gt;'Q1'!$E$14),"Outliers","Not an Outliers")</f>
        <v>Not an Outliers</v>
      </c>
      <c r="V876" t="str">
        <f t="shared" si="13"/>
        <v>Weekday</v>
      </c>
    </row>
    <row r="877" spans="1:22" x14ac:dyDescent="0.3">
      <c r="A877" s="24">
        <v>45630</v>
      </c>
      <c r="B877" s="9" t="s">
        <v>62</v>
      </c>
      <c r="C877" s="9" t="s">
        <v>32</v>
      </c>
      <c r="D877" s="9" t="s">
        <v>33</v>
      </c>
      <c r="E877" s="5">
        <v>1506</v>
      </c>
      <c r="F877" s="5" t="b">
        <v>0</v>
      </c>
      <c r="G877" s="9" t="s">
        <v>40</v>
      </c>
      <c r="H877" s="9" t="s">
        <v>24</v>
      </c>
      <c r="I877" s="9" t="s">
        <v>59</v>
      </c>
      <c r="J877" s="9" t="s">
        <v>26</v>
      </c>
      <c r="K877" s="5">
        <v>2</v>
      </c>
      <c r="L877" s="9" t="s">
        <v>27</v>
      </c>
      <c r="M877" s="9" t="s">
        <v>66</v>
      </c>
      <c r="N877" s="5" t="b">
        <v>1</v>
      </c>
      <c r="O877" s="5">
        <v>3</v>
      </c>
      <c r="P877" s="9" t="s">
        <v>37</v>
      </c>
      <c r="Q877" s="5">
        <v>9</v>
      </c>
      <c r="R877" s="5">
        <v>1</v>
      </c>
      <c r="S877" s="5">
        <v>2808</v>
      </c>
      <c r="T877" s="10" t="s">
        <v>30</v>
      </c>
      <c r="U877" t="str">
        <f>IF(OR(E877&lt;'Q1'!$E$13,E877&gt;'Q1'!$E$14),"Outliers","Not an Outliers")</f>
        <v>Not an Outliers</v>
      </c>
      <c r="V877" t="str">
        <f t="shared" si="13"/>
        <v>Weekday</v>
      </c>
    </row>
    <row r="878" spans="1:22" x14ac:dyDescent="0.3">
      <c r="A878" s="23">
        <v>45630</v>
      </c>
      <c r="B878" s="7" t="s">
        <v>62</v>
      </c>
      <c r="C878" s="7" t="s">
        <v>60</v>
      </c>
      <c r="D878" s="7" t="s">
        <v>61</v>
      </c>
      <c r="E878" s="4">
        <v>1000</v>
      </c>
      <c r="F878" s="4" t="b">
        <v>1</v>
      </c>
      <c r="G878" s="7" t="s">
        <v>40</v>
      </c>
      <c r="H878" s="7" t="s">
        <v>41</v>
      </c>
      <c r="I878" s="7" t="s">
        <v>59</v>
      </c>
      <c r="J878" s="7" t="s">
        <v>48</v>
      </c>
      <c r="K878" s="4">
        <v>1</v>
      </c>
      <c r="L878" s="7" t="s">
        <v>27</v>
      </c>
      <c r="M878" s="7" t="s">
        <v>28</v>
      </c>
      <c r="N878" s="4" t="b">
        <v>1</v>
      </c>
      <c r="O878" s="4">
        <v>111</v>
      </c>
      <c r="P878" s="7" t="s">
        <v>37</v>
      </c>
      <c r="Q878" s="4">
        <v>6</v>
      </c>
      <c r="R878" s="4">
        <v>2</v>
      </c>
      <c r="S878" s="4">
        <v>2377</v>
      </c>
      <c r="T878" s="8" t="s">
        <v>38</v>
      </c>
      <c r="U878" t="str">
        <f>IF(OR(E878&lt;'Q1'!$E$13,E878&gt;'Q1'!$E$14),"Outliers","Not an Outliers")</f>
        <v>Not an Outliers</v>
      </c>
      <c r="V878" t="str">
        <f t="shared" si="13"/>
        <v>Weekday</v>
      </c>
    </row>
    <row r="879" spans="1:22" x14ac:dyDescent="0.3">
      <c r="A879" s="24">
        <v>45631</v>
      </c>
      <c r="B879" s="9" t="s">
        <v>31</v>
      </c>
      <c r="C879" s="9" t="s">
        <v>60</v>
      </c>
      <c r="D879" s="9" t="s">
        <v>22</v>
      </c>
      <c r="E879" s="5">
        <v>5318</v>
      </c>
      <c r="F879" s="5" t="b">
        <v>1</v>
      </c>
      <c r="G879" s="9" t="s">
        <v>64</v>
      </c>
      <c r="H879" s="9" t="s">
        <v>70</v>
      </c>
      <c r="I879" s="9" t="s">
        <v>42</v>
      </c>
      <c r="J879" s="9" t="s">
        <v>26</v>
      </c>
      <c r="K879" s="5">
        <v>3</v>
      </c>
      <c r="L879" s="9" t="s">
        <v>27</v>
      </c>
      <c r="M879" s="9" t="s">
        <v>73</v>
      </c>
      <c r="N879" s="5" t="b">
        <v>1</v>
      </c>
      <c r="O879" s="5">
        <v>94</v>
      </c>
      <c r="P879" s="9" t="s">
        <v>67</v>
      </c>
      <c r="Q879" s="5">
        <v>9</v>
      </c>
      <c r="R879" s="5">
        <v>3</v>
      </c>
      <c r="S879" s="5">
        <v>2268</v>
      </c>
      <c r="T879" s="10" t="s">
        <v>30</v>
      </c>
      <c r="U879" t="str">
        <f>IF(OR(E879&lt;'Q1'!$E$13,E879&gt;'Q1'!$E$14),"Outliers","Not an Outliers")</f>
        <v>Not an Outliers</v>
      </c>
      <c r="V879" t="str">
        <f t="shared" si="13"/>
        <v>Weekday</v>
      </c>
    </row>
    <row r="880" spans="1:22" x14ac:dyDescent="0.3">
      <c r="A880" s="23">
        <v>45632</v>
      </c>
      <c r="B880" s="7" t="s">
        <v>76</v>
      </c>
      <c r="C880" s="7" t="s">
        <v>60</v>
      </c>
      <c r="D880" s="7" t="s">
        <v>22</v>
      </c>
      <c r="E880" s="4">
        <v>7929</v>
      </c>
      <c r="F880" s="4" t="b">
        <v>0</v>
      </c>
      <c r="G880" s="7" t="s">
        <v>65</v>
      </c>
      <c r="H880" s="7" t="s">
        <v>70</v>
      </c>
      <c r="I880" s="7" t="s">
        <v>47</v>
      </c>
      <c r="J880" s="7" t="s">
        <v>48</v>
      </c>
      <c r="K880" s="4">
        <v>3</v>
      </c>
      <c r="L880" s="7" t="s">
        <v>36</v>
      </c>
      <c r="M880" s="7" t="s">
        <v>58</v>
      </c>
      <c r="N880" s="4" t="b">
        <v>0</v>
      </c>
      <c r="O880" s="4">
        <v>79</v>
      </c>
      <c r="P880" s="7" t="s">
        <v>67</v>
      </c>
      <c r="Q880" s="4">
        <v>4</v>
      </c>
      <c r="R880" s="4">
        <v>1</v>
      </c>
      <c r="S880" s="4">
        <v>1114</v>
      </c>
      <c r="T880" s="8" t="s">
        <v>30</v>
      </c>
      <c r="U880" t="str">
        <f>IF(OR(E880&lt;'Q1'!$E$13,E880&gt;'Q1'!$E$14),"Outliers","Not an Outliers")</f>
        <v>Not an Outliers</v>
      </c>
      <c r="V880" t="str">
        <f t="shared" si="13"/>
        <v>Weekday</v>
      </c>
    </row>
    <row r="881" spans="1:22" x14ac:dyDescent="0.3">
      <c r="A881" s="24">
        <v>45632</v>
      </c>
      <c r="B881" s="9" t="s">
        <v>62</v>
      </c>
      <c r="C881" s="9" t="s">
        <v>56</v>
      </c>
      <c r="D881" s="9" t="s">
        <v>46</v>
      </c>
      <c r="E881" s="5">
        <v>1701</v>
      </c>
      <c r="F881" s="5" t="b">
        <v>1</v>
      </c>
      <c r="G881" s="9" t="s">
        <v>65</v>
      </c>
      <c r="H881" s="9" t="s">
        <v>35</v>
      </c>
      <c r="I881" s="9" t="s">
        <v>25</v>
      </c>
      <c r="J881" s="9" t="s">
        <v>26</v>
      </c>
      <c r="K881" s="5">
        <v>2</v>
      </c>
      <c r="L881" s="9" t="s">
        <v>49</v>
      </c>
      <c r="M881" s="9" t="s">
        <v>28</v>
      </c>
      <c r="N881" s="5" t="b">
        <v>1</v>
      </c>
      <c r="O881" s="5">
        <v>73</v>
      </c>
      <c r="P881" s="9" t="s">
        <v>67</v>
      </c>
      <c r="Q881" s="5">
        <v>8</v>
      </c>
      <c r="R881" s="5">
        <v>1</v>
      </c>
      <c r="S881" s="5">
        <v>1523</v>
      </c>
      <c r="T881" s="10" t="s">
        <v>30</v>
      </c>
      <c r="U881" t="str">
        <f>IF(OR(E881&lt;'Q1'!$E$13,E881&gt;'Q1'!$E$14),"Outliers","Not an Outliers")</f>
        <v>Not an Outliers</v>
      </c>
      <c r="V881" t="str">
        <f t="shared" si="13"/>
        <v>Weekday</v>
      </c>
    </row>
    <row r="882" spans="1:22" x14ac:dyDescent="0.3">
      <c r="A882" s="23">
        <v>45633</v>
      </c>
      <c r="B882" s="7" t="s">
        <v>44</v>
      </c>
      <c r="C882" s="7" t="s">
        <v>32</v>
      </c>
      <c r="D882" s="7" t="s">
        <v>57</v>
      </c>
      <c r="E882" s="4">
        <v>1000</v>
      </c>
      <c r="F882" s="4" t="b">
        <v>0</v>
      </c>
      <c r="G882" s="7" t="s">
        <v>40</v>
      </c>
      <c r="H882" s="7" t="s">
        <v>70</v>
      </c>
      <c r="I882" s="7" t="s">
        <v>47</v>
      </c>
      <c r="J882" s="7" t="s">
        <v>43</v>
      </c>
      <c r="K882" s="4">
        <v>3</v>
      </c>
      <c r="L882" s="7" t="s">
        <v>36</v>
      </c>
      <c r="M882" s="7" t="s">
        <v>66</v>
      </c>
      <c r="N882" s="4" t="b">
        <v>1</v>
      </c>
      <c r="O882" s="4">
        <v>79</v>
      </c>
      <c r="P882" s="7" t="s">
        <v>63</v>
      </c>
      <c r="Q882" s="4">
        <v>8</v>
      </c>
      <c r="R882" s="4">
        <v>1</v>
      </c>
      <c r="S882" s="4">
        <v>1619</v>
      </c>
      <c r="T882" s="8" t="s">
        <v>51</v>
      </c>
      <c r="U882" t="str">
        <f>IF(OR(E882&lt;'Q1'!$E$13,E882&gt;'Q1'!$E$14),"Outliers","Not an Outliers")</f>
        <v>Not an Outliers</v>
      </c>
      <c r="V882" t="str">
        <f t="shared" si="13"/>
        <v>Weekend</v>
      </c>
    </row>
    <row r="883" spans="1:22" x14ac:dyDescent="0.3">
      <c r="A883" s="24">
        <v>45633</v>
      </c>
      <c r="B883" s="9" t="s">
        <v>39</v>
      </c>
      <c r="C883" s="9" t="s">
        <v>56</v>
      </c>
      <c r="D883" s="9" t="s">
        <v>46</v>
      </c>
      <c r="E883" s="5">
        <v>2548</v>
      </c>
      <c r="F883" s="5" t="b">
        <v>1</v>
      </c>
      <c r="G883" s="9" t="s">
        <v>34</v>
      </c>
      <c r="H883" s="9" t="s">
        <v>41</v>
      </c>
      <c r="I883" s="9" t="s">
        <v>47</v>
      </c>
      <c r="J883" s="9" t="s">
        <v>54</v>
      </c>
      <c r="K883" s="5">
        <v>4</v>
      </c>
      <c r="L883" s="9" t="s">
        <v>49</v>
      </c>
      <c r="M883" s="9" t="s">
        <v>58</v>
      </c>
      <c r="N883" s="5" t="b">
        <v>0</v>
      </c>
      <c r="O883" s="5">
        <v>52</v>
      </c>
      <c r="P883" s="9" t="s">
        <v>29</v>
      </c>
      <c r="Q883" s="5">
        <v>7</v>
      </c>
      <c r="R883" s="5">
        <v>2</v>
      </c>
      <c r="S883" s="5">
        <v>4141</v>
      </c>
      <c r="T883" s="10" t="s">
        <v>30</v>
      </c>
      <c r="U883" t="str">
        <f>IF(OR(E883&lt;'Q1'!$E$13,E883&gt;'Q1'!$E$14),"Outliers","Not an Outliers")</f>
        <v>Not an Outliers</v>
      </c>
      <c r="V883" t="str">
        <f t="shared" si="13"/>
        <v>Weekend</v>
      </c>
    </row>
    <row r="884" spans="1:22" x14ac:dyDescent="0.3">
      <c r="A884" s="23">
        <v>45633</v>
      </c>
      <c r="B884" s="7" t="s">
        <v>62</v>
      </c>
      <c r="C884" s="7" t="s">
        <v>45</v>
      </c>
      <c r="D884" s="7" t="s">
        <v>57</v>
      </c>
      <c r="E884" s="4">
        <v>1000</v>
      </c>
      <c r="F884" s="4" t="b">
        <v>0</v>
      </c>
      <c r="G884" s="7" t="s">
        <v>64</v>
      </c>
      <c r="H884" s="7" t="s">
        <v>24</v>
      </c>
      <c r="I884" s="7" t="s">
        <v>42</v>
      </c>
      <c r="J884" s="7" t="s">
        <v>43</v>
      </c>
      <c r="K884" s="4">
        <v>2</v>
      </c>
      <c r="L884" s="7" t="s">
        <v>49</v>
      </c>
      <c r="M884" s="7" t="s">
        <v>58</v>
      </c>
      <c r="N884" s="4" t="b">
        <v>1</v>
      </c>
      <c r="O884" s="4">
        <v>33</v>
      </c>
      <c r="P884" s="7" t="s">
        <v>29</v>
      </c>
      <c r="Q884" s="4">
        <v>3</v>
      </c>
      <c r="R884" s="4">
        <v>1</v>
      </c>
      <c r="S884" s="4">
        <v>1477</v>
      </c>
      <c r="T884" s="8" t="s">
        <v>38</v>
      </c>
      <c r="U884" t="str">
        <f>IF(OR(E884&lt;'Q1'!$E$13,E884&gt;'Q1'!$E$14),"Outliers","Not an Outliers")</f>
        <v>Not an Outliers</v>
      </c>
      <c r="V884" t="str">
        <f t="shared" si="13"/>
        <v>Weekend</v>
      </c>
    </row>
    <row r="885" spans="1:22" x14ac:dyDescent="0.3">
      <c r="A885" s="24">
        <v>45633</v>
      </c>
      <c r="B885" s="9" t="s">
        <v>68</v>
      </c>
      <c r="C885" s="9" t="s">
        <v>32</v>
      </c>
      <c r="D885" s="9" t="s">
        <v>46</v>
      </c>
      <c r="E885" s="5">
        <v>1295</v>
      </c>
      <c r="F885" s="5" t="b">
        <v>0</v>
      </c>
      <c r="G885" s="9" t="s">
        <v>34</v>
      </c>
      <c r="H885" s="9" t="s">
        <v>24</v>
      </c>
      <c r="I885" s="9" t="s">
        <v>47</v>
      </c>
      <c r="J885" s="9" t="s">
        <v>54</v>
      </c>
      <c r="K885" s="5">
        <v>2</v>
      </c>
      <c r="L885" s="9" t="s">
        <v>36</v>
      </c>
      <c r="M885" s="9" t="s">
        <v>73</v>
      </c>
      <c r="N885" s="5" t="b">
        <v>0</v>
      </c>
      <c r="O885" s="5">
        <v>51</v>
      </c>
      <c r="P885" s="9" t="s">
        <v>63</v>
      </c>
      <c r="Q885" s="5">
        <v>6</v>
      </c>
      <c r="R885" s="5">
        <v>2</v>
      </c>
      <c r="S885" s="5">
        <v>3416</v>
      </c>
      <c r="T885" s="10" t="s">
        <v>38</v>
      </c>
      <c r="U885" t="str">
        <f>IF(OR(E885&lt;'Q1'!$E$13,E885&gt;'Q1'!$E$14),"Outliers","Not an Outliers")</f>
        <v>Not an Outliers</v>
      </c>
      <c r="V885" t="str">
        <f t="shared" si="13"/>
        <v>Weekend</v>
      </c>
    </row>
    <row r="886" spans="1:22" x14ac:dyDescent="0.3">
      <c r="A886" s="23">
        <v>45633</v>
      </c>
      <c r="B886" s="7" t="s">
        <v>77</v>
      </c>
      <c r="C886" s="7" t="s">
        <v>45</v>
      </c>
      <c r="D886" s="7" t="s">
        <v>33</v>
      </c>
      <c r="E886" s="4">
        <v>4381</v>
      </c>
      <c r="F886" s="4" t="b">
        <v>0</v>
      </c>
      <c r="G886" s="7" t="s">
        <v>34</v>
      </c>
      <c r="H886" s="7" t="s">
        <v>41</v>
      </c>
      <c r="I886" s="7" t="s">
        <v>42</v>
      </c>
      <c r="J886" s="7" t="s">
        <v>48</v>
      </c>
      <c r="K886" s="4">
        <v>2</v>
      </c>
      <c r="L886" s="7" t="s">
        <v>36</v>
      </c>
      <c r="M886" s="7" t="s">
        <v>66</v>
      </c>
      <c r="N886" s="4" t="b">
        <v>1</v>
      </c>
      <c r="O886" s="4">
        <v>7</v>
      </c>
      <c r="P886" s="7" t="s">
        <v>63</v>
      </c>
      <c r="Q886" s="4">
        <v>9</v>
      </c>
      <c r="R886" s="4">
        <v>2</v>
      </c>
      <c r="S886" s="4">
        <v>2920</v>
      </c>
      <c r="T886" s="8" t="s">
        <v>38</v>
      </c>
      <c r="U886" t="str">
        <f>IF(OR(E886&lt;'Q1'!$E$13,E886&gt;'Q1'!$E$14),"Outliers","Not an Outliers")</f>
        <v>Not an Outliers</v>
      </c>
      <c r="V886" t="str">
        <f t="shared" si="13"/>
        <v>Weekend</v>
      </c>
    </row>
    <row r="887" spans="1:22" x14ac:dyDescent="0.3">
      <c r="A887" s="24">
        <v>45634</v>
      </c>
      <c r="B887" s="9" t="s">
        <v>52</v>
      </c>
      <c r="C887" s="9" t="s">
        <v>32</v>
      </c>
      <c r="D887" s="9" t="s">
        <v>33</v>
      </c>
      <c r="E887" s="5">
        <v>4179</v>
      </c>
      <c r="F887" s="5" t="b">
        <v>0</v>
      </c>
      <c r="G887" s="9" t="s">
        <v>34</v>
      </c>
      <c r="H887" s="9" t="s">
        <v>41</v>
      </c>
      <c r="I887" s="9" t="s">
        <v>47</v>
      </c>
      <c r="J887" s="9" t="s">
        <v>48</v>
      </c>
      <c r="K887" s="5">
        <v>5</v>
      </c>
      <c r="L887" s="9" t="s">
        <v>49</v>
      </c>
      <c r="M887" s="9" t="s">
        <v>73</v>
      </c>
      <c r="N887" s="5" t="b">
        <v>1</v>
      </c>
      <c r="O887" s="5">
        <v>82</v>
      </c>
      <c r="P887" s="9" t="s">
        <v>29</v>
      </c>
      <c r="Q887" s="5">
        <v>9</v>
      </c>
      <c r="R887" s="5">
        <v>3</v>
      </c>
      <c r="S887" s="5">
        <v>3407</v>
      </c>
      <c r="T887" s="10" t="s">
        <v>51</v>
      </c>
      <c r="U887" t="str">
        <f>IF(OR(E887&lt;'Q1'!$E$13,E887&gt;'Q1'!$E$14),"Outliers","Not an Outliers")</f>
        <v>Not an Outliers</v>
      </c>
      <c r="V887" t="str">
        <f t="shared" si="13"/>
        <v>Weekend</v>
      </c>
    </row>
    <row r="888" spans="1:22" x14ac:dyDescent="0.3">
      <c r="A888" s="23">
        <v>45634</v>
      </c>
      <c r="B888" s="7" t="s">
        <v>44</v>
      </c>
      <c r="C888" s="7" t="s">
        <v>56</v>
      </c>
      <c r="D888" s="7" t="s">
        <v>22</v>
      </c>
      <c r="E888" s="4">
        <v>7285</v>
      </c>
      <c r="F888" s="4" t="b">
        <v>0</v>
      </c>
      <c r="G888" s="7" t="s">
        <v>23</v>
      </c>
      <c r="H888" s="7" t="s">
        <v>70</v>
      </c>
      <c r="I888" s="7" t="s">
        <v>42</v>
      </c>
      <c r="J888" s="7" t="s">
        <v>48</v>
      </c>
      <c r="K888" s="4">
        <v>0</v>
      </c>
      <c r="L888" s="7" t="s">
        <v>27</v>
      </c>
      <c r="M888" s="7" t="s">
        <v>58</v>
      </c>
      <c r="N888" s="4" t="b">
        <v>0</v>
      </c>
      <c r="O888" s="4">
        <v>36</v>
      </c>
      <c r="P888" s="7" t="s">
        <v>37</v>
      </c>
      <c r="Q888" s="4">
        <v>6</v>
      </c>
      <c r="R888" s="4">
        <v>2</v>
      </c>
      <c r="S888" s="4">
        <v>1130</v>
      </c>
      <c r="T888" s="8" t="s">
        <v>38</v>
      </c>
      <c r="U888" t="str">
        <f>IF(OR(E888&lt;'Q1'!$E$13,E888&gt;'Q1'!$E$14),"Outliers","Not an Outliers")</f>
        <v>Not an Outliers</v>
      </c>
      <c r="V888" t="str">
        <f t="shared" si="13"/>
        <v>Weekend</v>
      </c>
    </row>
    <row r="889" spans="1:22" x14ac:dyDescent="0.3">
      <c r="A889" s="24">
        <v>45635</v>
      </c>
      <c r="B889" s="9" t="s">
        <v>39</v>
      </c>
      <c r="C889" s="9" t="s">
        <v>56</v>
      </c>
      <c r="D889" s="9" t="s">
        <v>33</v>
      </c>
      <c r="E889" s="5">
        <v>3870</v>
      </c>
      <c r="F889" s="5" t="b">
        <v>1</v>
      </c>
      <c r="G889" s="9" t="s">
        <v>23</v>
      </c>
      <c r="H889" s="9" t="s">
        <v>24</v>
      </c>
      <c r="I889" s="9" t="s">
        <v>47</v>
      </c>
      <c r="J889" s="9" t="s">
        <v>43</v>
      </c>
      <c r="K889" s="5">
        <v>1</v>
      </c>
      <c r="L889" s="9" t="s">
        <v>27</v>
      </c>
      <c r="M889" s="9" t="s">
        <v>66</v>
      </c>
      <c r="N889" s="5" t="b">
        <v>1</v>
      </c>
      <c r="O889" s="5">
        <v>8</v>
      </c>
      <c r="P889" s="9" t="s">
        <v>29</v>
      </c>
      <c r="Q889" s="5">
        <v>1</v>
      </c>
      <c r="R889" s="5">
        <v>2</v>
      </c>
      <c r="S889" s="5">
        <v>1043</v>
      </c>
      <c r="T889" s="10" t="s">
        <v>51</v>
      </c>
      <c r="U889" t="str">
        <f>IF(OR(E889&lt;'Q1'!$E$13,E889&gt;'Q1'!$E$14),"Outliers","Not an Outliers")</f>
        <v>Not an Outliers</v>
      </c>
      <c r="V889" t="str">
        <f t="shared" si="13"/>
        <v>Weekday</v>
      </c>
    </row>
    <row r="890" spans="1:22" x14ac:dyDescent="0.3">
      <c r="A890" s="23">
        <v>45635</v>
      </c>
      <c r="B890" s="7" t="s">
        <v>69</v>
      </c>
      <c r="C890" s="7" t="s">
        <v>32</v>
      </c>
      <c r="D890" s="7" t="s">
        <v>46</v>
      </c>
      <c r="E890" s="4">
        <v>2618</v>
      </c>
      <c r="F890" s="4" t="b">
        <v>0</v>
      </c>
      <c r="G890" s="7" t="s">
        <v>23</v>
      </c>
      <c r="H890" s="7" t="s">
        <v>35</v>
      </c>
      <c r="I890" s="7" t="s">
        <v>47</v>
      </c>
      <c r="J890" s="7" t="s">
        <v>26</v>
      </c>
      <c r="K890" s="4">
        <v>4</v>
      </c>
      <c r="L890" s="7" t="s">
        <v>27</v>
      </c>
      <c r="M890" s="7" t="s">
        <v>66</v>
      </c>
      <c r="N890" s="4" t="b">
        <v>1</v>
      </c>
      <c r="O890" s="4">
        <v>59</v>
      </c>
      <c r="P890" s="7" t="s">
        <v>29</v>
      </c>
      <c r="Q890" s="4">
        <v>1</v>
      </c>
      <c r="R890" s="4">
        <v>1</v>
      </c>
      <c r="S890" s="4">
        <v>2453</v>
      </c>
      <c r="T890" s="8" t="s">
        <v>38</v>
      </c>
      <c r="U890" t="str">
        <f>IF(OR(E890&lt;'Q1'!$E$13,E890&gt;'Q1'!$E$14),"Outliers","Not an Outliers")</f>
        <v>Not an Outliers</v>
      </c>
      <c r="V890" t="str">
        <f t="shared" si="13"/>
        <v>Weekday</v>
      </c>
    </row>
    <row r="891" spans="1:22" x14ac:dyDescent="0.3">
      <c r="A891" s="24">
        <v>45636</v>
      </c>
      <c r="B891" s="9" t="s">
        <v>75</v>
      </c>
      <c r="C891" s="9" t="s">
        <v>56</v>
      </c>
      <c r="D891" s="9" t="s">
        <v>46</v>
      </c>
      <c r="E891" s="5">
        <v>3054</v>
      </c>
      <c r="F891" s="5" t="b">
        <v>0</v>
      </c>
      <c r="G891" s="9" t="s">
        <v>64</v>
      </c>
      <c r="H891" s="9" t="s">
        <v>35</v>
      </c>
      <c r="I891" s="9" t="s">
        <v>25</v>
      </c>
      <c r="J891" s="9" t="s">
        <v>26</v>
      </c>
      <c r="K891" s="5">
        <v>1</v>
      </c>
      <c r="L891" s="9" t="s">
        <v>49</v>
      </c>
      <c r="M891" s="9" t="s">
        <v>58</v>
      </c>
      <c r="N891" s="5" t="b">
        <v>0</v>
      </c>
      <c r="O891" s="5">
        <v>94</v>
      </c>
      <c r="P891" s="9" t="s">
        <v>29</v>
      </c>
      <c r="Q891" s="5">
        <v>8</v>
      </c>
      <c r="R891" s="5">
        <v>3</v>
      </c>
      <c r="S891" s="5">
        <v>3060</v>
      </c>
      <c r="T891" s="10" t="s">
        <v>51</v>
      </c>
      <c r="U891" t="str">
        <f>IF(OR(E891&lt;'Q1'!$E$13,E891&gt;'Q1'!$E$14),"Outliers","Not an Outliers")</f>
        <v>Not an Outliers</v>
      </c>
      <c r="V891" t="str">
        <f t="shared" si="13"/>
        <v>Weekday</v>
      </c>
    </row>
    <row r="892" spans="1:22" x14ac:dyDescent="0.3">
      <c r="A892" s="23">
        <v>45636</v>
      </c>
      <c r="B892" s="7" t="s">
        <v>72</v>
      </c>
      <c r="C892" s="7" t="s">
        <v>32</v>
      </c>
      <c r="D892" s="7" t="s">
        <v>33</v>
      </c>
      <c r="E892" s="4">
        <v>4549</v>
      </c>
      <c r="F892" s="4" t="b">
        <v>0</v>
      </c>
      <c r="G892" s="7" t="s">
        <v>23</v>
      </c>
      <c r="H892" s="7" t="s">
        <v>41</v>
      </c>
      <c r="I892" s="7" t="s">
        <v>47</v>
      </c>
      <c r="J892" s="7" t="s">
        <v>26</v>
      </c>
      <c r="K892" s="4">
        <v>0</v>
      </c>
      <c r="L892" s="7" t="s">
        <v>27</v>
      </c>
      <c r="M892" s="7" t="s">
        <v>66</v>
      </c>
      <c r="N892" s="4" t="b">
        <v>1</v>
      </c>
      <c r="O892" s="4">
        <v>2</v>
      </c>
      <c r="P892" s="7" t="s">
        <v>50</v>
      </c>
      <c r="Q892" s="4">
        <v>9</v>
      </c>
      <c r="R892" s="4">
        <v>1</v>
      </c>
      <c r="S892" s="4">
        <v>2918</v>
      </c>
      <c r="T892" s="8" t="s">
        <v>51</v>
      </c>
      <c r="U892" t="str">
        <f>IF(OR(E892&lt;'Q1'!$E$13,E892&gt;'Q1'!$E$14),"Outliers","Not an Outliers")</f>
        <v>Not an Outliers</v>
      </c>
      <c r="V892" t="str">
        <f t="shared" si="13"/>
        <v>Weekday</v>
      </c>
    </row>
    <row r="893" spans="1:22" x14ac:dyDescent="0.3">
      <c r="A893" s="24">
        <v>45637</v>
      </c>
      <c r="B893" s="9" t="s">
        <v>76</v>
      </c>
      <c r="C893" s="9" t="s">
        <v>45</v>
      </c>
      <c r="D893" s="9" t="s">
        <v>57</v>
      </c>
      <c r="E893" s="5">
        <v>1000</v>
      </c>
      <c r="F893" s="5" t="b">
        <v>0</v>
      </c>
      <c r="G893" s="9" t="s">
        <v>40</v>
      </c>
      <c r="H893" s="9" t="s">
        <v>41</v>
      </c>
      <c r="I893" s="9" t="s">
        <v>25</v>
      </c>
      <c r="J893" s="9" t="s">
        <v>48</v>
      </c>
      <c r="K893" s="5">
        <v>0</v>
      </c>
      <c r="L893" s="9" t="s">
        <v>27</v>
      </c>
      <c r="M893" s="9" t="s">
        <v>58</v>
      </c>
      <c r="N893" s="5" t="b">
        <v>0</v>
      </c>
      <c r="O893" s="5">
        <v>89</v>
      </c>
      <c r="P893" s="9" t="s">
        <v>50</v>
      </c>
      <c r="Q893" s="5">
        <v>5</v>
      </c>
      <c r="R893" s="5">
        <v>2</v>
      </c>
      <c r="S893" s="5">
        <v>4749</v>
      </c>
      <c r="T893" s="10" t="s">
        <v>30</v>
      </c>
      <c r="U893" t="str">
        <f>IF(OR(E893&lt;'Q1'!$E$13,E893&gt;'Q1'!$E$14),"Outliers","Not an Outliers")</f>
        <v>Not an Outliers</v>
      </c>
      <c r="V893" t="str">
        <f t="shared" si="13"/>
        <v>Weekday</v>
      </c>
    </row>
    <row r="894" spans="1:22" x14ac:dyDescent="0.3">
      <c r="A894" s="23">
        <v>45637</v>
      </c>
      <c r="B894" s="7" t="s">
        <v>71</v>
      </c>
      <c r="C894" s="7" t="s">
        <v>32</v>
      </c>
      <c r="D894" s="7" t="s">
        <v>46</v>
      </c>
      <c r="E894" s="4">
        <v>3172</v>
      </c>
      <c r="F894" s="4" t="b">
        <v>0</v>
      </c>
      <c r="G894" s="7" t="s">
        <v>34</v>
      </c>
      <c r="H894" s="7" t="s">
        <v>35</v>
      </c>
      <c r="I894" s="7" t="s">
        <v>25</v>
      </c>
      <c r="J894" s="7" t="s">
        <v>26</v>
      </c>
      <c r="K894" s="4">
        <v>5</v>
      </c>
      <c r="L894" s="7" t="s">
        <v>27</v>
      </c>
      <c r="M894" s="7" t="s">
        <v>28</v>
      </c>
      <c r="N894" s="4" t="b">
        <v>0</v>
      </c>
      <c r="O894" s="4">
        <v>19</v>
      </c>
      <c r="P894" s="7" t="s">
        <v>29</v>
      </c>
      <c r="Q894" s="4">
        <v>3</v>
      </c>
      <c r="R894" s="4">
        <v>2</v>
      </c>
      <c r="S894" s="4">
        <v>2519</v>
      </c>
      <c r="T894" s="8" t="s">
        <v>51</v>
      </c>
      <c r="U894" t="str">
        <f>IF(OR(E894&lt;'Q1'!$E$13,E894&gt;'Q1'!$E$14),"Outliers","Not an Outliers")</f>
        <v>Not an Outliers</v>
      </c>
      <c r="V894" t="str">
        <f t="shared" si="13"/>
        <v>Weekday</v>
      </c>
    </row>
    <row r="895" spans="1:22" x14ac:dyDescent="0.3">
      <c r="A895" s="24">
        <v>45638</v>
      </c>
      <c r="B895" s="9" t="s">
        <v>74</v>
      </c>
      <c r="C895" s="9" t="s">
        <v>45</v>
      </c>
      <c r="D895" s="9" t="s">
        <v>46</v>
      </c>
      <c r="E895" s="5">
        <v>3645</v>
      </c>
      <c r="F895" s="5" t="b">
        <v>0</v>
      </c>
      <c r="G895" s="9" t="s">
        <v>64</v>
      </c>
      <c r="H895" s="9" t="s">
        <v>24</v>
      </c>
      <c r="I895" s="9" t="s">
        <v>59</v>
      </c>
      <c r="J895" s="9" t="s">
        <v>43</v>
      </c>
      <c r="K895" s="5">
        <v>1</v>
      </c>
      <c r="L895" s="9" t="s">
        <v>49</v>
      </c>
      <c r="M895" s="9" t="s">
        <v>28</v>
      </c>
      <c r="N895" s="5" t="b">
        <v>0</v>
      </c>
      <c r="O895" s="5">
        <v>109</v>
      </c>
      <c r="P895" s="9" t="s">
        <v>63</v>
      </c>
      <c r="Q895" s="5">
        <v>1</v>
      </c>
      <c r="R895" s="5">
        <v>1</v>
      </c>
      <c r="S895" s="5">
        <v>933</v>
      </c>
      <c r="T895" s="10" t="s">
        <v>30</v>
      </c>
      <c r="U895" t="str">
        <f>IF(OR(E895&lt;'Q1'!$E$13,E895&gt;'Q1'!$E$14),"Outliers","Not an Outliers")</f>
        <v>Not an Outliers</v>
      </c>
      <c r="V895" t="str">
        <f t="shared" si="13"/>
        <v>Weekday</v>
      </c>
    </row>
    <row r="896" spans="1:22" x14ac:dyDescent="0.3">
      <c r="A896" s="23">
        <v>45638</v>
      </c>
      <c r="B896" s="7" t="s">
        <v>71</v>
      </c>
      <c r="C896" s="7" t="s">
        <v>45</v>
      </c>
      <c r="D896" s="7" t="s">
        <v>22</v>
      </c>
      <c r="E896" s="4">
        <v>8918</v>
      </c>
      <c r="F896" s="4" t="b">
        <v>0</v>
      </c>
      <c r="G896" s="7" t="s">
        <v>34</v>
      </c>
      <c r="H896" s="7" t="s">
        <v>35</v>
      </c>
      <c r="I896" s="7" t="s">
        <v>59</v>
      </c>
      <c r="J896" s="7" t="s">
        <v>48</v>
      </c>
      <c r="K896" s="4">
        <v>5</v>
      </c>
      <c r="L896" s="7" t="s">
        <v>36</v>
      </c>
      <c r="M896" s="7" t="s">
        <v>66</v>
      </c>
      <c r="N896" s="4" t="b">
        <v>0</v>
      </c>
      <c r="O896" s="4">
        <v>55</v>
      </c>
      <c r="P896" s="7" t="s">
        <v>37</v>
      </c>
      <c r="Q896" s="4">
        <v>2</v>
      </c>
      <c r="R896" s="4">
        <v>3</v>
      </c>
      <c r="S896" s="4">
        <v>4562</v>
      </c>
      <c r="T896" s="8" t="s">
        <v>51</v>
      </c>
      <c r="U896" t="str">
        <f>IF(OR(E896&lt;'Q1'!$E$13,E896&gt;'Q1'!$E$14),"Outliers","Not an Outliers")</f>
        <v>Not an Outliers</v>
      </c>
      <c r="V896" t="str">
        <f t="shared" si="13"/>
        <v>Weekday</v>
      </c>
    </row>
    <row r="897" spans="1:22" x14ac:dyDescent="0.3">
      <c r="A897" s="24">
        <v>45638</v>
      </c>
      <c r="B897" s="9" t="s">
        <v>44</v>
      </c>
      <c r="C897" s="9" t="s">
        <v>32</v>
      </c>
      <c r="D897" s="9" t="s">
        <v>57</v>
      </c>
      <c r="E897" s="5">
        <v>1000</v>
      </c>
      <c r="F897" s="5" t="b">
        <v>1</v>
      </c>
      <c r="G897" s="9" t="s">
        <v>65</v>
      </c>
      <c r="H897" s="9" t="s">
        <v>41</v>
      </c>
      <c r="I897" s="9" t="s">
        <v>47</v>
      </c>
      <c r="J897" s="9" t="s">
        <v>43</v>
      </c>
      <c r="K897" s="5">
        <v>4</v>
      </c>
      <c r="L897" s="9" t="s">
        <v>36</v>
      </c>
      <c r="M897" s="9" t="s">
        <v>66</v>
      </c>
      <c r="N897" s="5" t="b">
        <v>1</v>
      </c>
      <c r="O897" s="5">
        <v>108</v>
      </c>
      <c r="P897" s="9" t="s">
        <v>50</v>
      </c>
      <c r="Q897" s="5">
        <v>7</v>
      </c>
      <c r="R897" s="5">
        <v>3</v>
      </c>
      <c r="S897" s="5">
        <v>2271</v>
      </c>
      <c r="T897" s="10" t="s">
        <v>38</v>
      </c>
      <c r="U897" t="str">
        <f>IF(OR(E897&lt;'Q1'!$E$13,E897&gt;'Q1'!$E$14),"Outliers","Not an Outliers")</f>
        <v>Not an Outliers</v>
      </c>
      <c r="V897" t="str">
        <f t="shared" si="13"/>
        <v>Weekday</v>
      </c>
    </row>
    <row r="898" spans="1:22" x14ac:dyDescent="0.3">
      <c r="A898" s="23">
        <v>45639</v>
      </c>
      <c r="B898" s="7" t="s">
        <v>31</v>
      </c>
      <c r="C898" s="7" t="s">
        <v>32</v>
      </c>
      <c r="D898" s="7" t="s">
        <v>33</v>
      </c>
      <c r="E898" s="4">
        <v>3508</v>
      </c>
      <c r="F898" s="4" t="b">
        <v>0</v>
      </c>
      <c r="G898" s="7" t="s">
        <v>65</v>
      </c>
      <c r="H898" s="7" t="s">
        <v>70</v>
      </c>
      <c r="I898" s="7" t="s">
        <v>47</v>
      </c>
      <c r="J898" s="7" t="s">
        <v>26</v>
      </c>
      <c r="K898" s="4">
        <v>3</v>
      </c>
      <c r="L898" s="7" t="s">
        <v>36</v>
      </c>
      <c r="M898" s="7" t="s">
        <v>66</v>
      </c>
      <c r="N898" s="4" t="b">
        <v>0</v>
      </c>
      <c r="O898" s="4">
        <v>1</v>
      </c>
      <c r="P898" s="7" t="s">
        <v>50</v>
      </c>
      <c r="Q898" s="4">
        <v>8</v>
      </c>
      <c r="R898" s="4">
        <v>2</v>
      </c>
      <c r="S898" s="4">
        <v>3733</v>
      </c>
      <c r="T898" s="8" t="s">
        <v>51</v>
      </c>
      <c r="U898" t="str">
        <f>IF(OR(E898&lt;'Q1'!$E$13,E898&gt;'Q1'!$E$14),"Outliers","Not an Outliers")</f>
        <v>Not an Outliers</v>
      </c>
      <c r="V898" t="str">
        <f t="shared" si="13"/>
        <v>Weekday</v>
      </c>
    </row>
    <row r="899" spans="1:22" x14ac:dyDescent="0.3">
      <c r="A899" s="24">
        <v>45640</v>
      </c>
      <c r="B899" s="9" t="s">
        <v>72</v>
      </c>
      <c r="C899" s="9" t="s">
        <v>56</v>
      </c>
      <c r="D899" s="9" t="s">
        <v>53</v>
      </c>
      <c r="E899" s="5">
        <v>4311</v>
      </c>
      <c r="F899" s="5" t="b">
        <v>1</v>
      </c>
      <c r="G899" s="9" t="s">
        <v>23</v>
      </c>
      <c r="H899" s="9" t="s">
        <v>24</v>
      </c>
      <c r="I899" s="9" t="s">
        <v>25</v>
      </c>
      <c r="J899" s="9" t="s">
        <v>26</v>
      </c>
      <c r="K899" s="5">
        <v>4</v>
      </c>
      <c r="L899" s="9" t="s">
        <v>36</v>
      </c>
      <c r="M899" s="9" t="s">
        <v>58</v>
      </c>
      <c r="N899" s="5" t="b">
        <v>1</v>
      </c>
      <c r="O899" s="5">
        <v>83</v>
      </c>
      <c r="P899" s="9" t="s">
        <v>37</v>
      </c>
      <c r="Q899" s="5">
        <v>3</v>
      </c>
      <c r="R899" s="5">
        <v>2</v>
      </c>
      <c r="S899" s="5">
        <v>1138</v>
      </c>
      <c r="T899" s="10" t="s">
        <v>30</v>
      </c>
      <c r="U899" t="str">
        <f>IF(OR(E899&lt;'Q1'!$E$13,E899&gt;'Q1'!$E$14),"Outliers","Not an Outliers")</f>
        <v>Not an Outliers</v>
      </c>
      <c r="V899" t="str">
        <f t="shared" ref="V899:V949" si="14">IF(WEEKDAY(A899,2)&gt;5,"Weekend","Weekday")</f>
        <v>Weekend</v>
      </c>
    </row>
    <row r="900" spans="1:22" x14ac:dyDescent="0.3">
      <c r="A900" s="23">
        <v>45640</v>
      </c>
      <c r="B900" s="7" t="s">
        <v>75</v>
      </c>
      <c r="C900" s="7" t="s">
        <v>32</v>
      </c>
      <c r="D900" s="7" t="s">
        <v>46</v>
      </c>
      <c r="E900" s="4">
        <v>4776</v>
      </c>
      <c r="F900" s="4" t="b">
        <v>0</v>
      </c>
      <c r="G900" s="7" t="s">
        <v>40</v>
      </c>
      <c r="H900" s="7" t="s">
        <v>24</v>
      </c>
      <c r="I900" s="7" t="s">
        <v>42</v>
      </c>
      <c r="J900" s="7" t="s">
        <v>43</v>
      </c>
      <c r="K900" s="4">
        <v>4</v>
      </c>
      <c r="L900" s="7" t="s">
        <v>36</v>
      </c>
      <c r="M900" s="7" t="s">
        <v>66</v>
      </c>
      <c r="N900" s="4" t="b">
        <v>0</v>
      </c>
      <c r="O900" s="4">
        <v>64</v>
      </c>
      <c r="P900" s="7" t="s">
        <v>29</v>
      </c>
      <c r="Q900" s="4">
        <v>10</v>
      </c>
      <c r="R900" s="4">
        <v>1</v>
      </c>
      <c r="S900" s="4">
        <v>4540</v>
      </c>
      <c r="T900" s="8" t="s">
        <v>30</v>
      </c>
      <c r="U900" t="str">
        <f>IF(OR(E900&lt;'Q1'!$E$13,E900&gt;'Q1'!$E$14),"Outliers","Not an Outliers")</f>
        <v>Not an Outliers</v>
      </c>
      <c r="V900" t="str">
        <f t="shared" si="14"/>
        <v>Weekend</v>
      </c>
    </row>
    <row r="901" spans="1:22" x14ac:dyDescent="0.3">
      <c r="A901" s="24">
        <v>45640</v>
      </c>
      <c r="B901" s="9" t="s">
        <v>74</v>
      </c>
      <c r="C901" s="9" t="s">
        <v>60</v>
      </c>
      <c r="D901" s="9" t="s">
        <v>61</v>
      </c>
      <c r="E901" s="5">
        <v>1000</v>
      </c>
      <c r="F901" s="5" t="b">
        <v>0</v>
      </c>
      <c r="G901" s="9" t="s">
        <v>34</v>
      </c>
      <c r="H901" s="9" t="s">
        <v>41</v>
      </c>
      <c r="I901" s="9" t="s">
        <v>42</v>
      </c>
      <c r="J901" s="9" t="s">
        <v>48</v>
      </c>
      <c r="K901" s="5">
        <v>2</v>
      </c>
      <c r="L901" s="9" t="s">
        <v>36</v>
      </c>
      <c r="M901" s="9" t="s">
        <v>73</v>
      </c>
      <c r="N901" s="5" t="b">
        <v>0</v>
      </c>
      <c r="O901" s="5">
        <v>61</v>
      </c>
      <c r="P901" s="9" t="s">
        <v>37</v>
      </c>
      <c r="Q901" s="5">
        <v>1</v>
      </c>
      <c r="R901" s="5">
        <v>1</v>
      </c>
      <c r="S901" s="5">
        <v>2262</v>
      </c>
      <c r="T901" s="10" t="s">
        <v>38</v>
      </c>
      <c r="U901" t="str">
        <f>IF(OR(E901&lt;'Q1'!$E$13,E901&gt;'Q1'!$E$14),"Outliers","Not an Outliers")</f>
        <v>Not an Outliers</v>
      </c>
      <c r="V901" t="str">
        <f t="shared" si="14"/>
        <v>Weekend</v>
      </c>
    </row>
    <row r="902" spans="1:22" x14ac:dyDescent="0.3">
      <c r="A902" s="23">
        <v>45640</v>
      </c>
      <c r="B902" s="7" t="s">
        <v>71</v>
      </c>
      <c r="C902" s="7" t="s">
        <v>32</v>
      </c>
      <c r="D902" s="7" t="s">
        <v>53</v>
      </c>
      <c r="E902" s="4">
        <v>7612</v>
      </c>
      <c r="F902" s="4" t="b">
        <v>0</v>
      </c>
      <c r="G902" s="7" t="s">
        <v>65</v>
      </c>
      <c r="H902" s="7" t="s">
        <v>24</v>
      </c>
      <c r="I902" s="7" t="s">
        <v>47</v>
      </c>
      <c r="J902" s="7" t="s">
        <v>43</v>
      </c>
      <c r="K902" s="4">
        <v>4</v>
      </c>
      <c r="L902" s="7" t="s">
        <v>36</v>
      </c>
      <c r="M902" s="7" t="s">
        <v>73</v>
      </c>
      <c r="N902" s="4" t="b">
        <v>1</v>
      </c>
      <c r="O902" s="4">
        <v>105</v>
      </c>
      <c r="P902" s="7" t="s">
        <v>29</v>
      </c>
      <c r="Q902" s="4">
        <v>3</v>
      </c>
      <c r="R902" s="4">
        <v>3</v>
      </c>
      <c r="S902" s="4">
        <v>3517</v>
      </c>
      <c r="T902" s="8" t="s">
        <v>30</v>
      </c>
      <c r="U902" t="str">
        <f>IF(OR(E902&lt;'Q1'!$E$13,E902&gt;'Q1'!$E$14),"Outliers","Not an Outliers")</f>
        <v>Not an Outliers</v>
      </c>
      <c r="V902" t="str">
        <f t="shared" si="14"/>
        <v>Weekend</v>
      </c>
    </row>
    <row r="903" spans="1:22" x14ac:dyDescent="0.3">
      <c r="A903" s="24">
        <v>45640</v>
      </c>
      <c r="B903" s="9" t="s">
        <v>71</v>
      </c>
      <c r="C903" s="9" t="s">
        <v>60</v>
      </c>
      <c r="D903" s="9" t="s">
        <v>46</v>
      </c>
      <c r="E903" s="5">
        <v>1509</v>
      </c>
      <c r="F903" s="5" t="b">
        <v>0</v>
      </c>
      <c r="G903" s="9" t="s">
        <v>40</v>
      </c>
      <c r="H903" s="9" t="s">
        <v>24</v>
      </c>
      <c r="I903" s="9" t="s">
        <v>59</v>
      </c>
      <c r="J903" s="9" t="s">
        <v>43</v>
      </c>
      <c r="K903" s="5">
        <v>1</v>
      </c>
      <c r="L903" s="9" t="s">
        <v>49</v>
      </c>
      <c r="M903" s="9" t="s">
        <v>66</v>
      </c>
      <c r="N903" s="5" t="b">
        <v>0</v>
      </c>
      <c r="O903" s="5">
        <v>78</v>
      </c>
      <c r="P903" s="9" t="s">
        <v>63</v>
      </c>
      <c r="Q903" s="5">
        <v>7</v>
      </c>
      <c r="R903" s="5">
        <v>3</v>
      </c>
      <c r="S903" s="5">
        <v>2090</v>
      </c>
      <c r="T903" s="10" t="s">
        <v>51</v>
      </c>
      <c r="U903" t="str">
        <f>IF(OR(E903&lt;'Q1'!$E$13,E903&gt;'Q1'!$E$14),"Outliers","Not an Outliers")</f>
        <v>Not an Outliers</v>
      </c>
      <c r="V903" t="str">
        <f t="shared" si="14"/>
        <v>Weekend</v>
      </c>
    </row>
    <row r="904" spans="1:22" x14ac:dyDescent="0.3">
      <c r="A904" s="23">
        <v>45640</v>
      </c>
      <c r="B904" s="7" t="s">
        <v>76</v>
      </c>
      <c r="C904" s="7" t="s">
        <v>60</v>
      </c>
      <c r="D904" s="7" t="s">
        <v>33</v>
      </c>
      <c r="E904" s="4">
        <v>3166</v>
      </c>
      <c r="F904" s="4" t="b">
        <v>0</v>
      </c>
      <c r="G904" s="7" t="s">
        <v>34</v>
      </c>
      <c r="H904" s="7" t="s">
        <v>35</v>
      </c>
      <c r="I904" s="7" t="s">
        <v>59</v>
      </c>
      <c r="J904" s="7" t="s">
        <v>26</v>
      </c>
      <c r="K904" s="4">
        <v>2</v>
      </c>
      <c r="L904" s="7" t="s">
        <v>27</v>
      </c>
      <c r="M904" s="7" t="s">
        <v>73</v>
      </c>
      <c r="N904" s="4" t="b">
        <v>1</v>
      </c>
      <c r="O904" s="4">
        <v>120</v>
      </c>
      <c r="P904" s="7" t="s">
        <v>37</v>
      </c>
      <c r="Q904" s="4">
        <v>8</v>
      </c>
      <c r="R904" s="4">
        <v>2</v>
      </c>
      <c r="S904" s="4">
        <v>4858</v>
      </c>
      <c r="T904" s="8" t="s">
        <v>30</v>
      </c>
      <c r="U904" t="str">
        <f>IF(OR(E904&lt;'Q1'!$E$13,E904&gt;'Q1'!$E$14),"Outliers","Not an Outliers")</f>
        <v>Not an Outliers</v>
      </c>
      <c r="V904" t="str">
        <f t="shared" si="14"/>
        <v>Weekend</v>
      </c>
    </row>
    <row r="905" spans="1:22" x14ac:dyDescent="0.3">
      <c r="A905" s="24">
        <v>45640</v>
      </c>
      <c r="B905" s="9" t="s">
        <v>77</v>
      </c>
      <c r="C905" s="9" t="s">
        <v>21</v>
      </c>
      <c r="D905" s="9" t="s">
        <v>57</v>
      </c>
      <c r="E905" s="5">
        <v>1000</v>
      </c>
      <c r="F905" s="5" t="b">
        <v>0</v>
      </c>
      <c r="G905" s="9" t="s">
        <v>34</v>
      </c>
      <c r="H905" s="9" t="s">
        <v>35</v>
      </c>
      <c r="I905" s="9" t="s">
        <v>25</v>
      </c>
      <c r="J905" s="9" t="s">
        <v>48</v>
      </c>
      <c r="K905" s="5">
        <v>4</v>
      </c>
      <c r="L905" s="9" t="s">
        <v>36</v>
      </c>
      <c r="M905" s="9" t="s">
        <v>66</v>
      </c>
      <c r="N905" s="5" t="b">
        <v>1</v>
      </c>
      <c r="O905" s="5">
        <v>18</v>
      </c>
      <c r="P905" s="9" t="s">
        <v>50</v>
      </c>
      <c r="Q905" s="5">
        <v>2</v>
      </c>
      <c r="R905" s="5">
        <v>3</v>
      </c>
      <c r="S905" s="5">
        <v>1157</v>
      </c>
      <c r="T905" s="10" t="s">
        <v>30</v>
      </c>
      <c r="U905" t="str">
        <f>IF(OR(E905&lt;'Q1'!$E$13,E905&gt;'Q1'!$E$14),"Outliers","Not an Outliers")</f>
        <v>Not an Outliers</v>
      </c>
      <c r="V905" t="str">
        <f t="shared" si="14"/>
        <v>Weekend</v>
      </c>
    </row>
    <row r="906" spans="1:22" x14ac:dyDescent="0.3">
      <c r="A906" s="23">
        <v>45640</v>
      </c>
      <c r="B906" s="7" t="s">
        <v>52</v>
      </c>
      <c r="C906" s="7" t="s">
        <v>45</v>
      </c>
      <c r="D906" s="7" t="s">
        <v>33</v>
      </c>
      <c r="E906" s="4">
        <v>2848</v>
      </c>
      <c r="F906" s="4" t="b">
        <v>0</v>
      </c>
      <c r="G906" s="7" t="s">
        <v>64</v>
      </c>
      <c r="H906" s="7" t="s">
        <v>41</v>
      </c>
      <c r="I906" s="7" t="s">
        <v>47</v>
      </c>
      <c r="J906" s="7" t="s">
        <v>48</v>
      </c>
      <c r="K906" s="4">
        <v>0</v>
      </c>
      <c r="L906" s="7" t="s">
        <v>27</v>
      </c>
      <c r="M906" s="7" t="s">
        <v>58</v>
      </c>
      <c r="N906" s="4" t="b">
        <v>1</v>
      </c>
      <c r="O906" s="4">
        <v>113</v>
      </c>
      <c r="P906" s="7" t="s">
        <v>50</v>
      </c>
      <c r="Q906" s="4">
        <v>8</v>
      </c>
      <c r="R906" s="4">
        <v>2</v>
      </c>
      <c r="S906" s="4">
        <v>2983</v>
      </c>
      <c r="T906" s="8" t="s">
        <v>30</v>
      </c>
      <c r="U906" t="str">
        <f>IF(OR(E906&lt;'Q1'!$E$13,E906&gt;'Q1'!$E$14),"Outliers","Not an Outliers")</f>
        <v>Not an Outliers</v>
      </c>
      <c r="V906" t="str">
        <f t="shared" si="14"/>
        <v>Weekend</v>
      </c>
    </row>
    <row r="907" spans="1:22" x14ac:dyDescent="0.3">
      <c r="A907" s="24">
        <v>45641</v>
      </c>
      <c r="B907" s="9" t="s">
        <v>75</v>
      </c>
      <c r="C907" s="9" t="s">
        <v>56</v>
      </c>
      <c r="D907" s="9" t="s">
        <v>22</v>
      </c>
      <c r="E907" s="5">
        <v>9777</v>
      </c>
      <c r="F907" s="5" t="b">
        <v>0</v>
      </c>
      <c r="G907" s="9" t="s">
        <v>65</v>
      </c>
      <c r="H907" s="9" t="s">
        <v>70</v>
      </c>
      <c r="I907" s="9" t="s">
        <v>25</v>
      </c>
      <c r="J907" s="9" t="s">
        <v>48</v>
      </c>
      <c r="K907" s="5">
        <v>5</v>
      </c>
      <c r="L907" s="9" t="s">
        <v>36</v>
      </c>
      <c r="M907" s="9" t="s">
        <v>28</v>
      </c>
      <c r="N907" s="5" t="b">
        <v>1</v>
      </c>
      <c r="O907" s="5">
        <v>99</v>
      </c>
      <c r="P907" s="9" t="s">
        <v>37</v>
      </c>
      <c r="Q907" s="5">
        <v>3</v>
      </c>
      <c r="R907" s="5">
        <v>3</v>
      </c>
      <c r="S907" s="5">
        <v>4191</v>
      </c>
      <c r="T907" s="10" t="s">
        <v>51</v>
      </c>
      <c r="U907" t="str">
        <f>IF(OR(E907&lt;'Q1'!$E$13,E907&gt;'Q1'!$E$14),"Outliers","Not an Outliers")</f>
        <v>Not an Outliers</v>
      </c>
      <c r="V907" t="str">
        <f t="shared" si="14"/>
        <v>Weekend</v>
      </c>
    </row>
    <row r="908" spans="1:22" x14ac:dyDescent="0.3">
      <c r="A908" s="23">
        <v>45642</v>
      </c>
      <c r="B908" s="7" t="s">
        <v>44</v>
      </c>
      <c r="C908" s="7" t="s">
        <v>60</v>
      </c>
      <c r="D908" s="7" t="s">
        <v>61</v>
      </c>
      <c r="E908" s="4">
        <v>1000</v>
      </c>
      <c r="F908" s="4" t="b">
        <v>0</v>
      </c>
      <c r="G908" s="7" t="s">
        <v>34</v>
      </c>
      <c r="H908" s="7" t="s">
        <v>41</v>
      </c>
      <c r="I908" s="7" t="s">
        <v>25</v>
      </c>
      <c r="J908" s="7" t="s">
        <v>26</v>
      </c>
      <c r="K908" s="4">
        <v>3</v>
      </c>
      <c r="L908" s="7" t="s">
        <v>27</v>
      </c>
      <c r="M908" s="7" t="s">
        <v>66</v>
      </c>
      <c r="N908" s="4" t="b">
        <v>0</v>
      </c>
      <c r="O908" s="4">
        <v>107</v>
      </c>
      <c r="P908" s="7" t="s">
        <v>29</v>
      </c>
      <c r="Q908" s="4">
        <v>7</v>
      </c>
      <c r="R908" s="4">
        <v>3</v>
      </c>
      <c r="S908" s="4">
        <v>2747</v>
      </c>
      <c r="T908" s="8" t="s">
        <v>30</v>
      </c>
      <c r="U908" t="str">
        <f>IF(OR(E908&lt;'Q1'!$E$13,E908&gt;'Q1'!$E$14),"Outliers","Not an Outliers")</f>
        <v>Not an Outliers</v>
      </c>
      <c r="V908" t="str">
        <f t="shared" si="14"/>
        <v>Weekday</v>
      </c>
    </row>
    <row r="909" spans="1:22" x14ac:dyDescent="0.3">
      <c r="A909" s="24">
        <v>45642</v>
      </c>
      <c r="B909" s="9" t="s">
        <v>71</v>
      </c>
      <c r="C909" s="9" t="s">
        <v>45</v>
      </c>
      <c r="D909" s="9" t="s">
        <v>46</v>
      </c>
      <c r="E909" s="5">
        <v>2682</v>
      </c>
      <c r="F909" s="5" t="b">
        <v>0</v>
      </c>
      <c r="G909" s="9" t="s">
        <v>65</v>
      </c>
      <c r="H909" s="9" t="s">
        <v>35</v>
      </c>
      <c r="I909" s="9" t="s">
        <v>25</v>
      </c>
      <c r="J909" s="9" t="s">
        <v>48</v>
      </c>
      <c r="K909" s="5">
        <v>5</v>
      </c>
      <c r="L909" s="9" t="s">
        <v>49</v>
      </c>
      <c r="M909" s="9" t="s">
        <v>28</v>
      </c>
      <c r="N909" s="5" t="b">
        <v>0</v>
      </c>
      <c r="O909" s="5">
        <v>91</v>
      </c>
      <c r="P909" s="9" t="s">
        <v>63</v>
      </c>
      <c r="Q909" s="5">
        <v>10</v>
      </c>
      <c r="R909" s="5">
        <v>1</v>
      </c>
      <c r="S909" s="5">
        <v>4847</v>
      </c>
      <c r="T909" s="10" t="s">
        <v>51</v>
      </c>
      <c r="U909" t="str">
        <f>IF(OR(E909&lt;'Q1'!$E$13,E909&gt;'Q1'!$E$14),"Outliers","Not an Outliers")</f>
        <v>Not an Outliers</v>
      </c>
      <c r="V909" t="str">
        <f t="shared" si="14"/>
        <v>Weekday</v>
      </c>
    </row>
    <row r="910" spans="1:22" x14ac:dyDescent="0.3">
      <c r="A910" s="23">
        <v>45642</v>
      </c>
      <c r="B910" s="7" t="s">
        <v>20</v>
      </c>
      <c r="C910" s="7" t="s">
        <v>32</v>
      </c>
      <c r="D910" s="7" t="s">
        <v>22</v>
      </c>
      <c r="E910" s="4">
        <v>7609</v>
      </c>
      <c r="F910" s="4" t="b">
        <v>0</v>
      </c>
      <c r="G910" s="7" t="s">
        <v>40</v>
      </c>
      <c r="H910" s="7" t="s">
        <v>24</v>
      </c>
      <c r="I910" s="7" t="s">
        <v>42</v>
      </c>
      <c r="J910" s="7" t="s">
        <v>54</v>
      </c>
      <c r="K910" s="4">
        <v>1</v>
      </c>
      <c r="L910" s="7" t="s">
        <v>27</v>
      </c>
      <c r="M910" s="7" t="s">
        <v>28</v>
      </c>
      <c r="N910" s="4" t="b">
        <v>0</v>
      </c>
      <c r="O910" s="4">
        <v>83</v>
      </c>
      <c r="P910" s="7" t="s">
        <v>63</v>
      </c>
      <c r="Q910" s="4">
        <v>5</v>
      </c>
      <c r="R910" s="4">
        <v>1</v>
      </c>
      <c r="S910" s="4">
        <v>4706</v>
      </c>
      <c r="T910" s="8" t="s">
        <v>38</v>
      </c>
      <c r="U910" t="str">
        <f>IF(OR(E910&lt;'Q1'!$E$13,E910&gt;'Q1'!$E$14),"Outliers","Not an Outliers")</f>
        <v>Not an Outliers</v>
      </c>
      <c r="V910" t="str">
        <f t="shared" si="14"/>
        <v>Weekday</v>
      </c>
    </row>
    <row r="911" spans="1:22" x14ac:dyDescent="0.3">
      <c r="A911" s="24">
        <v>45642</v>
      </c>
      <c r="B911" s="9" t="s">
        <v>68</v>
      </c>
      <c r="C911" s="9" t="s">
        <v>56</v>
      </c>
      <c r="D911" s="9" t="s">
        <v>53</v>
      </c>
      <c r="E911" s="5">
        <v>2386</v>
      </c>
      <c r="F911" s="5" t="b">
        <v>0</v>
      </c>
      <c r="G911" s="9" t="s">
        <v>40</v>
      </c>
      <c r="H911" s="9" t="s">
        <v>70</v>
      </c>
      <c r="I911" s="9" t="s">
        <v>25</v>
      </c>
      <c r="J911" s="9" t="s">
        <v>26</v>
      </c>
      <c r="K911" s="5">
        <v>4</v>
      </c>
      <c r="L911" s="9" t="s">
        <v>49</v>
      </c>
      <c r="M911" s="9" t="s">
        <v>66</v>
      </c>
      <c r="N911" s="5" t="b">
        <v>1</v>
      </c>
      <c r="O911" s="5">
        <v>120</v>
      </c>
      <c r="P911" s="9" t="s">
        <v>29</v>
      </c>
      <c r="Q911" s="5">
        <v>9</v>
      </c>
      <c r="R911" s="5">
        <v>2</v>
      </c>
      <c r="S911" s="5">
        <v>2520</v>
      </c>
      <c r="T911" s="10" t="s">
        <v>51</v>
      </c>
      <c r="U911" t="str">
        <f>IF(OR(E911&lt;'Q1'!$E$13,E911&gt;'Q1'!$E$14),"Outliers","Not an Outliers")</f>
        <v>Not an Outliers</v>
      </c>
      <c r="V911" t="str">
        <f t="shared" si="14"/>
        <v>Weekday</v>
      </c>
    </row>
    <row r="912" spans="1:22" x14ac:dyDescent="0.3">
      <c r="A912" s="23">
        <v>45642</v>
      </c>
      <c r="B912" s="7" t="s">
        <v>20</v>
      </c>
      <c r="C912" s="7" t="s">
        <v>32</v>
      </c>
      <c r="D912" s="7" t="s">
        <v>46</v>
      </c>
      <c r="E912" s="4">
        <v>1373</v>
      </c>
      <c r="F912" s="4" t="b">
        <v>0</v>
      </c>
      <c r="G912" s="7" t="s">
        <v>65</v>
      </c>
      <c r="H912" s="7" t="s">
        <v>35</v>
      </c>
      <c r="I912" s="7" t="s">
        <v>59</v>
      </c>
      <c r="J912" s="7" t="s">
        <v>26</v>
      </c>
      <c r="K912" s="4">
        <v>0</v>
      </c>
      <c r="L912" s="7" t="s">
        <v>36</v>
      </c>
      <c r="M912" s="7" t="s">
        <v>66</v>
      </c>
      <c r="N912" s="4" t="b">
        <v>0</v>
      </c>
      <c r="O912" s="4">
        <v>21</v>
      </c>
      <c r="P912" s="7" t="s">
        <v>29</v>
      </c>
      <c r="Q912" s="4">
        <v>8</v>
      </c>
      <c r="R912" s="4">
        <v>3</v>
      </c>
      <c r="S912" s="4">
        <v>959</v>
      </c>
      <c r="T912" s="8" t="s">
        <v>51</v>
      </c>
      <c r="U912" t="str">
        <f>IF(OR(E912&lt;'Q1'!$E$13,E912&gt;'Q1'!$E$14),"Outliers","Not an Outliers")</f>
        <v>Not an Outliers</v>
      </c>
      <c r="V912" t="str">
        <f t="shared" si="14"/>
        <v>Weekday</v>
      </c>
    </row>
    <row r="913" spans="1:22" x14ac:dyDescent="0.3">
      <c r="A913" s="24">
        <v>45642</v>
      </c>
      <c r="B913" s="9" t="s">
        <v>69</v>
      </c>
      <c r="C913" s="9" t="s">
        <v>45</v>
      </c>
      <c r="D913" s="9" t="s">
        <v>46</v>
      </c>
      <c r="E913" s="5">
        <v>2252</v>
      </c>
      <c r="F913" s="5" t="b">
        <v>1</v>
      </c>
      <c r="G913" s="9" t="s">
        <v>64</v>
      </c>
      <c r="H913" s="9" t="s">
        <v>70</v>
      </c>
      <c r="I913" s="9" t="s">
        <v>25</v>
      </c>
      <c r="J913" s="9" t="s">
        <v>54</v>
      </c>
      <c r="K913" s="5">
        <v>3</v>
      </c>
      <c r="L913" s="9" t="s">
        <v>36</v>
      </c>
      <c r="M913" s="9" t="s">
        <v>28</v>
      </c>
      <c r="N913" s="5" t="b">
        <v>0</v>
      </c>
      <c r="O913" s="5">
        <v>75</v>
      </c>
      <c r="P913" s="9" t="s">
        <v>29</v>
      </c>
      <c r="Q913" s="5">
        <v>5</v>
      </c>
      <c r="R913" s="5">
        <v>1</v>
      </c>
      <c r="S913" s="5">
        <v>2661</v>
      </c>
      <c r="T913" s="10" t="s">
        <v>51</v>
      </c>
      <c r="U913" t="str">
        <f>IF(OR(E913&lt;'Q1'!$E$13,E913&gt;'Q1'!$E$14),"Outliers","Not an Outliers")</f>
        <v>Not an Outliers</v>
      </c>
      <c r="V913" t="str">
        <f t="shared" si="14"/>
        <v>Weekday</v>
      </c>
    </row>
    <row r="914" spans="1:22" x14ac:dyDescent="0.3">
      <c r="A914" s="23">
        <v>45642</v>
      </c>
      <c r="B914" s="7" t="s">
        <v>75</v>
      </c>
      <c r="C914" s="7" t="s">
        <v>32</v>
      </c>
      <c r="D914" s="7" t="s">
        <v>57</v>
      </c>
      <c r="E914" s="4">
        <v>1000</v>
      </c>
      <c r="F914" s="4" t="b">
        <v>1</v>
      </c>
      <c r="G914" s="7" t="s">
        <v>65</v>
      </c>
      <c r="H914" s="7" t="s">
        <v>41</v>
      </c>
      <c r="I914" s="7" t="s">
        <v>59</v>
      </c>
      <c r="J914" s="7" t="s">
        <v>43</v>
      </c>
      <c r="K914" s="4">
        <v>4</v>
      </c>
      <c r="L914" s="7" t="s">
        <v>49</v>
      </c>
      <c r="M914" s="7" t="s">
        <v>73</v>
      </c>
      <c r="N914" s="4" t="b">
        <v>1</v>
      </c>
      <c r="O914" s="4">
        <v>48</v>
      </c>
      <c r="P914" s="7" t="s">
        <v>50</v>
      </c>
      <c r="Q914" s="4">
        <v>4</v>
      </c>
      <c r="R914" s="4">
        <v>3</v>
      </c>
      <c r="S914" s="4">
        <v>3818</v>
      </c>
      <c r="T914" s="8" t="s">
        <v>38</v>
      </c>
      <c r="U914" t="str">
        <f>IF(OR(E914&lt;'Q1'!$E$13,E914&gt;'Q1'!$E$14),"Outliers","Not an Outliers")</f>
        <v>Not an Outliers</v>
      </c>
      <c r="V914" t="str">
        <f t="shared" si="14"/>
        <v>Weekday</v>
      </c>
    </row>
    <row r="915" spans="1:22" x14ac:dyDescent="0.3">
      <c r="A915" s="24">
        <v>45643</v>
      </c>
      <c r="B915" s="9" t="s">
        <v>72</v>
      </c>
      <c r="C915" s="9" t="s">
        <v>56</v>
      </c>
      <c r="D915" s="9" t="s">
        <v>57</v>
      </c>
      <c r="E915" s="5">
        <v>1000</v>
      </c>
      <c r="F915" s="5" t="b">
        <v>0</v>
      </c>
      <c r="G915" s="9" t="s">
        <v>23</v>
      </c>
      <c r="H915" s="9" t="s">
        <v>70</v>
      </c>
      <c r="I915" s="9" t="s">
        <v>59</v>
      </c>
      <c r="J915" s="9" t="s">
        <v>48</v>
      </c>
      <c r="K915" s="5">
        <v>1</v>
      </c>
      <c r="L915" s="9" t="s">
        <v>49</v>
      </c>
      <c r="M915" s="9" t="s">
        <v>73</v>
      </c>
      <c r="N915" s="5" t="b">
        <v>0</v>
      </c>
      <c r="O915" s="5">
        <v>57</v>
      </c>
      <c r="P915" s="9" t="s">
        <v>63</v>
      </c>
      <c r="Q915" s="5">
        <v>5</v>
      </c>
      <c r="R915" s="5">
        <v>2</v>
      </c>
      <c r="S915" s="5">
        <v>4345</v>
      </c>
      <c r="T915" s="10" t="s">
        <v>30</v>
      </c>
      <c r="U915" t="str">
        <f>IF(OR(E915&lt;'Q1'!$E$13,E915&gt;'Q1'!$E$14),"Outliers","Not an Outliers")</f>
        <v>Not an Outliers</v>
      </c>
      <c r="V915" t="str">
        <f t="shared" si="14"/>
        <v>Weekday</v>
      </c>
    </row>
    <row r="916" spans="1:22" x14ac:dyDescent="0.3">
      <c r="A916" s="23">
        <v>45643</v>
      </c>
      <c r="B916" s="7" t="s">
        <v>72</v>
      </c>
      <c r="C916" s="7" t="s">
        <v>56</v>
      </c>
      <c r="D916" s="7" t="s">
        <v>53</v>
      </c>
      <c r="E916" s="4">
        <v>2658</v>
      </c>
      <c r="F916" s="4" t="b">
        <v>0</v>
      </c>
      <c r="G916" s="7" t="s">
        <v>64</v>
      </c>
      <c r="H916" s="7" t="s">
        <v>35</v>
      </c>
      <c r="I916" s="7" t="s">
        <v>47</v>
      </c>
      <c r="J916" s="7" t="s">
        <v>54</v>
      </c>
      <c r="K916" s="4">
        <v>2</v>
      </c>
      <c r="L916" s="7" t="s">
        <v>27</v>
      </c>
      <c r="M916" s="7" t="s">
        <v>73</v>
      </c>
      <c r="N916" s="4" t="b">
        <v>1</v>
      </c>
      <c r="O916" s="4">
        <v>11</v>
      </c>
      <c r="P916" s="7" t="s">
        <v>67</v>
      </c>
      <c r="Q916" s="4">
        <v>4</v>
      </c>
      <c r="R916" s="4">
        <v>3</v>
      </c>
      <c r="S916" s="4">
        <v>549</v>
      </c>
      <c r="T916" s="8" t="s">
        <v>38</v>
      </c>
      <c r="U916" t="str">
        <f>IF(OR(E916&lt;'Q1'!$E$13,E916&gt;'Q1'!$E$14),"Outliers","Not an Outliers")</f>
        <v>Not an Outliers</v>
      </c>
      <c r="V916" t="str">
        <f t="shared" si="14"/>
        <v>Weekday</v>
      </c>
    </row>
    <row r="917" spans="1:22" x14ac:dyDescent="0.3">
      <c r="A917" s="24">
        <v>45643</v>
      </c>
      <c r="B917" s="9" t="s">
        <v>77</v>
      </c>
      <c r="C917" s="9" t="s">
        <v>21</v>
      </c>
      <c r="D917" s="9" t="s">
        <v>46</v>
      </c>
      <c r="E917" s="5">
        <v>2927</v>
      </c>
      <c r="F917" s="5" t="b">
        <v>1</v>
      </c>
      <c r="G917" s="9" t="s">
        <v>64</v>
      </c>
      <c r="H917" s="9" t="s">
        <v>24</v>
      </c>
      <c r="I917" s="9" t="s">
        <v>47</v>
      </c>
      <c r="J917" s="9" t="s">
        <v>26</v>
      </c>
      <c r="K917" s="5">
        <v>1</v>
      </c>
      <c r="L917" s="9" t="s">
        <v>27</v>
      </c>
      <c r="M917" s="9" t="s">
        <v>66</v>
      </c>
      <c r="N917" s="5" t="b">
        <v>1</v>
      </c>
      <c r="O917" s="5">
        <v>66</v>
      </c>
      <c r="P917" s="9" t="s">
        <v>37</v>
      </c>
      <c r="Q917" s="5">
        <v>4</v>
      </c>
      <c r="R917" s="5">
        <v>1</v>
      </c>
      <c r="S917" s="5">
        <v>3337</v>
      </c>
      <c r="T917" s="10" t="s">
        <v>51</v>
      </c>
      <c r="U917" t="str">
        <f>IF(OR(E917&lt;'Q1'!$E$13,E917&gt;'Q1'!$E$14),"Outliers","Not an Outliers")</f>
        <v>Not an Outliers</v>
      </c>
      <c r="V917" t="str">
        <f t="shared" si="14"/>
        <v>Weekday</v>
      </c>
    </row>
    <row r="918" spans="1:22" x14ac:dyDescent="0.3">
      <c r="A918" s="23">
        <v>45643</v>
      </c>
      <c r="B918" s="7" t="s">
        <v>39</v>
      </c>
      <c r="C918" s="7" t="s">
        <v>56</v>
      </c>
      <c r="D918" s="7" t="s">
        <v>57</v>
      </c>
      <c r="E918" s="4">
        <v>1000</v>
      </c>
      <c r="F918" s="4" t="b">
        <v>1</v>
      </c>
      <c r="G918" s="7" t="s">
        <v>34</v>
      </c>
      <c r="H918" s="7" t="s">
        <v>41</v>
      </c>
      <c r="I918" s="7" t="s">
        <v>25</v>
      </c>
      <c r="J918" s="7" t="s">
        <v>48</v>
      </c>
      <c r="K918" s="4">
        <v>5</v>
      </c>
      <c r="L918" s="7" t="s">
        <v>36</v>
      </c>
      <c r="M918" s="7" t="s">
        <v>58</v>
      </c>
      <c r="N918" s="4" t="b">
        <v>1</v>
      </c>
      <c r="O918" s="4">
        <v>80</v>
      </c>
      <c r="P918" s="7" t="s">
        <v>29</v>
      </c>
      <c r="Q918" s="4">
        <v>1</v>
      </c>
      <c r="R918" s="4">
        <v>1</v>
      </c>
      <c r="S918" s="4">
        <v>4974</v>
      </c>
      <c r="T918" s="8" t="s">
        <v>30</v>
      </c>
      <c r="U918" t="str">
        <f>IF(OR(E918&lt;'Q1'!$E$13,E918&gt;'Q1'!$E$14),"Outliers","Not an Outliers")</f>
        <v>Not an Outliers</v>
      </c>
      <c r="V918" t="str">
        <f t="shared" si="14"/>
        <v>Weekday</v>
      </c>
    </row>
    <row r="919" spans="1:22" x14ac:dyDescent="0.3">
      <c r="A919" s="24">
        <v>45644</v>
      </c>
      <c r="B919" s="9" t="s">
        <v>72</v>
      </c>
      <c r="C919" s="9" t="s">
        <v>21</v>
      </c>
      <c r="D919" s="9" t="s">
        <v>22</v>
      </c>
      <c r="E919" s="5">
        <v>6565</v>
      </c>
      <c r="F919" s="5" t="b">
        <v>0</v>
      </c>
      <c r="G919" s="9" t="s">
        <v>34</v>
      </c>
      <c r="H919" s="9" t="s">
        <v>24</v>
      </c>
      <c r="I919" s="9" t="s">
        <v>25</v>
      </c>
      <c r="J919" s="9" t="s">
        <v>26</v>
      </c>
      <c r="K919" s="5">
        <v>1</v>
      </c>
      <c r="L919" s="9" t="s">
        <v>36</v>
      </c>
      <c r="M919" s="9" t="s">
        <v>28</v>
      </c>
      <c r="N919" s="5" t="b">
        <v>0</v>
      </c>
      <c r="O919" s="5">
        <v>33</v>
      </c>
      <c r="P919" s="9" t="s">
        <v>50</v>
      </c>
      <c r="Q919" s="5">
        <v>6</v>
      </c>
      <c r="R919" s="5">
        <v>1</v>
      </c>
      <c r="S919" s="5">
        <v>677</v>
      </c>
      <c r="T919" s="10" t="s">
        <v>38</v>
      </c>
      <c r="U919" t="str">
        <f>IF(OR(E919&lt;'Q1'!$E$13,E919&gt;'Q1'!$E$14),"Outliers","Not an Outliers")</f>
        <v>Not an Outliers</v>
      </c>
      <c r="V919" t="str">
        <f t="shared" si="14"/>
        <v>Weekday</v>
      </c>
    </row>
    <row r="920" spans="1:22" x14ac:dyDescent="0.3">
      <c r="A920" s="23">
        <v>45645</v>
      </c>
      <c r="B920" s="7" t="s">
        <v>76</v>
      </c>
      <c r="C920" s="7" t="s">
        <v>32</v>
      </c>
      <c r="D920" s="7" t="s">
        <v>57</v>
      </c>
      <c r="E920" s="4">
        <v>1000</v>
      </c>
      <c r="F920" s="4" t="b">
        <v>0</v>
      </c>
      <c r="G920" s="7" t="s">
        <v>40</v>
      </c>
      <c r="H920" s="7" t="s">
        <v>70</v>
      </c>
      <c r="I920" s="7" t="s">
        <v>25</v>
      </c>
      <c r="J920" s="7" t="s">
        <v>48</v>
      </c>
      <c r="K920" s="4">
        <v>5</v>
      </c>
      <c r="L920" s="7" t="s">
        <v>27</v>
      </c>
      <c r="M920" s="7" t="s">
        <v>58</v>
      </c>
      <c r="N920" s="4" t="b">
        <v>0</v>
      </c>
      <c r="O920" s="4">
        <v>85</v>
      </c>
      <c r="P920" s="7" t="s">
        <v>29</v>
      </c>
      <c r="Q920" s="4">
        <v>3</v>
      </c>
      <c r="R920" s="4">
        <v>2</v>
      </c>
      <c r="S920" s="4">
        <v>1543</v>
      </c>
      <c r="T920" s="8" t="s">
        <v>30</v>
      </c>
      <c r="U920" t="str">
        <f>IF(OR(E920&lt;'Q1'!$E$13,E920&gt;'Q1'!$E$14),"Outliers","Not an Outliers")</f>
        <v>Not an Outliers</v>
      </c>
      <c r="V920" t="str">
        <f t="shared" si="14"/>
        <v>Weekday</v>
      </c>
    </row>
    <row r="921" spans="1:22" x14ac:dyDescent="0.3">
      <c r="A921" s="24">
        <v>45645</v>
      </c>
      <c r="B921" s="9" t="s">
        <v>71</v>
      </c>
      <c r="C921" s="9" t="s">
        <v>32</v>
      </c>
      <c r="D921" s="9" t="s">
        <v>53</v>
      </c>
      <c r="E921" s="5">
        <v>5401</v>
      </c>
      <c r="F921" s="5" t="b">
        <v>0</v>
      </c>
      <c r="G921" s="9" t="s">
        <v>34</v>
      </c>
      <c r="H921" s="9" t="s">
        <v>24</v>
      </c>
      <c r="I921" s="9" t="s">
        <v>25</v>
      </c>
      <c r="J921" s="9" t="s">
        <v>26</v>
      </c>
      <c r="K921" s="5">
        <v>5</v>
      </c>
      <c r="L921" s="9" t="s">
        <v>27</v>
      </c>
      <c r="M921" s="9" t="s">
        <v>66</v>
      </c>
      <c r="N921" s="5" t="b">
        <v>1</v>
      </c>
      <c r="O921" s="5">
        <v>3</v>
      </c>
      <c r="P921" s="9" t="s">
        <v>37</v>
      </c>
      <c r="Q921" s="5">
        <v>6</v>
      </c>
      <c r="R921" s="5">
        <v>3</v>
      </c>
      <c r="S921" s="5">
        <v>4212</v>
      </c>
      <c r="T921" s="10" t="s">
        <v>51</v>
      </c>
      <c r="U921" t="str">
        <f>IF(OR(E921&lt;'Q1'!$E$13,E921&gt;'Q1'!$E$14),"Outliers","Not an Outliers")</f>
        <v>Not an Outliers</v>
      </c>
      <c r="V921" t="str">
        <f t="shared" si="14"/>
        <v>Weekday</v>
      </c>
    </row>
    <row r="922" spans="1:22" x14ac:dyDescent="0.3">
      <c r="A922" s="23">
        <v>45646</v>
      </c>
      <c r="B922" s="7" t="s">
        <v>52</v>
      </c>
      <c r="C922" s="7" t="s">
        <v>21</v>
      </c>
      <c r="D922" s="7" t="s">
        <v>33</v>
      </c>
      <c r="E922" s="4">
        <v>2751</v>
      </c>
      <c r="F922" s="4" t="b">
        <v>0</v>
      </c>
      <c r="G922" s="7" t="s">
        <v>65</v>
      </c>
      <c r="H922" s="7" t="s">
        <v>70</v>
      </c>
      <c r="I922" s="7" t="s">
        <v>59</v>
      </c>
      <c r="J922" s="7" t="s">
        <v>26</v>
      </c>
      <c r="K922" s="4">
        <v>1</v>
      </c>
      <c r="L922" s="7" t="s">
        <v>36</v>
      </c>
      <c r="M922" s="7" t="s">
        <v>28</v>
      </c>
      <c r="N922" s="4" t="b">
        <v>0</v>
      </c>
      <c r="O922" s="4">
        <v>112</v>
      </c>
      <c r="P922" s="7" t="s">
        <v>50</v>
      </c>
      <c r="Q922" s="4">
        <v>7</v>
      </c>
      <c r="R922" s="4">
        <v>2</v>
      </c>
      <c r="S922" s="4">
        <v>4654</v>
      </c>
      <c r="T922" s="8" t="s">
        <v>51</v>
      </c>
      <c r="U922" t="str">
        <f>IF(OR(E922&lt;'Q1'!$E$13,E922&gt;'Q1'!$E$14),"Outliers","Not an Outliers")</f>
        <v>Not an Outliers</v>
      </c>
      <c r="V922" t="str">
        <f t="shared" si="14"/>
        <v>Weekday</v>
      </c>
    </row>
    <row r="923" spans="1:22" x14ac:dyDescent="0.3">
      <c r="A923" s="24">
        <v>45646</v>
      </c>
      <c r="B923" s="9" t="s">
        <v>62</v>
      </c>
      <c r="C923" s="9" t="s">
        <v>56</v>
      </c>
      <c r="D923" s="9" t="s">
        <v>22</v>
      </c>
      <c r="E923" s="5">
        <v>8532</v>
      </c>
      <c r="F923" s="5" t="b">
        <v>1</v>
      </c>
      <c r="G923" s="9" t="s">
        <v>64</v>
      </c>
      <c r="H923" s="9" t="s">
        <v>70</v>
      </c>
      <c r="I923" s="9" t="s">
        <v>59</v>
      </c>
      <c r="J923" s="9" t="s">
        <v>26</v>
      </c>
      <c r="K923" s="5">
        <v>2</v>
      </c>
      <c r="L923" s="9" t="s">
        <v>49</v>
      </c>
      <c r="M923" s="9" t="s">
        <v>58</v>
      </c>
      <c r="N923" s="5" t="b">
        <v>0</v>
      </c>
      <c r="O923" s="5">
        <v>115</v>
      </c>
      <c r="P923" s="9" t="s">
        <v>37</v>
      </c>
      <c r="Q923" s="5">
        <v>10</v>
      </c>
      <c r="R923" s="5">
        <v>2</v>
      </c>
      <c r="S923" s="5">
        <v>3259</v>
      </c>
      <c r="T923" s="10" t="s">
        <v>30</v>
      </c>
      <c r="U923" t="str">
        <f>IF(OR(E923&lt;'Q1'!$E$13,E923&gt;'Q1'!$E$14),"Outliers","Not an Outliers")</f>
        <v>Not an Outliers</v>
      </c>
      <c r="V923" t="str">
        <f t="shared" si="14"/>
        <v>Weekday</v>
      </c>
    </row>
    <row r="924" spans="1:22" x14ac:dyDescent="0.3">
      <c r="A924" s="23">
        <v>45646</v>
      </c>
      <c r="B924" s="7" t="s">
        <v>69</v>
      </c>
      <c r="C924" s="7" t="s">
        <v>32</v>
      </c>
      <c r="D924" s="7" t="s">
        <v>53</v>
      </c>
      <c r="E924" s="4">
        <v>2415</v>
      </c>
      <c r="F924" s="4" t="b">
        <v>0</v>
      </c>
      <c r="G924" s="7" t="s">
        <v>40</v>
      </c>
      <c r="H924" s="7" t="s">
        <v>70</v>
      </c>
      <c r="I924" s="7" t="s">
        <v>47</v>
      </c>
      <c r="J924" s="7" t="s">
        <v>43</v>
      </c>
      <c r="K924" s="4">
        <v>1</v>
      </c>
      <c r="L924" s="7" t="s">
        <v>36</v>
      </c>
      <c r="M924" s="7" t="s">
        <v>73</v>
      </c>
      <c r="N924" s="4" t="b">
        <v>1</v>
      </c>
      <c r="O924" s="4">
        <v>62</v>
      </c>
      <c r="P924" s="7" t="s">
        <v>50</v>
      </c>
      <c r="Q924" s="4">
        <v>1</v>
      </c>
      <c r="R924" s="4">
        <v>3</v>
      </c>
      <c r="S924" s="4">
        <v>1541</v>
      </c>
      <c r="T924" s="8" t="s">
        <v>51</v>
      </c>
      <c r="U924" t="str">
        <f>IF(OR(E924&lt;'Q1'!$E$13,E924&gt;'Q1'!$E$14),"Outliers","Not an Outliers")</f>
        <v>Not an Outliers</v>
      </c>
      <c r="V924" t="str">
        <f t="shared" si="14"/>
        <v>Weekday</v>
      </c>
    </row>
    <row r="925" spans="1:22" x14ac:dyDescent="0.3">
      <c r="A925" s="24">
        <v>45646</v>
      </c>
      <c r="B925" s="9" t="s">
        <v>71</v>
      </c>
      <c r="C925" s="9" t="s">
        <v>32</v>
      </c>
      <c r="D925" s="9" t="s">
        <v>53</v>
      </c>
      <c r="E925" s="5">
        <v>3600</v>
      </c>
      <c r="F925" s="5" t="b">
        <v>0</v>
      </c>
      <c r="G925" s="9" t="s">
        <v>64</v>
      </c>
      <c r="H925" s="9" t="s">
        <v>24</v>
      </c>
      <c r="I925" s="9" t="s">
        <v>25</v>
      </c>
      <c r="J925" s="9" t="s">
        <v>48</v>
      </c>
      <c r="K925" s="5">
        <v>5</v>
      </c>
      <c r="L925" s="9" t="s">
        <v>27</v>
      </c>
      <c r="M925" s="9" t="s">
        <v>58</v>
      </c>
      <c r="N925" s="5" t="b">
        <v>0</v>
      </c>
      <c r="O925" s="5">
        <v>1</v>
      </c>
      <c r="P925" s="9" t="s">
        <v>63</v>
      </c>
      <c r="Q925" s="5">
        <v>4</v>
      </c>
      <c r="R925" s="5">
        <v>3</v>
      </c>
      <c r="S925" s="5">
        <v>4887</v>
      </c>
      <c r="T925" s="10" t="s">
        <v>30</v>
      </c>
      <c r="U925" t="str">
        <f>IF(OR(E925&lt;'Q1'!$E$13,E925&gt;'Q1'!$E$14),"Outliers","Not an Outliers")</f>
        <v>Not an Outliers</v>
      </c>
      <c r="V925" t="str">
        <f t="shared" si="14"/>
        <v>Weekday</v>
      </c>
    </row>
    <row r="926" spans="1:22" x14ac:dyDescent="0.3">
      <c r="A926" s="23">
        <v>45647</v>
      </c>
      <c r="B926" s="7" t="s">
        <v>77</v>
      </c>
      <c r="C926" s="7" t="s">
        <v>56</v>
      </c>
      <c r="D926" s="7" t="s">
        <v>53</v>
      </c>
      <c r="E926" s="4">
        <v>5038</v>
      </c>
      <c r="F926" s="4" t="b">
        <v>0</v>
      </c>
      <c r="G926" s="7" t="s">
        <v>34</v>
      </c>
      <c r="H926" s="7" t="s">
        <v>24</v>
      </c>
      <c r="I926" s="7" t="s">
        <v>42</v>
      </c>
      <c r="J926" s="7" t="s">
        <v>43</v>
      </c>
      <c r="K926" s="4">
        <v>2</v>
      </c>
      <c r="L926" s="7" t="s">
        <v>49</v>
      </c>
      <c r="M926" s="7" t="s">
        <v>58</v>
      </c>
      <c r="N926" s="4" t="b">
        <v>1</v>
      </c>
      <c r="O926" s="4">
        <v>15</v>
      </c>
      <c r="P926" s="7" t="s">
        <v>50</v>
      </c>
      <c r="Q926" s="4">
        <v>1</v>
      </c>
      <c r="R926" s="4">
        <v>1</v>
      </c>
      <c r="S926" s="4">
        <v>1858</v>
      </c>
      <c r="T926" s="8" t="s">
        <v>51</v>
      </c>
      <c r="U926" t="str">
        <f>IF(OR(E926&lt;'Q1'!$E$13,E926&gt;'Q1'!$E$14),"Outliers","Not an Outliers")</f>
        <v>Not an Outliers</v>
      </c>
      <c r="V926" t="str">
        <f t="shared" si="14"/>
        <v>Weekend</v>
      </c>
    </row>
    <row r="927" spans="1:22" x14ac:dyDescent="0.3">
      <c r="A927" s="24">
        <v>45647</v>
      </c>
      <c r="B927" s="9" t="s">
        <v>20</v>
      </c>
      <c r="C927" s="9" t="s">
        <v>60</v>
      </c>
      <c r="D927" s="9" t="s">
        <v>22</v>
      </c>
      <c r="E927" s="5">
        <v>5828</v>
      </c>
      <c r="F927" s="5" t="b">
        <v>0</v>
      </c>
      <c r="G927" s="9" t="s">
        <v>34</v>
      </c>
      <c r="H927" s="9" t="s">
        <v>24</v>
      </c>
      <c r="I927" s="9" t="s">
        <v>59</v>
      </c>
      <c r="J927" s="9" t="s">
        <v>26</v>
      </c>
      <c r="K927" s="5">
        <v>1</v>
      </c>
      <c r="L927" s="9" t="s">
        <v>36</v>
      </c>
      <c r="M927" s="9" t="s">
        <v>58</v>
      </c>
      <c r="N927" s="5" t="b">
        <v>1</v>
      </c>
      <c r="O927" s="5">
        <v>46</v>
      </c>
      <c r="P927" s="9" t="s">
        <v>67</v>
      </c>
      <c r="Q927" s="5">
        <v>9</v>
      </c>
      <c r="R927" s="5">
        <v>1</v>
      </c>
      <c r="S927" s="5">
        <v>4176</v>
      </c>
      <c r="T927" s="10" t="s">
        <v>30</v>
      </c>
      <c r="U927" t="str">
        <f>IF(OR(E927&lt;'Q1'!$E$13,E927&gt;'Q1'!$E$14),"Outliers","Not an Outliers")</f>
        <v>Not an Outliers</v>
      </c>
      <c r="V927" t="str">
        <f t="shared" si="14"/>
        <v>Weekend</v>
      </c>
    </row>
    <row r="928" spans="1:22" x14ac:dyDescent="0.3">
      <c r="A928" s="23">
        <v>45647</v>
      </c>
      <c r="B928" s="7" t="s">
        <v>72</v>
      </c>
      <c r="C928" s="7" t="s">
        <v>21</v>
      </c>
      <c r="D928" s="7" t="s">
        <v>22</v>
      </c>
      <c r="E928" s="4">
        <v>7858</v>
      </c>
      <c r="F928" s="4" t="b">
        <v>1</v>
      </c>
      <c r="G928" s="7" t="s">
        <v>64</v>
      </c>
      <c r="H928" s="7" t="s">
        <v>41</v>
      </c>
      <c r="I928" s="7" t="s">
        <v>25</v>
      </c>
      <c r="J928" s="7" t="s">
        <v>26</v>
      </c>
      <c r="K928" s="4">
        <v>0</v>
      </c>
      <c r="L928" s="7" t="s">
        <v>27</v>
      </c>
      <c r="M928" s="7" t="s">
        <v>58</v>
      </c>
      <c r="N928" s="4" t="b">
        <v>0</v>
      </c>
      <c r="O928" s="4">
        <v>34</v>
      </c>
      <c r="P928" s="7" t="s">
        <v>37</v>
      </c>
      <c r="Q928" s="4">
        <v>2</v>
      </c>
      <c r="R928" s="4">
        <v>1</v>
      </c>
      <c r="S928" s="4">
        <v>3615</v>
      </c>
      <c r="T928" s="8" t="s">
        <v>51</v>
      </c>
      <c r="U928" t="str">
        <f>IF(OR(E928&lt;'Q1'!$E$13,E928&gt;'Q1'!$E$14),"Outliers","Not an Outliers")</f>
        <v>Not an Outliers</v>
      </c>
      <c r="V928" t="str">
        <f t="shared" si="14"/>
        <v>Weekend</v>
      </c>
    </row>
    <row r="929" spans="1:22" x14ac:dyDescent="0.3">
      <c r="A929" s="24">
        <v>45647</v>
      </c>
      <c r="B929" s="9" t="s">
        <v>62</v>
      </c>
      <c r="C929" s="9" t="s">
        <v>56</v>
      </c>
      <c r="D929" s="9" t="s">
        <v>33</v>
      </c>
      <c r="E929" s="5">
        <v>3051</v>
      </c>
      <c r="F929" s="5" t="b">
        <v>0</v>
      </c>
      <c r="G929" s="9" t="s">
        <v>40</v>
      </c>
      <c r="H929" s="9" t="s">
        <v>41</v>
      </c>
      <c r="I929" s="9" t="s">
        <v>42</v>
      </c>
      <c r="J929" s="9" t="s">
        <v>26</v>
      </c>
      <c r="K929" s="5">
        <v>5</v>
      </c>
      <c r="L929" s="9" t="s">
        <v>27</v>
      </c>
      <c r="M929" s="9" t="s">
        <v>28</v>
      </c>
      <c r="N929" s="5" t="b">
        <v>0</v>
      </c>
      <c r="O929" s="5">
        <v>46</v>
      </c>
      <c r="P929" s="9" t="s">
        <v>37</v>
      </c>
      <c r="Q929" s="5">
        <v>3</v>
      </c>
      <c r="R929" s="5">
        <v>2</v>
      </c>
      <c r="S929" s="5">
        <v>3823</v>
      </c>
      <c r="T929" s="10" t="s">
        <v>38</v>
      </c>
      <c r="U929" t="str">
        <f>IF(OR(E929&lt;'Q1'!$E$13,E929&gt;'Q1'!$E$14),"Outliers","Not an Outliers")</f>
        <v>Not an Outliers</v>
      </c>
      <c r="V929" t="str">
        <f t="shared" si="14"/>
        <v>Weekend</v>
      </c>
    </row>
    <row r="930" spans="1:22" x14ac:dyDescent="0.3">
      <c r="A930" s="23">
        <v>45648</v>
      </c>
      <c r="B930" s="7" t="s">
        <v>69</v>
      </c>
      <c r="C930" s="7" t="s">
        <v>60</v>
      </c>
      <c r="D930" s="7" t="s">
        <v>33</v>
      </c>
      <c r="E930" s="4">
        <v>3044</v>
      </c>
      <c r="F930" s="4" t="b">
        <v>0</v>
      </c>
      <c r="G930" s="7" t="s">
        <v>65</v>
      </c>
      <c r="H930" s="7" t="s">
        <v>24</v>
      </c>
      <c r="I930" s="7" t="s">
        <v>59</v>
      </c>
      <c r="J930" s="7" t="s">
        <v>26</v>
      </c>
      <c r="K930" s="4">
        <v>4</v>
      </c>
      <c r="L930" s="7" t="s">
        <v>49</v>
      </c>
      <c r="M930" s="7" t="s">
        <v>73</v>
      </c>
      <c r="N930" s="4" t="b">
        <v>1</v>
      </c>
      <c r="O930" s="4">
        <v>61</v>
      </c>
      <c r="P930" s="7" t="s">
        <v>37</v>
      </c>
      <c r="Q930" s="4">
        <v>4</v>
      </c>
      <c r="R930" s="4">
        <v>1</v>
      </c>
      <c r="S930" s="4">
        <v>1400</v>
      </c>
      <c r="T930" s="8" t="s">
        <v>51</v>
      </c>
      <c r="U930" t="str">
        <f>IF(OR(E930&lt;'Q1'!$E$13,E930&gt;'Q1'!$E$14),"Outliers","Not an Outliers")</f>
        <v>Not an Outliers</v>
      </c>
      <c r="V930" t="str">
        <f t="shared" si="14"/>
        <v>Weekend</v>
      </c>
    </row>
    <row r="931" spans="1:22" x14ac:dyDescent="0.3">
      <c r="A931" s="24">
        <v>45648</v>
      </c>
      <c r="B931" s="9" t="s">
        <v>75</v>
      </c>
      <c r="C931" s="9" t="s">
        <v>56</v>
      </c>
      <c r="D931" s="9" t="s">
        <v>57</v>
      </c>
      <c r="E931" s="5">
        <v>1000</v>
      </c>
      <c r="F931" s="5" t="b">
        <v>0</v>
      </c>
      <c r="G931" s="9" t="s">
        <v>34</v>
      </c>
      <c r="H931" s="9" t="s">
        <v>24</v>
      </c>
      <c r="I931" s="9" t="s">
        <v>59</v>
      </c>
      <c r="J931" s="9" t="s">
        <v>26</v>
      </c>
      <c r="K931" s="5">
        <v>0</v>
      </c>
      <c r="L931" s="9" t="s">
        <v>27</v>
      </c>
      <c r="M931" s="9" t="s">
        <v>66</v>
      </c>
      <c r="N931" s="5" t="b">
        <v>1</v>
      </c>
      <c r="O931" s="5">
        <v>84</v>
      </c>
      <c r="P931" s="9" t="s">
        <v>29</v>
      </c>
      <c r="Q931" s="5">
        <v>9</v>
      </c>
      <c r="R931" s="5">
        <v>3</v>
      </c>
      <c r="S931" s="5">
        <v>3382</v>
      </c>
      <c r="T931" s="10" t="s">
        <v>38</v>
      </c>
      <c r="U931" t="str">
        <f>IF(OR(E931&lt;'Q1'!$E$13,E931&gt;'Q1'!$E$14),"Outliers","Not an Outliers")</f>
        <v>Not an Outliers</v>
      </c>
      <c r="V931" t="str">
        <f t="shared" si="14"/>
        <v>Weekend</v>
      </c>
    </row>
    <row r="932" spans="1:22" x14ac:dyDescent="0.3">
      <c r="A932" s="23">
        <v>45648</v>
      </c>
      <c r="B932" s="7" t="s">
        <v>62</v>
      </c>
      <c r="C932" s="7" t="s">
        <v>32</v>
      </c>
      <c r="D932" s="7" t="s">
        <v>46</v>
      </c>
      <c r="E932" s="4">
        <v>4339</v>
      </c>
      <c r="F932" s="4" t="b">
        <v>0</v>
      </c>
      <c r="G932" s="7" t="s">
        <v>23</v>
      </c>
      <c r="H932" s="7" t="s">
        <v>35</v>
      </c>
      <c r="I932" s="7" t="s">
        <v>42</v>
      </c>
      <c r="J932" s="7" t="s">
        <v>48</v>
      </c>
      <c r="K932" s="4">
        <v>4</v>
      </c>
      <c r="L932" s="7" t="s">
        <v>36</v>
      </c>
      <c r="M932" s="7" t="s">
        <v>66</v>
      </c>
      <c r="N932" s="4" t="b">
        <v>1</v>
      </c>
      <c r="O932" s="4">
        <v>37</v>
      </c>
      <c r="P932" s="7" t="s">
        <v>37</v>
      </c>
      <c r="Q932" s="4">
        <v>1</v>
      </c>
      <c r="R932" s="4">
        <v>1</v>
      </c>
      <c r="S932" s="4">
        <v>2038</v>
      </c>
      <c r="T932" s="8" t="s">
        <v>51</v>
      </c>
      <c r="U932" t="str">
        <f>IF(OR(E932&lt;'Q1'!$E$13,E932&gt;'Q1'!$E$14),"Outliers","Not an Outliers")</f>
        <v>Not an Outliers</v>
      </c>
      <c r="V932" t="str">
        <f t="shared" si="14"/>
        <v>Weekend</v>
      </c>
    </row>
    <row r="933" spans="1:22" x14ac:dyDescent="0.3">
      <c r="A933" s="24">
        <v>45649</v>
      </c>
      <c r="B933" s="9" t="s">
        <v>20</v>
      </c>
      <c r="C933" s="9" t="s">
        <v>45</v>
      </c>
      <c r="D933" s="9" t="s">
        <v>46</v>
      </c>
      <c r="E933" s="5">
        <v>1441</v>
      </c>
      <c r="F933" s="5" t="b">
        <v>0</v>
      </c>
      <c r="G933" s="9" t="s">
        <v>65</v>
      </c>
      <c r="H933" s="9" t="s">
        <v>35</v>
      </c>
      <c r="I933" s="9" t="s">
        <v>25</v>
      </c>
      <c r="J933" s="9" t="s">
        <v>26</v>
      </c>
      <c r="K933" s="5">
        <v>1</v>
      </c>
      <c r="L933" s="9" t="s">
        <v>36</v>
      </c>
      <c r="M933" s="9" t="s">
        <v>28</v>
      </c>
      <c r="N933" s="5" t="b">
        <v>0</v>
      </c>
      <c r="O933" s="5">
        <v>78</v>
      </c>
      <c r="P933" s="9" t="s">
        <v>29</v>
      </c>
      <c r="Q933" s="5">
        <v>8</v>
      </c>
      <c r="R933" s="5">
        <v>3</v>
      </c>
      <c r="S933" s="5">
        <v>4371</v>
      </c>
      <c r="T933" s="10" t="s">
        <v>51</v>
      </c>
      <c r="U933" t="str">
        <f>IF(OR(E933&lt;'Q1'!$E$13,E933&gt;'Q1'!$E$14),"Outliers","Not an Outliers")</f>
        <v>Not an Outliers</v>
      </c>
      <c r="V933" t="str">
        <f t="shared" si="14"/>
        <v>Weekday</v>
      </c>
    </row>
    <row r="934" spans="1:22" x14ac:dyDescent="0.3">
      <c r="A934" s="23">
        <v>45649</v>
      </c>
      <c r="B934" s="7" t="s">
        <v>71</v>
      </c>
      <c r="C934" s="7" t="s">
        <v>56</v>
      </c>
      <c r="D934" s="7" t="s">
        <v>22</v>
      </c>
      <c r="E934" s="4">
        <v>7370</v>
      </c>
      <c r="F934" s="4" t="b">
        <v>1</v>
      </c>
      <c r="G934" s="7" t="s">
        <v>64</v>
      </c>
      <c r="H934" s="7" t="s">
        <v>41</v>
      </c>
      <c r="I934" s="7" t="s">
        <v>42</v>
      </c>
      <c r="J934" s="7" t="s">
        <v>48</v>
      </c>
      <c r="K934" s="4">
        <v>2</v>
      </c>
      <c r="L934" s="7" t="s">
        <v>49</v>
      </c>
      <c r="M934" s="7" t="s">
        <v>28</v>
      </c>
      <c r="N934" s="4" t="b">
        <v>0</v>
      </c>
      <c r="O934" s="4">
        <v>9</v>
      </c>
      <c r="P934" s="7" t="s">
        <v>37</v>
      </c>
      <c r="Q934" s="4">
        <v>2</v>
      </c>
      <c r="R934" s="4">
        <v>2</v>
      </c>
      <c r="S934" s="4">
        <v>3012</v>
      </c>
      <c r="T934" s="8" t="s">
        <v>38</v>
      </c>
      <c r="U934" t="str">
        <f>IF(OR(E934&lt;'Q1'!$E$13,E934&gt;'Q1'!$E$14),"Outliers","Not an Outliers")</f>
        <v>Not an Outliers</v>
      </c>
      <c r="V934" t="str">
        <f t="shared" si="14"/>
        <v>Weekday</v>
      </c>
    </row>
    <row r="935" spans="1:22" x14ac:dyDescent="0.3">
      <c r="A935" s="24">
        <v>45649</v>
      </c>
      <c r="B935" s="9" t="s">
        <v>39</v>
      </c>
      <c r="C935" s="9" t="s">
        <v>45</v>
      </c>
      <c r="D935" s="9" t="s">
        <v>46</v>
      </c>
      <c r="E935" s="5">
        <v>3435</v>
      </c>
      <c r="F935" s="5" t="b">
        <v>0</v>
      </c>
      <c r="G935" s="9" t="s">
        <v>40</v>
      </c>
      <c r="H935" s="9" t="s">
        <v>35</v>
      </c>
      <c r="I935" s="9" t="s">
        <v>42</v>
      </c>
      <c r="J935" s="9" t="s">
        <v>54</v>
      </c>
      <c r="K935" s="5">
        <v>1</v>
      </c>
      <c r="L935" s="9" t="s">
        <v>36</v>
      </c>
      <c r="M935" s="9" t="s">
        <v>28</v>
      </c>
      <c r="N935" s="5" t="b">
        <v>1</v>
      </c>
      <c r="O935" s="5">
        <v>21</v>
      </c>
      <c r="P935" s="9" t="s">
        <v>29</v>
      </c>
      <c r="Q935" s="5">
        <v>2</v>
      </c>
      <c r="R935" s="5">
        <v>1</v>
      </c>
      <c r="S935" s="5">
        <v>2559</v>
      </c>
      <c r="T935" s="10" t="s">
        <v>38</v>
      </c>
      <c r="U935" t="str">
        <f>IF(OR(E935&lt;'Q1'!$E$13,E935&gt;'Q1'!$E$14),"Outliers","Not an Outliers")</f>
        <v>Not an Outliers</v>
      </c>
      <c r="V935" t="str">
        <f t="shared" si="14"/>
        <v>Weekday</v>
      </c>
    </row>
    <row r="936" spans="1:22" x14ac:dyDescent="0.3">
      <c r="A936" s="23">
        <v>45650</v>
      </c>
      <c r="B936" s="7" t="s">
        <v>20</v>
      </c>
      <c r="C936" s="7" t="s">
        <v>60</v>
      </c>
      <c r="D936" s="7" t="s">
        <v>46</v>
      </c>
      <c r="E936" s="4">
        <v>3506</v>
      </c>
      <c r="F936" s="4" t="b">
        <v>0</v>
      </c>
      <c r="G936" s="7" t="s">
        <v>40</v>
      </c>
      <c r="H936" s="7" t="s">
        <v>35</v>
      </c>
      <c r="I936" s="7" t="s">
        <v>25</v>
      </c>
      <c r="J936" s="7" t="s">
        <v>48</v>
      </c>
      <c r="K936" s="4">
        <v>0</v>
      </c>
      <c r="L936" s="7" t="s">
        <v>49</v>
      </c>
      <c r="M936" s="7" t="s">
        <v>58</v>
      </c>
      <c r="N936" s="4" t="b">
        <v>1</v>
      </c>
      <c r="O936" s="4">
        <v>105</v>
      </c>
      <c r="P936" s="7" t="s">
        <v>37</v>
      </c>
      <c r="Q936" s="4">
        <v>7</v>
      </c>
      <c r="R936" s="4">
        <v>3</v>
      </c>
      <c r="S936" s="4">
        <v>564</v>
      </c>
      <c r="T936" s="8" t="s">
        <v>38</v>
      </c>
      <c r="U936" t="str">
        <f>IF(OR(E936&lt;'Q1'!$E$13,E936&gt;'Q1'!$E$14),"Outliers","Not an Outliers")</f>
        <v>Not an Outliers</v>
      </c>
      <c r="V936" t="str">
        <f t="shared" si="14"/>
        <v>Weekday</v>
      </c>
    </row>
    <row r="937" spans="1:22" x14ac:dyDescent="0.3">
      <c r="A937" s="24">
        <v>45650</v>
      </c>
      <c r="B937" s="9" t="s">
        <v>44</v>
      </c>
      <c r="C937" s="9" t="s">
        <v>60</v>
      </c>
      <c r="D937" s="9" t="s">
        <v>53</v>
      </c>
      <c r="E937" s="5">
        <v>4632</v>
      </c>
      <c r="F937" s="5" t="b">
        <v>0</v>
      </c>
      <c r="G937" s="9" t="s">
        <v>65</v>
      </c>
      <c r="H937" s="9" t="s">
        <v>24</v>
      </c>
      <c r="I937" s="9" t="s">
        <v>25</v>
      </c>
      <c r="J937" s="9" t="s">
        <v>54</v>
      </c>
      <c r="K937" s="5">
        <v>4</v>
      </c>
      <c r="L937" s="9" t="s">
        <v>49</v>
      </c>
      <c r="M937" s="9" t="s">
        <v>28</v>
      </c>
      <c r="N937" s="5" t="b">
        <v>1</v>
      </c>
      <c r="O937" s="5">
        <v>11</v>
      </c>
      <c r="P937" s="9" t="s">
        <v>63</v>
      </c>
      <c r="Q937" s="5">
        <v>4</v>
      </c>
      <c r="R937" s="5">
        <v>2</v>
      </c>
      <c r="S937" s="5">
        <v>2337</v>
      </c>
      <c r="T937" s="10" t="s">
        <v>38</v>
      </c>
      <c r="U937" t="str">
        <f>IF(OR(E937&lt;'Q1'!$E$13,E937&gt;'Q1'!$E$14),"Outliers","Not an Outliers")</f>
        <v>Not an Outliers</v>
      </c>
      <c r="V937" t="str">
        <f t="shared" si="14"/>
        <v>Weekday</v>
      </c>
    </row>
    <row r="938" spans="1:22" x14ac:dyDescent="0.3">
      <c r="A938" s="23">
        <v>45650</v>
      </c>
      <c r="B938" s="7" t="s">
        <v>68</v>
      </c>
      <c r="C938" s="7" t="s">
        <v>56</v>
      </c>
      <c r="D938" s="7" t="s">
        <v>53</v>
      </c>
      <c r="E938" s="4">
        <v>7986</v>
      </c>
      <c r="F938" s="4" t="b">
        <v>0</v>
      </c>
      <c r="G938" s="7" t="s">
        <v>34</v>
      </c>
      <c r="H938" s="7" t="s">
        <v>35</v>
      </c>
      <c r="I938" s="7" t="s">
        <v>47</v>
      </c>
      <c r="J938" s="7" t="s">
        <v>43</v>
      </c>
      <c r="K938" s="4">
        <v>5</v>
      </c>
      <c r="L938" s="7" t="s">
        <v>36</v>
      </c>
      <c r="M938" s="7" t="s">
        <v>73</v>
      </c>
      <c r="N938" s="4" t="b">
        <v>0</v>
      </c>
      <c r="O938" s="4">
        <v>90</v>
      </c>
      <c r="P938" s="7" t="s">
        <v>63</v>
      </c>
      <c r="Q938" s="4">
        <v>7</v>
      </c>
      <c r="R938" s="4">
        <v>2</v>
      </c>
      <c r="S938" s="4">
        <v>3459</v>
      </c>
      <c r="T938" s="8" t="s">
        <v>51</v>
      </c>
      <c r="U938" t="str">
        <f>IF(OR(E938&lt;'Q1'!$E$13,E938&gt;'Q1'!$E$14),"Outliers","Not an Outliers")</f>
        <v>Not an Outliers</v>
      </c>
      <c r="V938" t="str">
        <f t="shared" si="14"/>
        <v>Weekday</v>
      </c>
    </row>
    <row r="939" spans="1:22" x14ac:dyDescent="0.3">
      <c r="A939" s="24">
        <v>45650</v>
      </c>
      <c r="B939" s="9" t="s">
        <v>69</v>
      </c>
      <c r="C939" s="9" t="s">
        <v>21</v>
      </c>
      <c r="D939" s="9" t="s">
        <v>22</v>
      </c>
      <c r="E939" s="5">
        <v>8866</v>
      </c>
      <c r="F939" s="5" t="b">
        <v>0</v>
      </c>
      <c r="G939" s="9" t="s">
        <v>23</v>
      </c>
      <c r="H939" s="9" t="s">
        <v>35</v>
      </c>
      <c r="I939" s="9" t="s">
        <v>47</v>
      </c>
      <c r="J939" s="9" t="s">
        <v>26</v>
      </c>
      <c r="K939" s="5">
        <v>1</v>
      </c>
      <c r="L939" s="9" t="s">
        <v>49</v>
      </c>
      <c r="M939" s="9" t="s">
        <v>66</v>
      </c>
      <c r="N939" s="5" t="b">
        <v>0</v>
      </c>
      <c r="O939" s="5">
        <v>90</v>
      </c>
      <c r="P939" s="9" t="s">
        <v>63</v>
      </c>
      <c r="Q939" s="5">
        <v>9</v>
      </c>
      <c r="R939" s="5">
        <v>1</v>
      </c>
      <c r="S939" s="5">
        <v>903</v>
      </c>
      <c r="T939" s="10" t="s">
        <v>30</v>
      </c>
      <c r="U939" t="str">
        <f>IF(OR(E939&lt;'Q1'!$E$13,E939&gt;'Q1'!$E$14),"Outliers","Not an Outliers")</f>
        <v>Not an Outliers</v>
      </c>
      <c r="V939" t="str">
        <f t="shared" si="14"/>
        <v>Weekday</v>
      </c>
    </row>
    <row r="940" spans="1:22" x14ac:dyDescent="0.3">
      <c r="A940" s="23">
        <v>45652</v>
      </c>
      <c r="B940" s="7" t="s">
        <v>77</v>
      </c>
      <c r="C940" s="7" t="s">
        <v>21</v>
      </c>
      <c r="D940" s="7" t="s">
        <v>46</v>
      </c>
      <c r="E940" s="4">
        <v>1342</v>
      </c>
      <c r="F940" s="4" t="b">
        <v>0</v>
      </c>
      <c r="G940" s="7" t="s">
        <v>40</v>
      </c>
      <c r="H940" s="7" t="s">
        <v>41</v>
      </c>
      <c r="I940" s="7" t="s">
        <v>59</v>
      </c>
      <c r="J940" s="7" t="s">
        <v>43</v>
      </c>
      <c r="K940" s="4">
        <v>5</v>
      </c>
      <c r="L940" s="7" t="s">
        <v>49</v>
      </c>
      <c r="M940" s="7" t="s">
        <v>28</v>
      </c>
      <c r="N940" s="4" t="b">
        <v>1</v>
      </c>
      <c r="O940" s="4">
        <v>117</v>
      </c>
      <c r="P940" s="7" t="s">
        <v>67</v>
      </c>
      <c r="Q940" s="4">
        <v>5</v>
      </c>
      <c r="R940" s="4">
        <v>3</v>
      </c>
      <c r="S940" s="4">
        <v>3186</v>
      </c>
      <c r="T940" s="8" t="s">
        <v>38</v>
      </c>
      <c r="U940" t="str">
        <f>IF(OR(E940&lt;'Q1'!$E$13,E940&gt;'Q1'!$E$14),"Outliers","Not an Outliers")</f>
        <v>Not an Outliers</v>
      </c>
      <c r="V940" t="str">
        <f t="shared" si="14"/>
        <v>Weekday</v>
      </c>
    </row>
    <row r="941" spans="1:22" x14ac:dyDescent="0.3">
      <c r="A941" s="24">
        <v>45652</v>
      </c>
      <c r="B941" s="9" t="s">
        <v>71</v>
      </c>
      <c r="C941" s="9" t="s">
        <v>60</v>
      </c>
      <c r="D941" s="9" t="s">
        <v>22</v>
      </c>
      <c r="E941" s="5">
        <v>7507</v>
      </c>
      <c r="F941" s="5" t="b">
        <v>0</v>
      </c>
      <c r="G941" s="9" t="s">
        <v>40</v>
      </c>
      <c r="H941" s="9" t="s">
        <v>70</v>
      </c>
      <c r="I941" s="9" t="s">
        <v>42</v>
      </c>
      <c r="J941" s="9" t="s">
        <v>26</v>
      </c>
      <c r="K941" s="5">
        <v>1</v>
      </c>
      <c r="L941" s="9" t="s">
        <v>49</v>
      </c>
      <c r="M941" s="9" t="s">
        <v>58</v>
      </c>
      <c r="N941" s="5" t="b">
        <v>0</v>
      </c>
      <c r="O941" s="5">
        <v>15</v>
      </c>
      <c r="P941" s="9" t="s">
        <v>63</v>
      </c>
      <c r="Q941" s="5">
        <v>2</v>
      </c>
      <c r="R941" s="5">
        <v>3</v>
      </c>
      <c r="S941" s="5">
        <v>4940</v>
      </c>
      <c r="T941" s="10" t="s">
        <v>38</v>
      </c>
      <c r="U941" t="str">
        <f>IF(OR(E941&lt;'Q1'!$E$13,E941&gt;'Q1'!$E$14),"Outliers","Not an Outliers")</f>
        <v>Not an Outliers</v>
      </c>
      <c r="V941" t="str">
        <f t="shared" si="14"/>
        <v>Weekday</v>
      </c>
    </row>
    <row r="942" spans="1:22" x14ac:dyDescent="0.3">
      <c r="A942" s="23">
        <v>45653</v>
      </c>
      <c r="B942" s="7" t="s">
        <v>77</v>
      </c>
      <c r="C942" s="7" t="s">
        <v>21</v>
      </c>
      <c r="D942" s="7" t="s">
        <v>22</v>
      </c>
      <c r="E942" s="4">
        <v>6912</v>
      </c>
      <c r="F942" s="4" t="b">
        <v>0</v>
      </c>
      <c r="G942" s="7" t="s">
        <v>65</v>
      </c>
      <c r="H942" s="7" t="s">
        <v>70</v>
      </c>
      <c r="I942" s="7" t="s">
        <v>25</v>
      </c>
      <c r="J942" s="7" t="s">
        <v>54</v>
      </c>
      <c r="K942" s="4">
        <v>0</v>
      </c>
      <c r="L942" s="7" t="s">
        <v>27</v>
      </c>
      <c r="M942" s="7" t="s">
        <v>28</v>
      </c>
      <c r="N942" s="4" t="b">
        <v>1</v>
      </c>
      <c r="O942" s="4">
        <v>35</v>
      </c>
      <c r="P942" s="7" t="s">
        <v>50</v>
      </c>
      <c r="Q942" s="4">
        <v>1</v>
      </c>
      <c r="R942" s="4">
        <v>2</v>
      </c>
      <c r="S942" s="4">
        <v>3912</v>
      </c>
      <c r="T942" s="8" t="s">
        <v>51</v>
      </c>
      <c r="U942" t="str">
        <f>IF(OR(E942&lt;'Q1'!$E$13,E942&gt;'Q1'!$E$14),"Outliers","Not an Outliers")</f>
        <v>Not an Outliers</v>
      </c>
      <c r="V942" t="str">
        <f t="shared" si="14"/>
        <v>Weekday</v>
      </c>
    </row>
    <row r="943" spans="1:22" x14ac:dyDescent="0.3">
      <c r="A943" s="24">
        <v>45653</v>
      </c>
      <c r="B943" s="9" t="s">
        <v>44</v>
      </c>
      <c r="C943" s="9" t="s">
        <v>21</v>
      </c>
      <c r="D943" s="9" t="s">
        <v>33</v>
      </c>
      <c r="E943" s="5">
        <v>2151</v>
      </c>
      <c r="F943" s="5" t="b">
        <v>1</v>
      </c>
      <c r="G943" s="9" t="s">
        <v>65</v>
      </c>
      <c r="H943" s="9" t="s">
        <v>41</v>
      </c>
      <c r="I943" s="9" t="s">
        <v>42</v>
      </c>
      <c r="J943" s="9" t="s">
        <v>48</v>
      </c>
      <c r="K943" s="5">
        <v>3</v>
      </c>
      <c r="L943" s="9" t="s">
        <v>49</v>
      </c>
      <c r="M943" s="9" t="s">
        <v>58</v>
      </c>
      <c r="N943" s="5" t="b">
        <v>0</v>
      </c>
      <c r="O943" s="5">
        <v>106</v>
      </c>
      <c r="P943" s="9" t="s">
        <v>50</v>
      </c>
      <c r="Q943" s="5">
        <v>1</v>
      </c>
      <c r="R943" s="5">
        <v>2</v>
      </c>
      <c r="S943" s="5">
        <v>4389</v>
      </c>
      <c r="T943" s="10" t="s">
        <v>51</v>
      </c>
      <c r="U943" t="str">
        <f>IF(OR(E943&lt;'Q1'!$E$13,E943&gt;'Q1'!$E$14),"Outliers","Not an Outliers")</f>
        <v>Not an Outliers</v>
      </c>
      <c r="V943" t="str">
        <f t="shared" si="14"/>
        <v>Weekday</v>
      </c>
    </row>
    <row r="944" spans="1:22" x14ac:dyDescent="0.3">
      <c r="A944" s="23">
        <v>45653</v>
      </c>
      <c r="B944" s="7" t="s">
        <v>69</v>
      </c>
      <c r="C944" s="7" t="s">
        <v>56</v>
      </c>
      <c r="D944" s="7" t="s">
        <v>53</v>
      </c>
      <c r="E944" s="4">
        <v>4843</v>
      </c>
      <c r="F944" s="4" t="b">
        <v>0</v>
      </c>
      <c r="G944" s="7" t="s">
        <v>40</v>
      </c>
      <c r="H944" s="7" t="s">
        <v>41</v>
      </c>
      <c r="I944" s="7" t="s">
        <v>42</v>
      </c>
      <c r="J944" s="7" t="s">
        <v>54</v>
      </c>
      <c r="K944" s="4">
        <v>4</v>
      </c>
      <c r="L944" s="7" t="s">
        <v>49</v>
      </c>
      <c r="M944" s="7" t="s">
        <v>66</v>
      </c>
      <c r="N944" s="4" t="b">
        <v>1</v>
      </c>
      <c r="O944" s="4">
        <v>115</v>
      </c>
      <c r="P944" s="7" t="s">
        <v>67</v>
      </c>
      <c r="Q944" s="4">
        <v>4</v>
      </c>
      <c r="R944" s="4">
        <v>3</v>
      </c>
      <c r="S944" s="4">
        <v>3842</v>
      </c>
      <c r="T944" s="8" t="s">
        <v>51</v>
      </c>
      <c r="U944" t="str">
        <f>IF(OR(E944&lt;'Q1'!$E$13,E944&gt;'Q1'!$E$14),"Outliers","Not an Outliers")</f>
        <v>Not an Outliers</v>
      </c>
      <c r="V944" t="str">
        <f t="shared" si="14"/>
        <v>Weekday</v>
      </c>
    </row>
    <row r="945" spans="1:22" x14ac:dyDescent="0.3">
      <c r="A945" s="24">
        <v>45653</v>
      </c>
      <c r="B945" s="9" t="s">
        <v>75</v>
      </c>
      <c r="C945" s="9" t="s">
        <v>21</v>
      </c>
      <c r="D945" s="9" t="s">
        <v>57</v>
      </c>
      <c r="E945" s="5">
        <v>1000</v>
      </c>
      <c r="F945" s="5" t="b">
        <v>0</v>
      </c>
      <c r="G945" s="9" t="s">
        <v>64</v>
      </c>
      <c r="H945" s="9" t="s">
        <v>41</v>
      </c>
      <c r="I945" s="9" t="s">
        <v>47</v>
      </c>
      <c r="J945" s="9" t="s">
        <v>26</v>
      </c>
      <c r="K945" s="5">
        <v>4</v>
      </c>
      <c r="L945" s="9" t="s">
        <v>49</v>
      </c>
      <c r="M945" s="9" t="s">
        <v>58</v>
      </c>
      <c r="N945" s="5" t="b">
        <v>0</v>
      </c>
      <c r="O945" s="5">
        <v>24</v>
      </c>
      <c r="P945" s="9" t="s">
        <v>50</v>
      </c>
      <c r="Q945" s="5">
        <v>2</v>
      </c>
      <c r="R945" s="5">
        <v>1</v>
      </c>
      <c r="S945" s="5">
        <v>1886</v>
      </c>
      <c r="T945" s="10" t="s">
        <v>30</v>
      </c>
      <c r="U945" t="str">
        <f>IF(OR(E945&lt;'Q1'!$E$13,E945&gt;'Q1'!$E$14),"Outliers","Not an Outliers")</f>
        <v>Not an Outliers</v>
      </c>
      <c r="V945" t="str">
        <f t="shared" si="14"/>
        <v>Weekday</v>
      </c>
    </row>
    <row r="946" spans="1:22" x14ac:dyDescent="0.3">
      <c r="A946" s="23">
        <v>45654</v>
      </c>
      <c r="B946" s="7" t="s">
        <v>62</v>
      </c>
      <c r="C946" s="7" t="s">
        <v>45</v>
      </c>
      <c r="D946" s="7" t="s">
        <v>33</v>
      </c>
      <c r="E946" s="4">
        <v>2362</v>
      </c>
      <c r="F946" s="4" t="b">
        <v>1</v>
      </c>
      <c r="G946" s="7" t="s">
        <v>23</v>
      </c>
      <c r="H946" s="7" t="s">
        <v>70</v>
      </c>
      <c r="I946" s="7" t="s">
        <v>47</v>
      </c>
      <c r="J946" s="7" t="s">
        <v>54</v>
      </c>
      <c r="K946" s="4">
        <v>0</v>
      </c>
      <c r="L946" s="7" t="s">
        <v>49</v>
      </c>
      <c r="M946" s="7" t="s">
        <v>73</v>
      </c>
      <c r="N946" s="4" t="b">
        <v>0</v>
      </c>
      <c r="O946" s="4">
        <v>29</v>
      </c>
      <c r="P946" s="7" t="s">
        <v>29</v>
      </c>
      <c r="Q946" s="4">
        <v>6</v>
      </c>
      <c r="R946" s="4">
        <v>3</v>
      </c>
      <c r="S946" s="4">
        <v>1460</v>
      </c>
      <c r="T946" s="8" t="s">
        <v>38</v>
      </c>
      <c r="U946" t="str">
        <f>IF(OR(E946&lt;'Q1'!$E$13,E946&gt;'Q1'!$E$14),"Outliers","Not an Outliers")</f>
        <v>Not an Outliers</v>
      </c>
      <c r="V946" t="str">
        <f t="shared" si="14"/>
        <v>Weekend</v>
      </c>
    </row>
    <row r="947" spans="1:22" x14ac:dyDescent="0.3">
      <c r="A947" s="24">
        <v>45654</v>
      </c>
      <c r="B947" s="9" t="s">
        <v>44</v>
      </c>
      <c r="C947" s="9" t="s">
        <v>32</v>
      </c>
      <c r="D947" s="9" t="s">
        <v>46</v>
      </c>
      <c r="E947" s="5">
        <v>2353</v>
      </c>
      <c r="F947" s="5" t="b">
        <v>0</v>
      </c>
      <c r="G947" s="9" t="s">
        <v>40</v>
      </c>
      <c r="H947" s="9" t="s">
        <v>70</v>
      </c>
      <c r="I947" s="9" t="s">
        <v>42</v>
      </c>
      <c r="J947" s="9" t="s">
        <v>26</v>
      </c>
      <c r="K947" s="5">
        <v>2</v>
      </c>
      <c r="L947" s="9" t="s">
        <v>36</v>
      </c>
      <c r="M947" s="9" t="s">
        <v>58</v>
      </c>
      <c r="N947" s="5" t="b">
        <v>0</v>
      </c>
      <c r="O947" s="5">
        <v>24</v>
      </c>
      <c r="P947" s="9" t="s">
        <v>37</v>
      </c>
      <c r="Q947" s="5">
        <v>1</v>
      </c>
      <c r="R947" s="5">
        <v>3</v>
      </c>
      <c r="S947" s="5">
        <v>1803</v>
      </c>
      <c r="T947" s="10" t="s">
        <v>38</v>
      </c>
      <c r="U947" t="str">
        <f>IF(OR(E947&lt;'Q1'!$E$13,E947&gt;'Q1'!$E$14),"Outliers","Not an Outliers")</f>
        <v>Not an Outliers</v>
      </c>
      <c r="V947" t="str">
        <f t="shared" si="14"/>
        <v>Weekend</v>
      </c>
    </row>
    <row r="948" spans="1:22" x14ac:dyDescent="0.3">
      <c r="A948" s="23">
        <v>45654</v>
      </c>
      <c r="B948" s="7" t="s">
        <v>75</v>
      </c>
      <c r="C948" s="7" t="s">
        <v>21</v>
      </c>
      <c r="D948" s="7" t="s">
        <v>57</v>
      </c>
      <c r="E948" s="4">
        <v>1000</v>
      </c>
      <c r="F948" s="4" t="b">
        <v>0</v>
      </c>
      <c r="G948" s="7" t="s">
        <v>34</v>
      </c>
      <c r="H948" s="7" t="s">
        <v>24</v>
      </c>
      <c r="I948" s="7" t="s">
        <v>47</v>
      </c>
      <c r="J948" s="7" t="s">
        <v>54</v>
      </c>
      <c r="K948" s="4">
        <v>2</v>
      </c>
      <c r="L948" s="7" t="s">
        <v>27</v>
      </c>
      <c r="M948" s="7" t="s">
        <v>66</v>
      </c>
      <c r="N948" s="4" t="b">
        <v>1</v>
      </c>
      <c r="O948" s="4">
        <v>3</v>
      </c>
      <c r="P948" s="7" t="s">
        <v>29</v>
      </c>
      <c r="Q948" s="4">
        <v>3</v>
      </c>
      <c r="R948" s="4">
        <v>2</v>
      </c>
      <c r="S948" s="4">
        <v>2834</v>
      </c>
      <c r="T948" s="8" t="s">
        <v>38</v>
      </c>
      <c r="U948" t="str">
        <f>IF(OR(E948&lt;'Q1'!$E$13,E948&gt;'Q1'!$E$14),"Outliers","Not an Outliers")</f>
        <v>Not an Outliers</v>
      </c>
      <c r="V948" t="str">
        <f t="shared" si="14"/>
        <v>Weekend</v>
      </c>
    </row>
    <row r="949" spans="1:22" x14ac:dyDescent="0.3">
      <c r="A949" s="24">
        <v>45654</v>
      </c>
      <c r="B949" s="9" t="s">
        <v>75</v>
      </c>
      <c r="C949" s="9" t="s">
        <v>32</v>
      </c>
      <c r="D949" s="9" t="s">
        <v>33</v>
      </c>
      <c r="E949" s="5">
        <v>3218</v>
      </c>
      <c r="F949" s="5" t="b">
        <v>0</v>
      </c>
      <c r="G949" s="9" t="s">
        <v>40</v>
      </c>
      <c r="H949" s="9" t="s">
        <v>41</v>
      </c>
      <c r="I949" s="9" t="s">
        <v>42</v>
      </c>
      <c r="J949" s="9" t="s">
        <v>26</v>
      </c>
      <c r="K949" s="5">
        <v>3</v>
      </c>
      <c r="L949" s="9" t="s">
        <v>49</v>
      </c>
      <c r="M949" s="9" t="s">
        <v>58</v>
      </c>
      <c r="N949" s="5" t="b">
        <v>0</v>
      </c>
      <c r="O949" s="5">
        <v>55</v>
      </c>
      <c r="P949" s="9" t="s">
        <v>37</v>
      </c>
      <c r="Q949" s="5">
        <v>2</v>
      </c>
      <c r="R949" s="5">
        <v>1</v>
      </c>
      <c r="S949" s="5">
        <v>3937</v>
      </c>
      <c r="T949" s="10" t="s">
        <v>51</v>
      </c>
      <c r="U949" t="str">
        <f>IF(OR(E949&lt;'Q1'!$E$13,E949&gt;'Q1'!$E$14),"Outliers","Not an Outliers")</f>
        <v>Not an Outliers</v>
      </c>
      <c r="V949" t="str">
        <f t="shared" si="14"/>
        <v>Weekend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500A-3D4F-446D-8E1B-F1614A316E7B}">
  <dimension ref="C6:E14"/>
  <sheetViews>
    <sheetView workbookViewId="0">
      <selection activeCell="E14" sqref="E14"/>
    </sheetView>
  </sheetViews>
  <sheetFormatPr defaultRowHeight="14.4" x14ac:dyDescent="0.3"/>
  <sheetData>
    <row r="6" spans="3:5" x14ac:dyDescent="0.3">
      <c r="C6" t="s">
        <v>78</v>
      </c>
      <c r="D6">
        <f>_xlfn.QUARTILE.INC('Main Data'!E924,0)</f>
        <v>2415</v>
      </c>
    </row>
    <row r="7" spans="3:5" x14ac:dyDescent="0.3">
      <c r="C7" t="s">
        <v>79</v>
      </c>
      <c r="D7">
        <f>_xlfn.QUARTILE.INC('Main Data'!$E$2:$E$949,1)</f>
        <v>1000</v>
      </c>
    </row>
    <row r="8" spans="3:5" x14ac:dyDescent="0.3">
      <c r="C8" t="s">
        <v>80</v>
      </c>
      <c r="D8">
        <f>_xlfn.QUARTILE.INC('Main Data'!$E$2:$E$949,2)</f>
        <v>3309.5</v>
      </c>
    </row>
    <row r="9" spans="3:5" x14ac:dyDescent="0.3">
      <c r="C9" t="s">
        <v>81</v>
      </c>
      <c r="D9">
        <f>_xlfn.QUARTILE.INC('Main Data'!$E$1:$E$949,3)</f>
        <v>5513.5</v>
      </c>
    </row>
    <row r="10" spans="3:5" x14ac:dyDescent="0.3">
      <c r="C10" t="s">
        <v>82</v>
      </c>
      <c r="D10">
        <f>_xlfn.QUARTILE.INC('Main Data'!$E$1:$E$949,4)</f>
        <v>43125</v>
      </c>
    </row>
    <row r="12" spans="3:5" x14ac:dyDescent="0.3">
      <c r="C12" t="s">
        <v>83</v>
      </c>
      <c r="D12">
        <f>D9-D7</f>
        <v>4513.5</v>
      </c>
    </row>
    <row r="13" spans="3:5" x14ac:dyDescent="0.3">
      <c r="C13" t="s">
        <v>85</v>
      </c>
      <c r="E13">
        <f>D7 - ( 1.5 *D12)</f>
        <v>-5770.25</v>
      </c>
    </row>
    <row r="14" spans="3:5" x14ac:dyDescent="0.3">
      <c r="C14" t="s">
        <v>84</v>
      </c>
      <c r="E14">
        <f>D9+(1.5*D12)</f>
        <v>12283.75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0E9A7-C5C2-49B7-A8A4-182A2F852241}">
  <dimension ref="A3:C23"/>
  <sheetViews>
    <sheetView workbookViewId="0">
      <selection activeCell="D13" sqref="D13"/>
    </sheetView>
  </sheetViews>
  <sheetFormatPr defaultRowHeight="14.4" x14ac:dyDescent="0.3"/>
  <cols>
    <col min="1" max="1" width="25.88671875" bestFit="1" customWidth="1"/>
    <col min="2" max="2" width="20.44140625" bestFit="1" customWidth="1"/>
    <col min="3" max="3" width="23.5546875" bestFit="1" customWidth="1"/>
  </cols>
  <sheetData>
    <row r="3" spans="1:3" x14ac:dyDescent="0.3">
      <c r="A3" s="12" t="s">
        <v>87</v>
      </c>
      <c r="B3" t="s">
        <v>89</v>
      </c>
      <c r="C3" t="s">
        <v>91</v>
      </c>
    </row>
    <row r="4" spans="1:3" x14ac:dyDescent="0.3">
      <c r="A4" s="13" t="s">
        <v>72</v>
      </c>
      <c r="B4" s="2">
        <v>67</v>
      </c>
      <c r="C4" s="14">
        <v>5026.4477611940301</v>
      </c>
    </row>
    <row r="5" spans="1:3" x14ac:dyDescent="0.3">
      <c r="A5" s="13" t="s">
        <v>39</v>
      </c>
      <c r="B5" s="2">
        <v>65</v>
      </c>
      <c r="C5" s="14">
        <v>4362.1538461538457</v>
      </c>
    </row>
    <row r="6" spans="1:3" x14ac:dyDescent="0.3">
      <c r="A6" s="13" t="s">
        <v>31</v>
      </c>
      <c r="B6" s="2">
        <v>50</v>
      </c>
      <c r="C6" s="14">
        <v>4333.9399999999996</v>
      </c>
    </row>
    <row r="7" spans="1:3" x14ac:dyDescent="0.3">
      <c r="A7" s="13" t="s">
        <v>71</v>
      </c>
      <c r="B7" s="2">
        <v>65</v>
      </c>
      <c r="C7" s="14">
        <v>4158.1538461538457</v>
      </c>
    </row>
    <row r="8" spans="1:3" x14ac:dyDescent="0.3">
      <c r="A8" s="13" t="s">
        <v>68</v>
      </c>
      <c r="B8" s="2">
        <v>61</v>
      </c>
      <c r="C8" s="14">
        <v>4041.2622950819673</v>
      </c>
    </row>
    <row r="9" spans="1:3" x14ac:dyDescent="0.3">
      <c r="A9" s="13" t="s">
        <v>55</v>
      </c>
      <c r="B9" s="2">
        <v>55</v>
      </c>
      <c r="C9" s="14">
        <v>3986.2545454545457</v>
      </c>
    </row>
    <row r="10" spans="1:3" x14ac:dyDescent="0.3">
      <c r="A10" s="13" t="s">
        <v>69</v>
      </c>
      <c r="B10" s="2">
        <v>55</v>
      </c>
      <c r="C10" s="14">
        <v>3953.8363636363638</v>
      </c>
    </row>
    <row r="11" spans="1:3" x14ac:dyDescent="0.3">
      <c r="A11" s="13" t="s">
        <v>74</v>
      </c>
      <c r="B11" s="2">
        <v>67</v>
      </c>
      <c r="C11" s="14">
        <v>3936.6567164179105</v>
      </c>
    </row>
    <row r="12" spans="1:3" x14ac:dyDescent="0.3">
      <c r="A12" s="13" t="s">
        <v>20</v>
      </c>
      <c r="B12" s="2">
        <v>65</v>
      </c>
      <c r="C12" s="14">
        <v>3832.0461538461536</v>
      </c>
    </row>
    <row r="13" spans="1:3" x14ac:dyDescent="0.3">
      <c r="A13" s="13" t="s">
        <v>44</v>
      </c>
      <c r="B13" s="2">
        <v>87</v>
      </c>
      <c r="C13" s="14">
        <v>3622.3563218390805</v>
      </c>
    </row>
    <row r="14" spans="1:3" x14ac:dyDescent="0.3">
      <c r="A14" s="13" t="s">
        <v>62</v>
      </c>
      <c r="B14" s="2">
        <v>68</v>
      </c>
      <c r="C14" s="14">
        <v>3558.1911764705883</v>
      </c>
    </row>
    <row r="15" spans="1:3" x14ac:dyDescent="0.3">
      <c r="A15" s="13" t="s">
        <v>76</v>
      </c>
      <c r="B15" s="2">
        <v>52</v>
      </c>
      <c r="C15" s="14">
        <v>3546.5769230769229</v>
      </c>
    </row>
    <row r="16" spans="1:3" x14ac:dyDescent="0.3">
      <c r="A16" s="13" t="s">
        <v>52</v>
      </c>
      <c r="B16" s="2">
        <v>67</v>
      </c>
      <c r="C16" s="14">
        <v>3504.0149253731342</v>
      </c>
    </row>
    <row r="17" spans="1:3" x14ac:dyDescent="0.3">
      <c r="A17" s="13" t="s">
        <v>75</v>
      </c>
      <c r="B17" s="2">
        <v>62</v>
      </c>
      <c r="C17" s="14">
        <v>3401.5483870967741</v>
      </c>
    </row>
    <row r="18" spans="1:3" x14ac:dyDescent="0.3">
      <c r="A18" s="13" t="s">
        <v>77</v>
      </c>
      <c r="B18" s="2">
        <v>62</v>
      </c>
      <c r="C18" s="14">
        <v>3310.3870967741937</v>
      </c>
    </row>
    <row r="19" spans="1:3" x14ac:dyDescent="0.3">
      <c r="A19" s="13" t="s">
        <v>88</v>
      </c>
      <c r="B19" s="2">
        <v>948</v>
      </c>
      <c r="C19" s="2">
        <v>3898.5052742616035</v>
      </c>
    </row>
    <row r="22" spans="1:3" x14ac:dyDescent="0.3">
      <c r="A22" s="13" t="s">
        <v>44</v>
      </c>
      <c r="B22" s="2">
        <v>87</v>
      </c>
    </row>
    <row r="23" spans="1:3" x14ac:dyDescent="0.3">
      <c r="A23" s="13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76117-993B-4226-BAE0-2BA8FFE42F48}">
  <dimension ref="A3:D13"/>
  <sheetViews>
    <sheetView workbookViewId="0">
      <selection activeCell="D16" sqref="D16"/>
    </sheetView>
  </sheetViews>
  <sheetFormatPr defaultRowHeight="14.4" x14ac:dyDescent="0.3"/>
  <cols>
    <col min="1" max="1" width="16.21875" bestFit="1" customWidth="1"/>
    <col min="2" max="2" width="15.33203125" bestFit="1" customWidth="1"/>
    <col min="3" max="3" width="20.44140625" bestFit="1" customWidth="1"/>
    <col min="4" max="4" width="23.5546875" bestFit="1" customWidth="1"/>
    <col min="5" max="5" width="8.77734375" bestFit="1" customWidth="1"/>
    <col min="6" max="6" width="10.77734375" bestFit="1" customWidth="1"/>
    <col min="7" max="7" width="9.88671875" bestFit="1" customWidth="1"/>
    <col min="8" max="8" width="20.44140625" bestFit="1" customWidth="1"/>
    <col min="9" max="9" width="16.88671875" bestFit="1" customWidth="1"/>
    <col min="10" max="10" width="13.77734375" bestFit="1" customWidth="1"/>
    <col min="11" max="11" width="8.77734375" bestFit="1" customWidth="1"/>
    <col min="12" max="12" width="10.77734375" bestFit="1" customWidth="1"/>
    <col min="13" max="13" width="9.88671875" bestFit="1" customWidth="1"/>
    <col min="14" max="14" width="23.5546875" bestFit="1" customWidth="1"/>
    <col min="15" max="15" width="16.88671875" bestFit="1" customWidth="1"/>
    <col min="16" max="16" width="13.77734375" bestFit="1" customWidth="1"/>
    <col min="17" max="17" width="8.77734375" bestFit="1" customWidth="1"/>
    <col min="18" max="18" width="10.77734375" bestFit="1" customWidth="1"/>
    <col min="19" max="19" width="9.88671875" bestFit="1" customWidth="1"/>
    <col min="20" max="20" width="19.88671875" bestFit="1" customWidth="1"/>
    <col min="21" max="21" width="25" bestFit="1" customWidth="1"/>
    <col min="22" max="22" width="28.109375" bestFit="1" customWidth="1"/>
    <col min="23" max="23" width="5.33203125" bestFit="1" customWidth="1"/>
    <col min="24" max="24" width="11" bestFit="1" customWidth="1"/>
    <col min="25" max="26" width="8.77734375" bestFit="1" customWidth="1"/>
    <col min="27" max="27" width="17.5546875" bestFit="1" customWidth="1"/>
    <col min="28" max="28" width="20.21875" bestFit="1" customWidth="1"/>
    <col min="29" max="29" width="11.21875" bestFit="1" customWidth="1"/>
    <col min="30" max="30" width="26.44140625" bestFit="1" customWidth="1"/>
    <col min="31" max="31" width="10.77734375" bestFit="1" customWidth="1"/>
    <col min="32" max="32" width="23.5546875" bestFit="1" customWidth="1"/>
    <col min="33" max="33" width="15.21875" bestFit="1" customWidth="1"/>
    <col min="34" max="34" width="15.109375" bestFit="1" customWidth="1"/>
    <col min="35" max="35" width="12" bestFit="1" customWidth="1"/>
    <col min="36" max="36" width="11.33203125" bestFit="1" customWidth="1"/>
    <col min="37" max="37" width="8.33203125" bestFit="1" customWidth="1"/>
    <col min="38" max="38" width="8.5546875" bestFit="1" customWidth="1"/>
    <col min="39" max="39" width="11" bestFit="1" customWidth="1"/>
    <col min="40" max="41" width="8.77734375" bestFit="1" customWidth="1"/>
    <col min="42" max="42" width="17.5546875" bestFit="1" customWidth="1"/>
    <col min="43" max="43" width="20.21875" bestFit="1" customWidth="1"/>
    <col min="44" max="44" width="11.21875" bestFit="1" customWidth="1"/>
    <col min="45" max="45" width="26.44140625" bestFit="1" customWidth="1"/>
    <col min="46" max="46" width="10.77734375" bestFit="1" customWidth="1"/>
    <col min="47" max="47" width="19.88671875" bestFit="1" customWidth="1"/>
    <col min="48" max="48" width="25" bestFit="1" customWidth="1"/>
    <col min="49" max="49" width="28.109375" bestFit="1" customWidth="1"/>
  </cols>
  <sheetData>
    <row r="3" spans="1:4" x14ac:dyDescent="0.3">
      <c r="A3" s="12" t="s">
        <v>87</v>
      </c>
      <c r="B3" t="s">
        <v>93</v>
      </c>
      <c r="C3" t="s">
        <v>89</v>
      </c>
      <c r="D3" t="s">
        <v>91</v>
      </c>
    </row>
    <row r="4" spans="1:4" x14ac:dyDescent="0.3">
      <c r="A4" s="15" t="s">
        <v>22</v>
      </c>
      <c r="B4" s="16">
        <v>165</v>
      </c>
      <c r="C4" s="16">
        <v>165</v>
      </c>
      <c r="D4" s="17">
        <v>8218.4666666666672</v>
      </c>
    </row>
    <row r="5" spans="1:4" x14ac:dyDescent="0.3">
      <c r="A5" s="13" t="s">
        <v>53</v>
      </c>
      <c r="B5" s="2">
        <v>193</v>
      </c>
      <c r="C5" s="2">
        <v>193</v>
      </c>
      <c r="D5" s="14">
        <v>5204.2849740932643</v>
      </c>
    </row>
    <row r="6" spans="1:4" x14ac:dyDescent="0.3">
      <c r="A6" s="13" t="s">
        <v>33</v>
      </c>
      <c r="B6" s="2">
        <v>177</v>
      </c>
      <c r="C6" s="2">
        <v>177</v>
      </c>
      <c r="D6" s="14">
        <v>3348.2033898305085</v>
      </c>
    </row>
    <row r="7" spans="1:4" x14ac:dyDescent="0.3">
      <c r="A7" s="13" t="s">
        <v>46</v>
      </c>
      <c r="B7" s="2">
        <v>162</v>
      </c>
      <c r="C7" s="2">
        <v>162</v>
      </c>
      <c r="D7" s="14">
        <v>2985.6604938271603</v>
      </c>
    </row>
    <row r="8" spans="1:4" x14ac:dyDescent="0.3">
      <c r="A8" s="13" t="s">
        <v>57</v>
      </c>
      <c r="B8" s="2">
        <v>189</v>
      </c>
      <c r="C8" s="2">
        <v>189</v>
      </c>
      <c r="D8" s="14">
        <v>1042.3280423280423</v>
      </c>
    </row>
    <row r="9" spans="1:4" x14ac:dyDescent="0.3">
      <c r="A9" s="13" t="s">
        <v>61</v>
      </c>
      <c r="B9" s="2">
        <v>62</v>
      </c>
      <c r="C9" s="2">
        <v>62</v>
      </c>
      <c r="D9" s="14">
        <v>1000</v>
      </c>
    </row>
    <row r="10" spans="1:4" x14ac:dyDescent="0.3">
      <c r="A10" s="13" t="s">
        <v>88</v>
      </c>
      <c r="B10" s="2">
        <v>948</v>
      </c>
      <c r="C10" s="2">
        <v>948</v>
      </c>
      <c r="D10" s="14">
        <v>3898.5052742616035</v>
      </c>
    </row>
    <row r="13" spans="1:4" x14ac:dyDescent="0.3">
      <c r="A13" s="18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41205-7C36-4B43-A774-1810CBA21B8D}">
  <dimension ref="A3:G34"/>
  <sheetViews>
    <sheetView workbookViewId="0">
      <selection activeCell="A34" sqref="A34"/>
    </sheetView>
  </sheetViews>
  <sheetFormatPr defaultRowHeight="14.4" x14ac:dyDescent="0.3"/>
  <cols>
    <col min="1" max="1" width="25.88671875" bestFit="1" customWidth="1"/>
    <col min="2" max="2" width="21.6640625" customWidth="1"/>
    <col min="3" max="3" width="24.33203125" customWidth="1"/>
    <col min="4" max="5" width="4" bestFit="1" customWidth="1"/>
    <col min="6" max="6" width="5.5546875" bestFit="1" customWidth="1"/>
    <col min="7" max="7" width="10.5546875" bestFit="1" customWidth="1"/>
  </cols>
  <sheetData>
    <row r="3" spans="1:7" x14ac:dyDescent="0.3">
      <c r="A3" s="12" t="s">
        <v>87</v>
      </c>
      <c r="B3" t="s">
        <v>96</v>
      </c>
      <c r="C3" t="s">
        <v>97</v>
      </c>
    </row>
    <row r="4" spans="1:7" x14ac:dyDescent="0.3">
      <c r="A4" s="15" t="s">
        <v>53</v>
      </c>
      <c r="B4" s="16">
        <v>193</v>
      </c>
      <c r="C4" s="20">
        <v>0.20358649789029537</v>
      </c>
    </row>
    <row r="5" spans="1:7" x14ac:dyDescent="0.3">
      <c r="A5" s="13" t="s">
        <v>57</v>
      </c>
      <c r="B5" s="2">
        <v>189</v>
      </c>
      <c r="C5" s="19">
        <v>0.19936708860759494</v>
      </c>
    </row>
    <row r="6" spans="1:7" x14ac:dyDescent="0.3">
      <c r="A6" s="13" t="s">
        <v>33</v>
      </c>
      <c r="B6" s="2">
        <v>177</v>
      </c>
      <c r="C6" s="19">
        <v>0.18670886075949367</v>
      </c>
    </row>
    <row r="7" spans="1:7" x14ac:dyDescent="0.3">
      <c r="A7" s="13" t="s">
        <v>22</v>
      </c>
      <c r="B7" s="2">
        <v>165</v>
      </c>
      <c r="C7" s="19">
        <v>0.17405063291139242</v>
      </c>
    </row>
    <row r="8" spans="1:7" x14ac:dyDescent="0.3">
      <c r="A8" s="13" t="s">
        <v>46</v>
      </c>
      <c r="B8" s="2">
        <v>162</v>
      </c>
      <c r="C8" s="19">
        <v>0.17088607594936708</v>
      </c>
    </row>
    <row r="9" spans="1:7" x14ac:dyDescent="0.3">
      <c r="A9" s="13" t="s">
        <v>61</v>
      </c>
      <c r="B9" s="2">
        <v>62</v>
      </c>
      <c r="C9" s="19">
        <v>6.5400843881856546E-2</v>
      </c>
    </row>
    <row r="10" spans="1:7" x14ac:dyDescent="0.3">
      <c r="A10" s="13" t="s">
        <v>88</v>
      </c>
      <c r="B10" s="2">
        <v>948</v>
      </c>
      <c r="C10" s="19">
        <v>1</v>
      </c>
    </row>
    <row r="12" spans="1:7" x14ac:dyDescent="0.3">
      <c r="A12" s="18" t="s">
        <v>99</v>
      </c>
    </row>
    <row r="13" spans="1:7" x14ac:dyDescent="0.3">
      <c r="C13" t="s">
        <v>98</v>
      </c>
    </row>
    <row r="15" spans="1:7" x14ac:dyDescent="0.3">
      <c r="A15" s="12" t="s">
        <v>96</v>
      </c>
      <c r="B15" s="12" t="s">
        <v>94</v>
      </c>
    </row>
    <row r="16" spans="1:7" x14ac:dyDescent="0.3">
      <c r="A16" s="12" t="s">
        <v>87</v>
      </c>
      <c r="B16" t="s">
        <v>21</v>
      </c>
      <c r="C16" t="s">
        <v>60</v>
      </c>
      <c r="D16" t="s">
        <v>56</v>
      </c>
      <c r="E16" t="s">
        <v>32</v>
      </c>
      <c r="F16" t="s">
        <v>45</v>
      </c>
      <c r="G16" t="s">
        <v>88</v>
      </c>
    </row>
    <row r="17" spans="1:7" x14ac:dyDescent="0.3">
      <c r="A17" s="15" t="s">
        <v>44</v>
      </c>
      <c r="B17" s="2">
        <v>17</v>
      </c>
      <c r="C17" s="16">
        <v>19</v>
      </c>
      <c r="D17" s="2">
        <v>16</v>
      </c>
      <c r="E17" s="2">
        <v>17</v>
      </c>
      <c r="F17" s="2">
        <v>18</v>
      </c>
      <c r="G17" s="2">
        <v>87</v>
      </c>
    </row>
    <row r="18" spans="1:7" x14ac:dyDescent="0.3">
      <c r="A18" s="13" t="s">
        <v>62</v>
      </c>
      <c r="B18" s="2">
        <v>10</v>
      </c>
      <c r="C18" s="2">
        <v>14</v>
      </c>
      <c r="D18" s="2">
        <v>22</v>
      </c>
      <c r="E18" s="2">
        <v>9</v>
      </c>
      <c r="F18" s="2">
        <v>13</v>
      </c>
      <c r="G18" s="2">
        <v>68</v>
      </c>
    </row>
    <row r="19" spans="1:7" x14ac:dyDescent="0.3">
      <c r="A19" s="13" t="s">
        <v>52</v>
      </c>
      <c r="B19" s="2">
        <v>12</v>
      </c>
      <c r="C19" s="2">
        <v>13</v>
      </c>
      <c r="D19" s="2">
        <v>14</v>
      </c>
      <c r="E19" s="2">
        <v>17</v>
      </c>
      <c r="F19" s="2">
        <v>11</v>
      </c>
      <c r="G19" s="2">
        <v>67</v>
      </c>
    </row>
    <row r="20" spans="1:7" x14ac:dyDescent="0.3">
      <c r="A20" s="13" t="s">
        <v>74</v>
      </c>
      <c r="B20" s="2">
        <v>10</v>
      </c>
      <c r="C20" s="2">
        <v>14</v>
      </c>
      <c r="D20" s="2">
        <v>14</v>
      </c>
      <c r="E20" s="2">
        <v>10</v>
      </c>
      <c r="F20" s="2">
        <v>19</v>
      </c>
      <c r="G20" s="2">
        <v>67</v>
      </c>
    </row>
    <row r="21" spans="1:7" x14ac:dyDescent="0.3">
      <c r="A21" s="13" t="s">
        <v>72</v>
      </c>
      <c r="B21" s="2">
        <v>14</v>
      </c>
      <c r="C21" s="2">
        <v>14</v>
      </c>
      <c r="D21" s="2">
        <v>15</v>
      </c>
      <c r="E21" s="2">
        <v>18</v>
      </c>
      <c r="F21" s="2">
        <v>6</v>
      </c>
      <c r="G21" s="2">
        <v>67</v>
      </c>
    </row>
    <row r="22" spans="1:7" x14ac:dyDescent="0.3">
      <c r="A22" s="13" t="s">
        <v>39</v>
      </c>
      <c r="B22" s="2">
        <v>13</v>
      </c>
      <c r="C22" s="2">
        <v>11</v>
      </c>
      <c r="D22" s="2">
        <v>17</v>
      </c>
      <c r="E22" s="2">
        <v>8</v>
      </c>
      <c r="F22" s="2">
        <v>16</v>
      </c>
      <c r="G22" s="2">
        <v>65</v>
      </c>
    </row>
    <row r="23" spans="1:7" x14ac:dyDescent="0.3">
      <c r="A23" s="13" t="s">
        <v>71</v>
      </c>
      <c r="B23" s="2">
        <v>10</v>
      </c>
      <c r="C23" s="2">
        <v>10</v>
      </c>
      <c r="D23" s="2">
        <v>13</v>
      </c>
      <c r="E23" s="2">
        <v>15</v>
      </c>
      <c r="F23" s="2">
        <v>17</v>
      </c>
      <c r="G23" s="2">
        <v>65</v>
      </c>
    </row>
    <row r="24" spans="1:7" x14ac:dyDescent="0.3">
      <c r="A24" s="13" t="s">
        <v>20</v>
      </c>
      <c r="B24" s="2">
        <v>15</v>
      </c>
      <c r="C24" s="2">
        <v>13</v>
      </c>
      <c r="D24" s="2">
        <v>10</v>
      </c>
      <c r="E24" s="2">
        <v>13</v>
      </c>
      <c r="F24" s="2">
        <v>14</v>
      </c>
      <c r="G24" s="2">
        <v>65</v>
      </c>
    </row>
    <row r="25" spans="1:7" x14ac:dyDescent="0.3">
      <c r="A25" s="13" t="s">
        <v>75</v>
      </c>
      <c r="B25" s="2">
        <v>11</v>
      </c>
      <c r="C25" s="2">
        <v>12</v>
      </c>
      <c r="D25" s="2">
        <v>10</v>
      </c>
      <c r="E25" s="2">
        <v>17</v>
      </c>
      <c r="F25" s="2">
        <v>12</v>
      </c>
      <c r="G25" s="2">
        <v>62</v>
      </c>
    </row>
    <row r="26" spans="1:7" x14ac:dyDescent="0.3">
      <c r="A26" s="13" t="s">
        <v>77</v>
      </c>
      <c r="B26" s="2">
        <v>18</v>
      </c>
      <c r="C26" s="2">
        <v>7</v>
      </c>
      <c r="D26" s="2">
        <v>11</v>
      </c>
      <c r="E26" s="2">
        <v>13</v>
      </c>
      <c r="F26" s="2">
        <v>13</v>
      </c>
      <c r="G26" s="2">
        <v>62</v>
      </c>
    </row>
    <row r="27" spans="1:7" x14ac:dyDescent="0.3">
      <c r="A27" s="13" t="s">
        <v>68</v>
      </c>
      <c r="B27" s="2">
        <v>15</v>
      </c>
      <c r="C27" s="2">
        <v>11</v>
      </c>
      <c r="D27" s="2">
        <v>14</v>
      </c>
      <c r="E27" s="2">
        <v>13</v>
      </c>
      <c r="F27" s="2">
        <v>8</v>
      </c>
      <c r="G27" s="2">
        <v>61</v>
      </c>
    </row>
    <row r="28" spans="1:7" x14ac:dyDescent="0.3">
      <c r="A28" s="13" t="s">
        <v>69</v>
      </c>
      <c r="B28" s="2">
        <v>11</v>
      </c>
      <c r="C28" s="2">
        <v>10</v>
      </c>
      <c r="D28" s="2">
        <v>10</v>
      </c>
      <c r="E28" s="2">
        <v>14</v>
      </c>
      <c r="F28" s="2">
        <v>10</v>
      </c>
      <c r="G28" s="2">
        <v>55</v>
      </c>
    </row>
    <row r="29" spans="1:7" x14ac:dyDescent="0.3">
      <c r="A29" s="13" t="s">
        <v>55</v>
      </c>
      <c r="B29" s="2">
        <v>3</v>
      </c>
      <c r="C29" s="2">
        <v>10</v>
      </c>
      <c r="D29" s="2">
        <v>17</v>
      </c>
      <c r="E29" s="2">
        <v>15</v>
      </c>
      <c r="F29" s="2">
        <v>10</v>
      </c>
      <c r="G29" s="2">
        <v>55</v>
      </c>
    </row>
    <row r="30" spans="1:7" x14ac:dyDescent="0.3">
      <c r="A30" s="13" t="s">
        <v>76</v>
      </c>
      <c r="B30" s="2">
        <v>9</v>
      </c>
      <c r="C30" s="2">
        <v>13</v>
      </c>
      <c r="D30" s="2">
        <v>12</v>
      </c>
      <c r="E30" s="2">
        <v>10</v>
      </c>
      <c r="F30" s="2">
        <v>8</v>
      </c>
      <c r="G30" s="2">
        <v>52</v>
      </c>
    </row>
    <row r="31" spans="1:7" x14ac:dyDescent="0.3">
      <c r="A31" s="13" t="s">
        <v>31</v>
      </c>
      <c r="B31" s="2">
        <v>5</v>
      </c>
      <c r="C31" s="2">
        <v>13</v>
      </c>
      <c r="D31" s="2">
        <v>7</v>
      </c>
      <c r="E31" s="2">
        <v>15</v>
      </c>
      <c r="F31" s="2">
        <v>10</v>
      </c>
      <c r="G31" s="2">
        <v>50</v>
      </c>
    </row>
    <row r="32" spans="1:7" x14ac:dyDescent="0.3">
      <c r="A32" s="13" t="s">
        <v>88</v>
      </c>
      <c r="B32" s="2">
        <v>173</v>
      </c>
      <c r="C32" s="2">
        <v>184</v>
      </c>
      <c r="D32" s="2">
        <v>202</v>
      </c>
      <c r="E32" s="2">
        <v>204</v>
      </c>
      <c r="F32" s="2">
        <v>185</v>
      </c>
      <c r="G32" s="2">
        <v>948</v>
      </c>
    </row>
    <row r="34" spans="1:1" x14ac:dyDescent="0.3">
      <c r="A34" s="21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3C759-5609-407E-835A-2D1FCCCFC587}">
  <dimension ref="A3:E54"/>
  <sheetViews>
    <sheetView workbookViewId="0">
      <selection activeCell="F21" sqref="F21"/>
    </sheetView>
  </sheetViews>
  <sheetFormatPr defaultRowHeight="14.4" x14ac:dyDescent="0.3"/>
  <cols>
    <col min="1" max="1" width="25.88671875" bestFit="1" customWidth="1"/>
    <col min="2" max="2" width="22.33203125" bestFit="1" customWidth="1"/>
    <col min="3" max="3" width="20.6640625" bestFit="1" customWidth="1"/>
    <col min="4" max="4" width="8" bestFit="1" customWidth="1"/>
    <col min="5" max="5" width="10.5546875" bestFit="1" customWidth="1"/>
    <col min="6" max="6" width="20.6640625" bestFit="1" customWidth="1"/>
    <col min="7" max="7" width="22.33203125" bestFit="1" customWidth="1"/>
    <col min="8" max="8" width="25.21875" bestFit="1" customWidth="1"/>
    <col min="9" max="9" width="26.88671875" bestFit="1" customWidth="1"/>
  </cols>
  <sheetData>
    <row r="3" spans="1:5" x14ac:dyDescent="0.3">
      <c r="A3" s="12" t="s">
        <v>90</v>
      </c>
      <c r="B3" s="12" t="s">
        <v>94</v>
      </c>
    </row>
    <row r="4" spans="1:5" x14ac:dyDescent="0.3">
      <c r="A4" s="12" t="s">
        <v>87</v>
      </c>
      <c r="B4" t="s">
        <v>51</v>
      </c>
      <c r="C4" t="s">
        <v>38</v>
      </c>
      <c r="D4" t="s">
        <v>30</v>
      </c>
      <c r="E4" t="s">
        <v>88</v>
      </c>
    </row>
    <row r="5" spans="1:5" x14ac:dyDescent="0.3">
      <c r="A5" s="15" t="s">
        <v>72</v>
      </c>
      <c r="B5" s="16">
        <v>110277</v>
      </c>
      <c r="C5" s="16">
        <v>118852</v>
      </c>
      <c r="D5" s="16">
        <v>107643</v>
      </c>
      <c r="E5" s="16">
        <v>336772</v>
      </c>
    </row>
    <row r="6" spans="1:5" x14ac:dyDescent="0.3">
      <c r="A6" s="13" t="s">
        <v>39</v>
      </c>
      <c r="B6" s="2">
        <v>57743</v>
      </c>
      <c r="C6" s="2">
        <v>111522</v>
      </c>
      <c r="D6" s="2">
        <v>114275</v>
      </c>
      <c r="E6" s="2">
        <v>283540</v>
      </c>
    </row>
    <row r="7" spans="1:5" x14ac:dyDescent="0.3">
      <c r="A7" s="13" t="s">
        <v>71</v>
      </c>
      <c r="B7" s="2">
        <v>93472</v>
      </c>
      <c r="C7" s="2">
        <v>109269</v>
      </c>
      <c r="D7" s="2">
        <v>67539</v>
      </c>
      <c r="E7" s="2">
        <v>270280</v>
      </c>
    </row>
    <row r="8" spans="1:5" x14ac:dyDescent="0.3">
      <c r="A8" s="13" t="s">
        <v>31</v>
      </c>
      <c r="B8" s="2">
        <v>50966</v>
      </c>
      <c r="C8" s="2">
        <v>99805</v>
      </c>
      <c r="D8" s="2">
        <v>65926</v>
      </c>
      <c r="E8" s="2">
        <v>216697</v>
      </c>
    </row>
    <row r="9" spans="1:5" x14ac:dyDescent="0.3">
      <c r="A9" s="13" t="s">
        <v>20</v>
      </c>
      <c r="B9" s="2">
        <v>63335</v>
      </c>
      <c r="C9" s="2">
        <v>86041</v>
      </c>
      <c r="D9" s="2">
        <v>99707</v>
      </c>
      <c r="E9" s="2">
        <v>249083</v>
      </c>
    </row>
    <row r="10" spans="1:5" x14ac:dyDescent="0.3">
      <c r="A10" s="13" t="s">
        <v>52</v>
      </c>
      <c r="B10" s="2">
        <v>72093</v>
      </c>
      <c r="C10" s="2">
        <v>85961</v>
      </c>
      <c r="D10" s="2">
        <v>76715</v>
      </c>
      <c r="E10" s="2">
        <v>234769</v>
      </c>
    </row>
    <row r="11" spans="1:5" x14ac:dyDescent="0.3">
      <c r="A11" s="13" t="s">
        <v>62</v>
      </c>
      <c r="B11" s="2">
        <v>57206</v>
      </c>
      <c r="C11" s="2">
        <v>85861</v>
      </c>
      <c r="D11" s="2">
        <v>98890</v>
      </c>
      <c r="E11" s="2">
        <v>241957</v>
      </c>
    </row>
    <row r="12" spans="1:5" x14ac:dyDescent="0.3">
      <c r="A12" s="13" t="s">
        <v>68</v>
      </c>
      <c r="B12" s="2">
        <v>86848</v>
      </c>
      <c r="C12" s="2">
        <v>85525</v>
      </c>
      <c r="D12" s="2">
        <v>74144</v>
      </c>
      <c r="E12" s="2">
        <v>246517</v>
      </c>
    </row>
    <row r="13" spans="1:5" x14ac:dyDescent="0.3">
      <c r="A13" s="13" t="s">
        <v>55</v>
      </c>
      <c r="B13" s="2">
        <v>66630</v>
      </c>
      <c r="C13" s="2">
        <v>78325</v>
      </c>
      <c r="D13" s="2">
        <v>74289</v>
      </c>
      <c r="E13" s="2">
        <v>219244</v>
      </c>
    </row>
    <row r="14" spans="1:5" x14ac:dyDescent="0.3">
      <c r="A14" s="13" t="s">
        <v>44</v>
      </c>
      <c r="B14" s="2">
        <v>129379</v>
      </c>
      <c r="C14" s="2">
        <v>76854</v>
      </c>
      <c r="D14" s="2">
        <v>108912</v>
      </c>
      <c r="E14" s="2">
        <v>315145</v>
      </c>
    </row>
    <row r="15" spans="1:5" x14ac:dyDescent="0.3">
      <c r="A15" s="13" t="s">
        <v>75</v>
      </c>
      <c r="B15" s="2">
        <v>73772</v>
      </c>
      <c r="C15" s="2">
        <v>66177</v>
      </c>
      <c r="D15" s="2">
        <v>70947</v>
      </c>
      <c r="E15" s="2">
        <v>210896</v>
      </c>
    </row>
    <row r="16" spans="1:5" x14ac:dyDescent="0.3">
      <c r="A16" s="13" t="s">
        <v>74</v>
      </c>
      <c r="B16" s="2">
        <v>111756</v>
      </c>
      <c r="C16" s="2">
        <v>61854</v>
      </c>
      <c r="D16" s="2">
        <v>90146</v>
      </c>
      <c r="E16" s="2">
        <v>263756</v>
      </c>
    </row>
    <row r="17" spans="1:5" x14ac:dyDescent="0.3">
      <c r="A17" s="13" t="s">
        <v>69</v>
      </c>
      <c r="B17" s="2">
        <v>96710</v>
      </c>
      <c r="C17" s="2">
        <v>61707</v>
      </c>
      <c r="D17" s="2">
        <v>59044</v>
      </c>
      <c r="E17" s="2">
        <v>217461</v>
      </c>
    </row>
    <row r="18" spans="1:5" x14ac:dyDescent="0.3">
      <c r="A18" s="13" t="s">
        <v>76</v>
      </c>
      <c r="B18" s="2">
        <v>72819</v>
      </c>
      <c r="C18" s="2">
        <v>51128</v>
      </c>
      <c r="D18" s="2">
        <v>60475</v>
      </c>
      <c r="E18" s="2">
        <v>184422</v>
      </c>
    </row>
    <row r="19" spans="1:5" x14ac:dyDescent="0.3">
      <c r="A19" s="13" t="s">
        <v>77</v>
      </c>
      <c r="B19" s="2">
        <v>91901</v>
      </c>
      <c r="C19" s="2">
        <v>50370</v>
      </c>
      <c r="D19" s="2">
        <v>62973</v>
      </c>
      <c r="E19" s="2">
        <v>205244</v>
      </c>
    </row>
    <row r="20" spans="1:5" x14ac:dyDescent="0.3">
      <c r="A20" s="13" t="s">
        <v>88</v>
      </c>
      <c r="B20" s="2">
        <v>1234907</v>
      </c>
      <c r="C20" s="2">
        <v>1229251</v>
      </c>
      <c r="D20" s="2">
        <v>1231625</v>
      </c>
      <c r="E20" s="2">
        <v>3695783</v>
      </c>
    </row>
    <row r="27" spans="1:5" x14ac:dyDescent="0.3">
      <c r="A27" s="12" t="s">
        <v>90</v>
      </c>
      <c r="B27" s="12" t="s">
        <v>94</v>
      </c>
    </row>
    <row r="28" spans="1:5" x14ac:dyDescent="0.3">
      <c r="A28" s="12" t="s">
        <v>87</v>
      </c>
      <c r="B28" t="s">
        <v>51</v>
      </c>
      <c r="C28" t="s">
        <v>38</v>
      </c>
      <c r="D28" t="s">
        <v>30</v>
      </c>
      <c r="E28" t="s">
        <v>88</v>
      </c>
    </row>
    <row r="29" spans="1:5" x14ac:dyDescent="0.3">
      <c r="A29" s="15" t="s">
        <v>22</v>
      </c>
      <c r="B29" s="16">
        <v>496050</v>
      </c>
      <c r="C29" s="16">
        <v>370254</v>
      </c>
      <c r="D29" s="16">
        <v>489743</v>
      </c>
      <c r="E29" s="16">
        <v>1356047</v>
      </c>
    </row>
    <row r="30" spans="1:5" x14ac:dyDescent="0.3">
      <c r="A30" s="13" t="s">
        <v>53</v>
      </c>
      <c r="B30" s="2">
        <v>313162</v>
      </c>
      <c r="C30" s="2">
        <v>361631</v>
      </c>
      <c r="D30" s="2">
        <v>329634</v>
      </c>
      <c r="E30" s="2">
        <v>1004427</v>
      </c>
    </row>
    <row r="31" spans="1:5" x14ac:dyDescent="0.3">
      <c r="A31" s="13" t="s">
        <v>33</v>
      </c>
      <c r="B31" s="2">
        <v>197231</v>
      </c>
      <c r="C31" s="2">
        <v>200491</v>
      </c>
      <c r="D31" s="2">
        <v>194910</v>
      </c>
      <c r="E31" s="2">
        <v>592632</v>
      </c>
    </row>
    <row r="32" spans="1:5" x14ac:dyDescent="0.3">
      <c r="A32" s="13" t="s">
        <v>46</v>
      </c>
      <c r="B32" s="2">
        <v>148464</v>
      </c>
      <c r="C32" s="2">
        <v>209875</v>
      </c>
      <c r="D32" s="2">
        <v>125338</v>
      </c>
      <c r="E32" s="2">
        <v>483677</v>
      </c>
    </row>
    <row r="33" spans="1:5" x14ac:dyDescent="0.3">
      <c r="A33" s="13" t="s">
        <v>57</v>
      </c>
      <c r="B33" s="2">
        <v>64000</v>
      </c>
      <c r="C33" s="2">
        <v>60000</v>
      </c>
      <c r="D33" s="2">
        <v>73000</v>
      </c>
      <c r="E33" s="2">
        <v>197000</v>
      </c>
    </row>
    <row r="34" spans="1:5" x14ac:dyDescent="0.3">
      <c r="A34" s="13" t="s">
        <v>61</v>
      </c>
      <c r="B34" s="2">
        <v>16000</v>
      </c>
      <c r="C34" s="2">
        <v>27000</v>
      </c>
      <c r="D34" s="2">
        <v>19000</v>
      </c>
      <c r="E34" s="2">
        <v>62000</v>
      </c>
    </row>
    <row r="35" spans="1:5" x14ac:dyDescent="0.3">
      <c r="A35" s="13" t="s">
        <v>88</v>
      </c>
      <c r="B35" s="2">
        <v>1234907</v>
      </c>
      <c r="C35" s="2">
        <v>1229251</v>
      </c>
      <c r="D35" s="2">
        <v>1231625</v>
      </c>
      <c r="E35" s="2">
        <v>3695783</v>
      </c>
    </row>
    <row r="38" spans="1:5" x14ac:dyDescent="0.3">
      <c r="A38" s="12" t="s">
        <v>87</v>
      </c>
      <c r="B38" t="s">
        <v>96</v>
      </c>
      <c r="C38" t="s">
        <v>90</v>
      </c>
    </row>
    <row r="39" spans="1:5" x14ac:dyDescent="0.3">
      <c r="A39" s="15" t="s">
        <v>72</v>
      </c>
      <c r="B39" s="16">
        <v>67</v>
      </c>
      <c r="C39" s="16">
        <v>336772</v>
      </c>
    </row>
    <row r="40" spans="1:5" x14ac:dyDescent="0.3">
      <c r="A40" s="13" t="s">
        <v>44</v>
      </c>
      <c r="B40" s="2">
        <v>87</v>
      </c>
      <c r="C40" s="2">
        <v>315145</v>
      </c>
    </row>
    <row r="41" spans="1:5" x14ac:dyDescent="0.3">
      <c r="A41" s="13" t="s">
        <v>39</v>
      </c>
      <c r="B41" s="2">
        <v>65</v>
      </c>
      <c r="C41" s="2">
        <v>283540</v>
      </c>
    </row>
    <row r="42" spans="1:5" x14ac:dyDescent="0.3">
      <c r="A42" s="13" t="s">
        <v>71</v>
      </c>
      <c r="B42" s="2">
        <v>65</v>
      </c>
      <c r="C42" s="2">
        <v>270280</v>
      </c>
    </row>
    <row r="43" spans="1:5" x14ac:dyDescent="0.3">
      <c r="A43" s="13" t="s">
        <v>74</v>
      </c>
      <c r="B43" s="2">
        <v>67</v>
      </c>
      <c r="C43" s="2">
        <v>263756</v>
      </c>
    </row>
    <row r="44" spans="1:5" x14ac:dyDescent="0.3">
      <c r="A44" s="13" t="s">
        <v>20</v>
      </c>
      <c r="B44" s="2">
        <v>65</v>
      </c>
      <c r="C44" s="2">
        <v>249083</v>
      </c>
    </row>
    <row r="45" spans="1:5" x14ac:dyDescent="0.3">
      <c r="A45" s="13" t="s">
        <v>68</v>
      </c>
      <c r="B45" s="2">
        <v>61</v>
      </c>
      <c r="C45" s="2">
        <v>246517</v>
      </c>
    </row>
    <row r="46" spans="1:5" x14ac:dyDescent="0.3">
      <c r="A46" s="13" t="s">
        <v>62</v>
      </c>
      <c r="B46" s="2">
        <v>68</v>
      </c>
      <c r="C46" s="2">
        <v>241957</v>
      </c>
    </row>
    <row r="47" spans="1:5" x14ac:dyDescent="0.3">
      <c r="A47" s="13" t="s">
        <v>52</v>
      </c>
      <c r="B47" s="2">
        <v>67</v>
      </c>
      <c r="C47" s="2">
        <v>234769</v>
      </c>
    </row>
    <row r="48" spans="1:5" x14ac:dyDescent="0.3">
      <c r="A48" s="13" t="s">
        <v>55</v>
      </c>
      <c r="B48" s="2">
        <v>55</v>
      </c>
      <c r="C48" s="2">
        <v>219244</v>
      </c>
    </row>
    <row r="49" spans="1:3" x14ac:dyDescent="0.3">
      <c r="A49" s="13" t="s">
        <v>69</v>
      </c>
      <c r="B49" s="2">
        <v>55</v>
      </c>
      <c r="C49" s="2">
        <v>217461</v>
      </c>
    </row>
    <row r="50" spans="1:3" x14ac:dyDescent="0.3">
      <c r="A50" s="13" t="s">
        <v>31</v>
      </c>
      <c r="B50" s="2">
        <v>50</v>
      </c>
      <c r="C50" s="2">
        <v>216697</v>
      </c>
    </row>
    <row r="51" spans="1:3" x14ac:dyDescent="0.3">
      <c r="A51" s="13" t="s">
        <v>75</v>
      </c>
      <c r="B51" s="2">
        <v>62</v>
      </c>
      <c r="C51" s="2">
        <v>210896</v>
      </c>
    </row>
    <row r="52" spans="1:3" x14ac:dyDescent="0.3">
      <c r="A52" s="13" t="s">
        <v>77</v>
      </c>
      <c r="B52" s="2">
        <v>62</v>
      </c>
      <c r="C52" s="2">
        <v>205244</v>
      </c>
    </row>
    <row r="53" spans="1:3" x14ac:dyDescent="0.3">
      <c r="A53" s="13" t="s">
        <v>76</v>
      </c>
      <c r="B53" s="2">
        <v>52</v>
      </c>
      <c r="C53" s="2">
        <v>184422</v>
      </c>
    </row>
    <row r="54" spans="1:3" x14ac:dyDescent="0.3">
      <c r="A54" s="13" t="s">
        <v>88</v>
      </c>
      <c r="B54" s="2">
        <v>948</v>
      </c>
      <c r="C54" s="2">
        <v>3695783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C245-ED2C-4BE0-864B-A8056822E32E}">
  <dimension ref="A3:I36"/>
  <sheetViews>
    <sheetView tabSelected="1" workbookViewId="0">
      <selection activeCell="F16" sqref="F16"/>
    </sheetView>
  </sheetViews>
  <sheetFormatPr defaultRowHeight="14.4" x14ac:dyDescent="0.3"/>
  <cols>
    <col min="1" max="1" width="20.44140625" bestFit="1" customWidth="1"/>
    <col min="2" max="2" width="15.5546875" bestFit="1" customWidth="1"/>
    <col min="3" max="3" width="9.5546875" customWidth="1"/>
    <col min="4" max="4" width="5.6640625" bestFit="1" customWidth="1"/>
    <col min="5" max="5" width="5.5546875" bestFit="1" customWidth="1"/>
    <col min="6" max="6" width="12.44140625" customWidth="1"/>
    <col min="7" max="7" width="10.5546875" bestFit="1" customWidth="1"/>
  </cols>
  <sheetData>
    <row r="3" spans="1:6" x14ac:dyDescent="0.3">
      <c r="A3" s="12" t="s">
        <v>89</v>
      </c>
      <c r="B3" s="12" t="s">
        <v>94</v>
      </c>
    </row>
    <row r="4" spans="1:6" x14ac:dyDescent="0.3">
      <c r="A4" s="12" t="s">
        <v>87</v>
      </c>
      <c r="B4" t="s">
        <v>41</v>
      </c>
      <c r="C4" s="22" t="s">
        <v>35</v>
      </c>
      <c r="D4" t="s">
        <v>24</v>
      </c>
      <c r="E4" t="s">
        <v>70</v>
      </c>
      <c r="F4" t="s">
        <v>88</v>
      </c>
    </row>
    <row r="5" spans="1:6" x14ac:dyDescent="0.3">
      <c r="A5" s="15" t="s">
        <v>53</v>
      </c>
      <c r="B5" s="16">
        <v>46</v>
      </c>
      <c r="C5" s="16">
        <v>47</v>
      </c>
      <c r="D5" s="16">
        <v>57</v>
      </c>
      <c r="E5" s="16">
        <v>43</v>
      </c>
      <c r="F5" s="16">
        <v>193</v>
      </c>
    </row>
    <row r="6" spans="1:6" x14ac:dyDescent="0.3">
      <c r="A6" s="13" t="s">
        <v>57</v>
      </c>
      <c r="B6" s="2">
        <v>45</v>
      </c>
      <c r="C6" s="16">
        <v>39</v>
      </c>
      <c r="D6" s="2">
        <v>54</v>
      </c>
      <c r="E6" s="2">
        <v>51</v>
      </c>
      <c r="F6" s="2">
        <v>189</v>
      </c>
    </row>
    <row r="7" spans="1:6" x14ac:dyDescent="0.3">
      <c r="A7" s="13" t="s">
        <v>33</v>
      </c>
      <c r="B7" s="2">
        <v>44</v>
      </c>
      <c r="C7" s="16">
        <v>47</v>
      </c>
      <c r="D7" s="2">
        <v>39</v>
      </c>
      <c r="E7" s="2">
        <v>47</v>
      </c>
      <c r="F7" s="2">
        <v>177</v>
      </c>
    </row>
    <row r="8" spans="1:6" x14ac:dyDescent="0.3">
      <c r="A8" s="13" t="s">
        <v>22</v>
      </c>
      <c r="B8" s="2">
        <v>32</v>
      </c>
      <c r="C8" s="16">
        <v>46</v>
      </c>
      <c r="D8" s="2">
        <v>37</v>
      </c>
      <c r="E8" s="2">
        <v>50</v>
      </c>
      <c r="F8" s="2">
        <v>165</v>
      </c>
    </row>
    <row r="9" spans="1:6" x14ac:dyDescent="0.3">
      <c r="A9" s="13" t="s">
        <v>46</v>
      </c>
      <c r="B9" s="2">
        <v>42</v>
      </c>
      <c r="C9" s="16">
        <v>44</v>
      </c>
      <c r="D9" s="2">
        <v>37</v>
      </c>
      <c r="E9" s="2">
        <v>39</v>
      </c>
      <c r="F9" s="2">
        <v>162</v>
      </c>
    </row>
    <row r="10" spans="1:6" x14ac:dyDescent="0.3">
      <c r="A10" s="13" t="s">
        <v>61</v>
      </c>
      <c r="B10" s="2">
        <v>23</v>
      </c>
      <c r="C10" s="16">
        <v>20</v>
      </c>
      <c r="D10" s="2">
        <v>11</v>
      </c>
      <c r="E10" s="2">
        <v>8</v>
      </c>
      <c r="F10" s="2">
        <v>62</v>
      </c>
    </row>
    <row r="11" spans="1:6" x14ac:dyDescent="0.3">
      <c r="A11" s="13" t="s">
        <v>88</v>
      </c>
      <c r="B11" s="2">
        <v>232</v>
      </c>
      <c r="C11" s="16">
        <v>243</v>
      </c>
      <c r="D11" s="2">
        <v>235</v>
      </c>
      <c r="E11" s="2">
        <v>238</v>
      </c>
      <c r="F11" s="2">
        <v>948</v>
      </c>
    </row>
    <row r="16" spans="1:6" x14ac:dyDescent="0.3">
      <c r="A16" s="12" t="s">
        <v>89</v>
      </c>
      <c r="B16" s="12" t="s">
        <v>94</v>
      </c>
    </row>
    <row r="17" spans="1:9" x14ac:dyDescent="0.3">
      <c r="A17" s="12" t="s">
        <v>87</v>
      </c>
      <c r="B17" t="s">
        <v>102</v>
      </c>
      <c r="C17" t="s">
        <v>103</v>
      </c>
      <c r="D17" t="s">
        <v>88</v>
      </c>
    </row>
    <row r="18" spans="1:9" x14ac:dyDescent="0.3">
      <c r="A18" s="13" t="s">
        <v>53</v>
      </c>
      <c r="B18" s="2">
        <v>138</v>
      </c>
      <c r="C18" s="2">
        <v>55</v>
      </c>
      <c r="D18" s="2">
        <v>193</v>
      </c>
    </row>
    <row r="19" spans="1:9" x14ac:dyDescent="0.3">
      <c r="A19" s="13" t="s">
        <v>57</v>
      </c>
      <c r="B19" s="2">
        <v>127</v>
      </c>
      <c r="C19" s="2">
        <v>62</v>
      </c>
      <c r="D19" s="2">
        <v>189</v>
      </c>
    </row>
    <row r="20" spans="1:9" x14ac:dyDescent="0.3">
      <c r="A20" s="13" t="s">
        <v>33</v>
      </c>
      <c r="B20" s="2">
        <v>112</v>
      </c>
      <c r="C20" s="2">
        <v>65</v>
      </c>
      <c r="D20" s="2">
        <v>177</v>
      </c>
    </row>
    <row r="21" spans="1:9" x14ac:dyDescent="0.3">
      <c r="A21" s="13" t="s">
        <v>22</v>
      </c>
      <c r="B21" s="2">
        <v>120</v>
      </c>
      <c r="C21" s="16">
        <v>45</v>
      </c>
      <c r="D21" s="2">
        <v>165</v>
      </c>
    </row>
    <row r="22" spans="1:9" x14ac:dyDescent="0.3">
      <c r="A22" s="13" t="s">
        <v>46</v>
      </c>
      <c r="B22" s="2">
        <v>108</v>
      </c>
      <c r="C22" s="2">
        <v>54</v>
      </c>
      <c r="D22" s="2">
        <v>162</v>
      </c>
    </row>
    <row r="23" spans="1:9" x14ac:dyDescent="0.3">
      <c r="A23" s="13" t="s">
        <v>61</v>
      </c>
      <c r="B23" s="2">
        <v>41</v>
      </c>
      <c r="C23" s="2">
        <v>21</v>
      </c>
      <c r="D23" s="2">
        <v>62</v>
      </c>
    </row>
    <row r="24" spans="1:9" x14ac:dyDescent="0.3">
      <c r="A24" s="13" t="s">
        <v>88</v>
      </c>
      <c r="B24" s="2">
        <v>646</v>
      </c>
      <c r="C24" s="2">
        <v>302</v>
      </c>
      <c r="D24" s="2">
        <v>948</v>
      </c>
    </row>
    <row r="25" spans="1:9" x14ac:dyDescent="0.3">
      <c r="I25" t="s">
        <v>98</v>
      </c>
    </row>
    <row r="28" spans="1:9" x14ac:dyDescent="0.3">
      <c r="A28" s="12" t="s">
        <v>89</v>
      </c>
      <c r="B28" s="12" t="s">
        <v>94</v>
      </c>
    </row>
    <row r="29" spans="1:9" x14ac:dyDescent="0.3">
      <c r="A29" s="12" t="s">
        <v>87</v>
      </c>
      <c r="B29" t="s">
        <v>64</v>
      </c>
      <c r="C29" t="s">
        <v>40</v>
      </c>
      <c r="D29" t="s">
        <v>23</v>
      </c>
      <c r="E29" t="s">
        <v>34</v>
      </c>
      <c r="F29" t="s">
        <v>65</v>
      </c>
      <c r="G29" t="s">
        <v>88</v>
      </c>
    </row>
    <row r="30" spans="1:9" x14ac:dyDescent="0.3">
      <c r="A30" s="15" t="s">
        <v>53</v>
      </c>
      <c r="B30" s="16">
        <v>35</v>
      </c>
      <c r="C30" s="16">
        <v>41</v>
      </c>
      <c r="D30" s="16">
        <v>34</v>
      </c>
      <c r="E30" s="16">
        <v>55</v>
      </c>
      <c r="F30" s="16">
        <v>28</v>
      </c>
      <c r="G30" s="16">
        <v>193</v>
      </c>
    </row>
    <row r="31" spans="1:9" x14ac:dyDescent="0.3">
      <c r="A31" s="13" t="s">
        <v>57</v>
      </c>
      <c r="B31" s="2">
        <v>28</v>
      </c>
      <c r="C31" s="2">
        <v>40</v>
      </c>
      <c r="D31" s="2">
        <v>37</v>
      </c>
      <c r="E31" s="2">
        <v>42</v>
      </c>
      <c r="F31" s="2">
        <v>42</v>
      </c>
      <c r="G31" s="2">
        <v>189</v>
      </c>
    </row>
    <row r="32" spans="1:9" x14ac:dyDescent="0.3">
      <c r="A32" s="13" t="s">
        <v>33</v>
      </c>
      <c r="B32" s="2">
        <v>33</v>
      </c>
      <c r="C32" s="2">
        <v>34</v>
      </c>
      <c r="D32" s="2">
        <v>41</v>
      </c>
      <c r="E32" s="2">
        <v>31</v>
      </c>
      <c r="F32" s="2">
        <v>38</v>
      </c>
      <c r="G32" s="2">
        <v>177</v>
      </c>
    </row>
    <row r="33" spans="1:7" x14ac:dyDescent="0.3">
      <c r="A33" s="13" t="s">
        <v>22</v>
      </c>
      <c r="B33" s="2">
        <v>26</v>
      </c>
      <c r="C33" s="2">
        <v>33</v>
      </c>
      <c r="D33" s="2">
        <v>33</v>
      </c>
      <c r="E33" s="2">
        <v>37</v>
      </c>
      <c r="F33" s="2">
        <v>36</v>
      </c>
      <c r="G33" s="2">
        <v>165</v>
      </c>
    </row>
    <row r="34" spans="1:7" x14ac:dyDescent="0.3">
      <c r="A34" s="13" t="s">
        <v>46</v>
      </c>
      <c r="B34" s="2">
        <v>33</v>
      </c>
      <c r="C34" s="2">
        <v>34</v>
      </c>
      <c r="D34" s="2">
        <v>26</v>
      </c>
      <c r="E34" s="2">
        <v>35</v>
      </c>
      <c r="F34" s="2">
        <v>34</v>
      </c>
      <c r="G34" s="2">
        <v>162</v>
      </c>
    </row>
    <row r="35" spans="1:7" x14ac:dyDescent="0.3">
      <c r="A35" s="13" t="s">
        <v>61</v>
      </c>
      <c r="B35" s="2">
        <v>8</v>
      </c>
      <c r="C35" s="2">
        <v>12</v>
      </c>
      <c r="D35" s="2">
        <v>14</v>
      </c>
      <c r="E35" s="2">
        <v>18</v>
      </c>
      <c r="F35" s="2">
        <v>10</v>
      </c>
      <c r="G35" s="2">
        <v>62</v>
      </c>
    </row>
    <row r="36" spans="1:7" x14ac:dyDescent="0.3">
      <c r="A36" s="13" t="s">
        <v>88</v>
      </c>
      <c r="B36" s="2">
        <v>163</v>
      </c>
      <c r="C36" s="2">
        <v>194</v>
      </c>
      <c r="D36" s="2">
        <v>185</v>
      </c>
      <c r="E36" s="2">
        <v>218</v>
      </c>
      <c r="F36" s="2">
        <v>188</v>
      </c>
      <c r="G36" s="2">
        <v>948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18FE6D-D07C-4894-A11C-444DF7A0B9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Gurgaon Traffic violation data</vt:lpstr>
      <vt:lpstr>Main Data</vt:lpstr>
      <vt:lpstr>Q1</vt:lpstr>
      <vt:lpstr>Q2</vt:lpstr>
      <vt:lpstr>Q3</vt:lpstr>
      <vt:lpstr>Q4</vt:lpstr>
      <vt:lpstr>Q5</vt:lpstr>
      <vt:lpstr>Q6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punit</dc:creator>
  <cp:lastModifiedBy>punit</cp:lastModifiedBy>
  <dcterms:created xsi:type="dcterms:W3CDTF">2026-09-16T16:44:22Z</dcterms:created>
  <dcterms:modified xsi:type="dcterms:W3CDTF">2026-09-19T17:45:22Z</dcterms:modified>
</cp:coreProperties>
</file>